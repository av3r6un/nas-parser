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lvk_Files\"/>
    </mc:Choice>
  </mc:AlternateContent>
  <xr:revisionPtr revIDLastSave="0" documentId="13_ncr:1_{3DFEA05F-25BC-4537-B83C-E289572C6F7E}" xr6:coauthVersionLast="47" xr6:coauthVersionMax="47" xr10:uidLastSave="{00000000-0000-0000-0000-000000000000}"/>
  <bookViews>
    <workbookView xWindow="-120" yWindow="-120" windowWidth="29040" windowHeight="15720" firstSheet="8" activeTab="11" xr2:uid="{00000000-000D-0000-FFFF-FFFF00000000}"/>
  </bookViews>
  <sheets>
    <sheet name="16 граней горячие" sheetId="4" r:id="rId1"/>
    <sheet name="16 граней горячие АВ" sheetId="11" r:id="rId2"/>
    <sheet name="16 граней холодные" sheetId="1" r:id="rId3"/>
    <sheet name="16 граней холод АВ" sheetId="9" r:id="rId4"/>
    <sheet name="12 граней горячие" sheetId="5" r:id="rId5"/>
    <sheet name="12 граней горяч (mix)" sheetId="18" r:id="rId6"/>
    <sheet name="12 граней горячие АВ" sheetId="8" r:id="rId7"/>
    <sheet name="12 граней холодные" sheetId="2" r:id="rId8"/>
    <sheet name="12 граней холод (mix)" sheetId="19" r:id="rId9"/>
    <sheet name="12 граней холод АВ" sheetId="7" r:id="rId10"/>
    <sheet name="пришивные (K9)" sheetId="3" r:id="rId11"/>
    <sheet name="K9 (премиум)" sheetId="16" r:id="rId12"/>
    <sheet name="K9 (БРАК)" sheetId="17" r:id="rId13"/>
    <sheet name="в цапах" sheetId="12" r:id="rId14"/>
    <sheet name="всякое разное" sheetId="13" r:id="rId15"/>
    <sheet name="боа, бахрома" sheetId="15" r:id="rId16"/>
    <sheet name="большие пакеты" sheetId="14" r:id="rId17"/>
  </sheets>
  <calcPr calcId="191029"/>
</workbook>
</file>

<file path=xl/calcChain.xml><?xml version="1.0" encoding="utf-8"?>
<calcChain xmlns="http://schemas.openxmlformats.org/spreadsheetml/2006/main">
  <c r="G31" i="19" l="1"/>
  <c r="E30" i="19"/>
  <c r="G30" i="19" s="1"/>
  <c r="G29" i="19"/>
  <c r="E29" i="19"/>
  <c r="E28" i="19"/>
  <c r="G28" i="19" s="1"/>
  <c r="F27" i="19"/>
  <c r="G27" i="19" s="1"/>
  <c r="F26" i="19"/>
  <c r="E26" i="19"/>
  <c r="G26" i="19" s="1"/>
  <c r="G25" i="19"/>
  <c r="G24" i="19"/>
  <c r="E23" i="19"/>
  <c r="G23" i="19" s="1"/>
  <c r="G22" i="19"/>
  <c r="G21" i="19"/>
  <c r="F20" i="19"/>
  <c r="G20" i="19" s="1"/>
  <c r="G19" i="19"/>
  <c r="G18" i="19"/>
  <c r="E17" i="19"/>
  <c r="G17" i="19" s="1"/>
  <c r="G16" i="19"/>
  <c r="G15" i="19"/>
  <c r="G14" i="19"/>
  <c r="G13" i="19"/>
  <c r="F13" i="19"/>
  <c r="G12" i="19"/>
  <c r="F11" i="19"/>
  <c r="E11" i="19"/>
  <c r="G11" i="19" s="1"/>
  <c r="E10" i="19"/>
  <c r="G10" i="19" s="1"/>
  <c r="G9" i="19"/>
  <c r="E9" i="19"/>
  <c r="F8" i="19"/>
  <c r="E8" i="19"/>
  <c r="G8" i="19" s="1"/>
  <c r="G7" i="19"/>
  <c r="E6" i="19"/>
  <c r="G6" i="19" s="1"/>
  <c r="G5" i="19"/>
  <c r="F4" i="19"/>
  <c r="G4" i="19" s="1"/>
  <c r="F3" i="19"/>
  <c r="G3" i="19" s="1"/>
  <c r="E3" i="19"/>
  <c r="G2" i="19"/>
  <c r="F3" i="18"/>
  <c r="G3" i="18" s="1"/>
  <c r="F2" i="18"/>
  <c r="G2" i="18" s="1"/>
  <c r="G100" i="17"/>
  <c r="G99" i="17"/>
  <c r="G98" i="17"/>
  <c r="G97" i="17"/>
  <c r="G96" i="17"/>
  <c r="G95" i="17"/>
  <c r="G94" i="17"/>
  <c r="F93" i="17"/>
  <c r="E93" i="17"/>
  <c r="G93" i="17" s="1"/>
  <c r="G92" i="17"/>
  <c r="G91" i="17"/>
  <c r="G90" i="17"/>
  <c r="F89" i="17"/>
  <c r="G89" i="17" s="1"/>
  <c r="E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E76" i="17"/>
  <c r="G75" i="17"/>
  <c r="G74" i="17"/>
  <c r="G73" i="17"/>
  <c r="G72" i="17"/>
  <c r="G71" i="17"/>
  <c r="G70" i="17"/>
  <c r="G69" i="17"/>
  <c r="G68" i="17"/>
  <c r="G67" i="17"/>
  <c r="F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F47" i="17"/>
  <c r="E47" i="17"/>
  <c r="G46" i="17"/>
  <c r="E46" i="17"/>
  <c r="G45" i="17"/>
  <c r="E45" i="17"/>
  <c r="G44" i="17"/>
  <c r="G43" i="17"/>
  <c r="E42" i="17"/>
  <c r="G42" i="17" s="1"/>
  <c r="G41" i="17"/>
  <c r="G40" i="17"/>
  <c r="G39" i="17"/>
  <c r="G38" i="17"/>
  <c r="F38" i="17"/>
  <c r="E38" i="17"/>
  <c r="G37" i="17"/>
  <c r="G36" i="17"/>
  <c r="E35" i="17"/>
  <c r="G35" i="17" s="1"/>
  <c r="G34" i="17"/>
  <c r="E33" i="17"/>
  <c r="G33" i="17" s="1"/>
  <c r="G32" i="17"/>
  <c r="E32" i="17"/>
  <c r="G31" i="17"/>
  <c r="G30" i="17"/>
  <c r="G29" i="17"/>
  <c r="F28" i="17"/>
  <c r="E28" i="17"/>
  <c r="G28" i="17" s="1"/>
  <c r="G27" i="17"/>
  <c r="G26" i="17"/>
  <c r="G25" i="17"/>
  <c r="E24" i="17"/>
  <c r="G24" i="17" s="1"/>
  <c r="G23" i="17"/>
  <c r="G22" i="17"/>
  <c r="E22" i="17"/>
  <c r="E21" i="17"/>
  <c r="G21" i="17" s="1"/>
  <c r="G20" i="17"/>
  <c r="G19" i="17"/>
  <c r="G18" i="17"/>
  <c r="E17" i="17"/>
  <c r="G17" i="17" s="1"/>
  <c r="G16" i="17"/>
  <c r="G15" i="17"/>
  <c r="E15" i="17"/>
  <c r="G14" i="17"/>
  <c r="G13" i="17"/>
  <c r="G12" i="17"/>
  <c r="G11" i="17"/>
  <c r="G10" i="17"/>
  <c r="G9" i="17"/>
  <c r="G8" i="17"/>
  <c r="F7" i="17"/>
  <c r="G7" i="17" s="1"/>
  <c r="G6" i="17"/>
  <c r="G5" i="17"/>
  <c r="E5" i="17"/>
  <c r="G4" i="17"/>
  <c r="F4" i="17"/>
  <c r="G3" i="17"/>
  <c r="G145" i="16"/>
  <c r="H145" i="16" s="1"/>
  <c r="H144" i="16"/>
  <c r="G144" i="16"/>
  <c r="H143" i="16"/>
  <c r="G143" i="16"/>
  <c r="H142" i="16"/>
  <c r="G142" i="16"/>
  <c r="F142" i="16"/>
  <c r="H141" i="16"/>
  <c r="G141" i="16"/>
  <c r="F141" i="16"/>
  <c r="G140" i="16"/>
  <c r="F140" i="16"/>
  <c r="H140" i="16" s="1"/>
  <c r="H139" i="16"/>
  <c r="G139" i="16"/>
  <c r="F139" i="16"/>
  <c r="H138" i="16"/>
  <c r="F138" i="16"/>
  <c r="F137" i="16"/>
  <c r="H137" i="16" s="1"/>
  <c r="G136" i="16"/>
  <c r="F136" i="16"/>
  <c r="H136" i="16" s="1"/>
  <c r="G135" i="16"/>
  <c r="F135" i="16"/>
  <c r="H135" i="16" s="1"/>
  <c r="H134" i="16"/>
  <c r="G134" i="16"/>
  <c r="F134" i="16"/>
  <c r="G133" i="16"/>
  <c r="F133" i="16"/>
  <c r="H133" i="16" s="1"/>
  <c r="H132" i="16"/>
  <c r="F132" i="16"/>
  <c r="F131" i="16"/>
  <c r="H131" i="16" s="1"/>
  <c r="H130" i="16"/>
  <c r="F130" i="16"/>
  <c r="H129" i="16"/>
  <c r="F129" i="16"/>
  <c r="H128" i="16"/>
  <c r="H127" i="16"/>
  <c r="F127" i="16"/>
  <c r="H126" i="16"/>
  <c r="F126" i="16"/>
  <c r="F125" i="16"/>
  <c r="H125" i="16" s="1"/>
  <c r="F124" i="16"/>
  <c r="H124" i="16" s="1"/>
  <c r="H123" i="16"/>
  <c r="F123" i="16"/>
  <c r="H122" i="16"/>
  <c r="F122" i="16"/>
  <c r="H121" i="16"/>
  <c r="F121" i="16"/>
  <c r="H120" i="16"/>
  <c r="F120" i="16"/>
  <c r="F119" i="16"/>
  <c r="H119" i="16" s="1"/>
  <c r="F118" i="16"/>
  <c r="H118" i="16" s="1"/>
  <c r="H117" i="16"/>
  <c r="F117" i="16"/>
  <c r="H116" i="16"/>
  <c r="F116" i="16"/>
  <c r="H115" i="16"/>
  <c r="F115" i="16"/>
  <c r="H114" i="16"/>
  <c r="F114" i="16"/>
  <c r="F113" i="16"/>
  <c r="H113" i="16" s="1"/>
  <c r="F112" i="16"/>
  <c r="H112" i="16" s="1"/>
  <c r="H111" i="16"/>
  <c r="F111" i="16"/>
  <c r="H110" i="16"/>
  <c r="F110" i="16"/>
  <c r="H109" i="16"/>
  <c r="F109" i="16"/>
  <c r="H108" i="16"/>
  <c r="F108" i="16"/>
  <c r="F107" i="16"/>
  <c r="H107" i="16" s="1"/>
  <c r="F106" i="16"/>
  <c r="H106" i="16" s="1"/>
  <c r="H105" i="16"/>
  <c r="F105" i="16"/>
  <c r="H104" i="16"/>
  <c r="F104" i="16"/>
  <c r="H103" i="16"/>
  <c r="F103" i="16"/>
  <c r="H102" i="16"/>
  <c r="F102" i="16"/>
  <c r="F101" i="16"/>
  <c r="H101" i="16" s="1"/>
  <c r="F100" i="16"/>
  <c r="H100" i="16" s="1"/>
  <c r="H99" i="16"/>
  <c r="F99" i="16"/>
  <c r="H98" i="16"/>
  <c r="F98" i="16"/>
  <c r="H97" i="16"/>
  <c r="F97" i="16"/>
  <c r="H96" i="16"/>
  <c r="F96" i="16"/>
  <c r="F95" i="16"/>
  <c r="H95" i="16" s="1"/>
  <c r="F94" i="16"/>
  <c r="H94" i="16" s="1"/>
  <c r="H93" i="16"/>
  <c r="G93" i="16"/>
  <c r="F93" i="16"/>
  <c r="H92" i="16"/>
  <c r="F92" i="16"/>
  <c r="F91" i="16"/>
  <c r="H91" i="16" s="1"/>
  <c r="H90" i="16"/>
  <c r="F90" i="16"/>
  <c r="F89" i="16"/>
  <c r="H89" i="16" s="1"/>
  <c r="H88" i="16"/>
  <c r="F88" i="16"/>
  <c r="H87" i="16"/>
  <c r="F87" i="16"/>
  <c r="H86" i="16"/>
  <c r="F86" i="16"/>
  <c r="F85" i="16"/>
  <c r="H85" i="16" s="1"/>
  <c r="H84" i="16"/>
  <c r="F84" i="16"/>
  <c r="F83" i="16"/>
  <c r="H83" i="16" s="1"/>
  <c r="H82" i="16"/>
  <c r="G82" i="16"/>
  <c r="F82" i="16"/>
  <c r="H81" i="16"/>
  <c r="F81" i="16"/>
  <c r="G80" i="16"/>
  <c r="F80" i="16"/>
  <c r="H80" i="16" s="1"/>
  <c r="G79" i="16"/>
  <c r="F79" i="16"/>
  <c r="H79" i="16" s="1"/>
  <c r="G78" i="16"/>
  <c r="F78" i="16"/>
  <c r="H78" i="16" s="1"/>
  <c r="H77" i="16"/>
  <c r="G77" i="16"/>
  <c r="F77" i="16"/>
  <c r="G76" i="16"/>
  <c r="F76" i="16"/>
  <c r="H76" i="16" s="1"/>
  <c r="G75" i="16"/>
  <c r="F75" i="16"/>
  <c r="H75" i="16" s="1"/>
  <c r="G74" i="16"/>
  <c r="F74" i="16"/>
  <c r="H74" i="16" s="1"/>
  <c r="H73" i="16"/>
  <c r="G73" i="16"/>
  <c r="F73" i="16"/>
  <c r="H72" i="16"/>
  <c r="H71" i="16"/>
  <c r="H70" i="16"/>
  <c r="H69" i="16"/>
  <c r="G68" i="16"/>
  <c r="H68" i="16" s="1"/>
  <c r="F67" i="16"/>
  <c r="H67" i="16" s="1"/>
  <c r="H66" i="16"/>
  <c r="F66" i="16"/>
  <c r="H65" i="16"/>
  <c r="F65" i="16"/>
  <c r="H64" i="16"/>
  <c r="F64" i="16"/>
  <c r="H63" i="16"/>
  <c r="F63" i="16"/>
  <c r="F62" i="16"/>
  <c r="H62" i="16" s="1"/>
  <c r="F61" i="16"/>
  <c r="H61" i="16" s="1"/>
  <c r="H60" i="16"/>
  <c r="F60" i="16"/>
  <c r="H59" i="16"/>
  <c r="F59" i="16"/>
  <c r="H58" i="16"/>
  <c r="F58" i="16"/>
  <c r="H57" i="16"/>
  <c r="F57" i="16"/>
  <c r="F56" i="16"/>
  <c r="H56" i="16" s="1"/>
  <c r="F55" i="16"/>
  <c r="H55" i="16" s="1"/>
  <c r="H54" i="16"/>
  <c r="F54" i="16"/>
  <c r="H53" i="16"/>
  <c r="F53" i="16"/>
  <c r="H52" i="16"/>
  <c r="F52" i="16"/>
  <c r="H51" i="16"/>
  <c r="F51" i="16"/>
  <c r="F50" i="16"/>
  <c r="H50" i="16" s="1"/>
  <c r="F49" i="16"/>
  <c r="H49" i="16" s="1"/>
  <c r="H48" i="16"/>
  <c r="F48" i="16"/>
  <c r="H47" i="16"/>
  <c r="F47" i="16"/>
  <c r="H46" i="16"/>
  <c r="F46" i="16"/>
  <c r="H45" i="16"/>
  <c r="F45" i="16"/>
  <c r="F44" i="16"/>
  <c r="H44" i="16" s="1"/>
  <c r="F43" i="16"/>
  <c r="H43" i="16" s="1"/>
  <c r="H42" i="16"/>
  <c r="F42" i="16"/>
  <c r="H41" i="16"/>
  <c r="G41" i="16"/>
  <c r="F41" i="16"/>
  <c r="F40" i="16"/>
  <c r="H40" i="16" s="1"/>
  <c r="H39" i="16"/>
  <c r="F39" i="16"/>
  <c r="F38" i="16"/>
  <c r="H38" i="16" s="1"/>
  <c r="F37" i="16"/>
  <c r="H37" i="16" s="1"/>
  <c r="H36" i="16"/>
  <c r="F36" i="16"/>
  <c r="H35" i="16"/>
  <c r="F35" i="16"/>
  <c r="F34" i="16"/>
  <c r="H34" i="16" s="1"/>
  <c r="H33" i="16"/>
  <c r="F33" i="16"/>
  <c r="F32" i="16"/>
  <c r="H32" i="16" s="1"/>
  <c r="F31" i="16"/>
  <c r="H31" i="16" s="1"/>
  <c r="H30" i="16"/>
  <c r="F30" i="16"/>
  <c r="H29" i="16"/>
  <c r="F29" i="16"/>
  <c r="F28" i="16"/>
  <c r="H28" i="16" s="1"/>
  <c r="H27" i="16"/>
  <c r="F27" i="16"/>
  <c r="F26" i="16"/>
  <c r="H26" i="16" s="1"/>
  <c r="F25" i="16"/>
  <c r="H25" i="16" s="1"/>
  <c r="H24" i="16"/>
  <c r="F24" i="16"/>
  <c r="H23" i="16"/>
  <c r="F23" i="16"/>
  <c r="F22" i="16"/>
  <c r="H22" i="16" s="1"/>
  <c r="H21" i="16"/>
  <c r="F21" i="16"/>
  <c r="F20" i="16"/>
  <c r="H20" i="16" s="1"/>
  <c r="F19" i="16"/>
  <c r="H19" i="16" s="1"/>
  <c r="H18" i="16"/>
  <c r="F18" i="16"/>
  <c r="H17" i="16"/>
  <c r="F17" i="16"/>
  <c r="G16" i="16"/>
  <c r="H16" i="16" s="1"/>
  <c r="F16" i="16"/>
  <c r="G15" i="16"/>
  <c r="F15" i="16"/>
  <c r="H15" i="16" s="1"/>
  <c r="F14" i="16"/>
  <c r="H14" i="16" s="1"/>
  <c r="H13" i="16"/>
  <c r="F13" i="16"/>
  <c r="H12" i="16"/>
  <c r="G12" i="16"/>
  <c r="F12" i="16"/>
  <c r="H11" i="16"/>
  <c r="F11" i="16"/>
  <c r="F10" i="16"/>
  <c r="H10" i="16" s="1"/>
  <c r="F9" i="16"/>
  <c r="H9" i="16" s="1"/>
  <c r="H8" i="16"/>
  <c r="F8" i="16"/>
  <c r="H7" i="16"/>
  <c r="F7" i="16"/>
  <c r="H6" i="16"/>
  <c r="F6" i="16"/>
  <c r="H5" i="16"/>
  <c r="G5" i="16"/>
  <c r="F5" i="16"/>
  <c r="F4" i="16"/>
  <c r="H4" i="16" s="1"/>
  <c r="D4" i="16"/>
  <c r="F115" i="5"/>
  <c r="F56" i="8"/>
  <c r="F53" i="8"/>
  <c r="F14" i="2"/>
  <c r="F94" i="2"/>
  <c r="F31" i="2"/>
  <c r="F24" i="2"/>
  <c r="F175" i="2"/>
  <c r="F509" i="2"/>
  <c r="F537" i="2"/>
  <c r="F64" i="2"/>
  <c r="F62" i="2"/>
  <c r="F494" i="5"/>
  <c r="F117" i="5"/>
  <c r="F44" i="5"/>
  <c r="F387" i="2"/>
  <c r="F33" i="7"/>
  <c r="F433" i="2"/>
  <c r="F476" i="2"/>
  <c r="F58" i="2"/>
  <c r="F303" i="2"/>
  <c r="F233" i="2"/>
  <c r="F148" i="2"/>
  <c r="F147" i="2"/>
  <c r="F99" i="5"/>
  <c r="F98" i="5"/>
  <c r="F298" i="5"/>
  <c r="F258" i="5"/>
  <c r="F70" i="8"/>
  <c r="F234" i="5"/>
  <c r="F274" i="5"/>
  <c r="F410" i="5"/>
  <c r="F309" i="5"/>
  <c r="F179" i="5"/>
  <c r="F212" i="5"/>
  <c r="F41" i="2"/>
  <c r="F40" i="2"/>
  <c r="F238" i="5"/>
  <c r="F237" i="5"/>
  <c r="F296" i="5"/>
  <c r="E35" i="5"/>
  <c r="F3" i="2"/>
  <c r="G90" i="3"/>
  <c r="F389" i="2"/>
  <c r="F115" i="2"/>
  <c r="J21" i="13"/>
  <c r="J20" i="13"/>
  <c r="K10" i="13"/>
  <c r="I13" i="13"/>
  <c r="I14" i="13"/>
  <c r="I4" i="13"/>
  <c r="F10" i="12"/>
  <c r="F6" i="1"/>
  <c r="F5" i="1"/>
  <c r="F4" i="1"/>
  <c r="F3" i="1"/>
  <c r="F84" i="1"/>
  <c r="F19" i="1" l="1"/>
  <c r="D24" i="13"/>
  <c r="D23" i="13"/>
  <c r="F46" i="2"/>
  <c r="F45" i="2"/>
  <c r="F66" i="2"/>
  <c r="F22" i="2"/>
  <c r="F159" i="2"/>
  <c r="F255" i="5"/>
  <c r="F51" i="8"/>
  <c r="F50" i="8"/>
  <c r="F195" i="5"/>
  <c r="F241" i="5"/>
  <c r="F240" i="5"/>
  <c r="F130" i="5"/>
  <c r="F129" i="5"/>
  <c r="F383" i="2"/>
  <c r="F391" i="2"/>
  <c r="F388" i="2"/>
  <c r="F386" i="2"/>
  <c r="F416" i="2"/>
  <c r="F102" i="2"/>
  <c r="F177" i="2"/>
  <c r="F176" i="2"/>
  <c r="F515" i="2"/>
  <c r="F118" i="2"/>
  <c r="F277" i="2"/>
  <c r="F300" i="2"/>
  <c r="F156" i="2"/>
  <c r="F106" i="5"/>
  <c r="F66" i="8"/>
  <c r="F315" i="5"/>
  <c r="F314" i="5"/>
  <c r="F13" i="5"/>
  <c r="G117" i="3"/>
  <c r="G126" i="3"/>
  <c r="G130" i="3"/>
  <c r="F61" i="2"/>
  <c r="F60" i="2"/>
  <c r="F42" i="2"/>
  <c r="F307" i="2"/>
  <c r="F306" i="2"/>
  <c r="F305" i="2"/>
  <c r="F297" i="2"/>
  <c r="F296" i="2"/>
  <c r="F290" i="2"/>
  <c r="F289" i="2"/>
  <c r="F288" i="2"/>
  <c r="F30" i="2"/>
  <c r="F29" i="2"/>
  <c r="F11" i="2"/>
  <c r="F10" i="2"/>
  <c r="F9" i="2"/>
  <c r="F88" i="1"/>
  <c r="D29" i="13" l="1"/>
  <c r="F8" i="4"/>
  <c r="F7" i="4"/>
  <c r="F478" i="2"/>
  <c r="F477" i="2"/>
  <c r="J22" i="13"/>
  <c r="F7" i="1"/>
  <c r="F20" i="4"/>
  <c r="G350" i="3"/>
  <c r="G349" i="3"/>
  <c r="G353" i="3"/>
  <c r="G352" i="3"/>
  <c r="G314" i="3"/>
  <c r="F237" i="2"/>
  <c r="F236" i="2"/>
  <c r="F235" i="2"/>
  <c r="F550" i="2"/>
  <c r="F549" i="2"/>
  <c r="F548" i="2"/>
  <c r="F304" i="2"/>
  <c r="G222" i="3"/>
  <c r="G228" i="3"/>
  <c r="G220" i="3"/>
  <c r="G129" i="3"/>
  <c r="G125" i="3"/>
  <c r="G124" i="3"/>
  <c r="G118" i="3"/>
  <c r="G311" i="3"/>
  <c r="G310" i="3"/>
  <c r="F30" i="5"/>
  <c r="F29" i="5"/>
  <c r="F28" i="5"/>
  <c r="F26" i="5"/>
  <c r="F403" i="2"/>
  <c r="F402" i="2"/>
  <c r="F401" i="2"/>
  <c r="F287" i="2"/>
  <c r="F448" i="2"/>
  <c r="F447" i="2"/>
  <c r="F445" i="2"/>
  <c r="F90" i="2"/>
  <c r="F89" i="2"/>
  <c r="F87" i="2"/>
  <c r="G52" i="8"/>
  <c r="E122" i="7"/>
  <c r="E23" i="13"/>
  <c r="H25" i="13"/>
  <c r="F4" i="4"/>
  <c r="F21" i="4"/>
  <c r="F279" i="2"/>
  <c r="F278" i="2"/>
  <c r="F335" i="2"/>
  <c r="F334" i="2"/>
  <c r="F215" i="2"/>
  <c r="F214" i="2"/>
  <c r="F142" i="2"/>
  <c r="F141" i="2"/>
  <c r="F162" i="2"/>
  <c r="F161" i="2"/>
  <c r="G110" i="2"/>
  <c r="F110" i="2"/>
  <c r="F109" i="2"/>
  <c r="F99" i="2"/>
  <c r="F100" i="2"/>
  <c r="F390" i="2"/>
  <c r="E24" i="13"/>
  <c r="L14" i="15"/>
  <c r="E29" i="15"/>
  <c r="F59" i="2"/>
  <c r="F53" i="2"/>
  <c r="F51" i="2"/>
  <c r="F50" i="2"/>
  <c r="G229" i="3"/>
  <c r="G225" i="3"/>
  <c r="G226" i="3"/>
  <c r="G221" i="3"/>
  <c r="G217" i="3"/>
  <c r="G215" i="3"/>
  <c r="G121" i="3"/>
  <c r="G120" i="3"/>
  <c r="G119" i="3"/>
  <c r="G113" i="3"/>
  <c r="F81" i="5"/>
  <c r="F21" i="2"/>
  <c r="F20" i="2"/>
  <c r="D18" i="13"/>
  <c r="F81" i="7"/>
  <c r="F5" i="5"/>
  <c r="F43" i="3"/>
  <c r="F77" i="3"/>
  <c r="F71" i="3"/>
  <c r="F44" i="3"/>
  <c r="F81" i="3"/>
  <c r="F55" i="3"/>
  <c r="F58" i="3"/>
  <c r="F65" i="3"/>
  <c r="F76" i="3"/>
  <c r="F75" i="3"/>
  <c r="F85" i="3"/>
  <c r="F61" i="3"/>
  <c r="F56" i="3"/>
  <c r="F87" i="3"/>
  <c r="F86" i="3"/>
  <c r="F73" i="3"/>
  <c r="H73" i="3" s="1"/>
  <c r="F79" i="3"/>
  <c r="F80" i="3"/>
  <c r="F60" i="3"/>
  <c r="F41" i="3"/>
  <c r="F35" i="3"/>
  <c r="F78" i="3"/>
  <c r="H39" i="3"/>
  <c r="H40" i="3"/>
  <c r="F54" i="3"/>
  <c r="F49" i="3"/>
  <c r="F70" i="3"/>
  <c r="F36" i="3"/>
  <c r="H72" i="3"/>
  <c r="F66" i="3"/>
  <c r="F57" i="3"/>
  <c r="F52" i="3"/>
  <c r="F59" i="3"/>
  <c r="F37" i="3"/>
  <c r="F38" i="3"/>
  <c r="F84" i="3"/>
  <c r="F42" i="3"/>
  <c r="F69" i="3"/>
  <c r="F45" i="3"/>
  <c r="F50" i="3"/>
  <c r="F82" i="3"/>
  <c r="F83" i="3"/>
  <c r="F47" i="3"/>
  <c r="F48" i="3"/>
  <c r="F53" i="3"/>
  <c r="F116" i="5" l="1"/>
  <c r="F428" i="5"/>
  <c r="F58" i="7"/>
  <c r="F357" i="2"/>
  <c r="F348" i="2"/>
  <c r="F122" i="2"/>
  <c r="F229" i="2"/>
  <c r="F85" i="7"/>
  <c r="F314" i="2"/>
  <c r="F146" i="2"/>
  <c r="F143" i="5"/>
  <c r="F340" i="5"/>
  <c r="F49" i="8"/>
  <c r="F47" i="8"/>
  <c r="F285" i="5"/>
  <c r="F276" i="5"/>
  <c r="F34" i="5"/>
  <c r="F409" i="5"/>
  <c r="F308" i="5"/>
  <c r="F211" i="5"/>
  <c r="F47" i="5"/>
  <c r="F191" i="2"/>
  <c r="F451" i="5"/>
  <c r="F450" i="5"/>
  <c r="F241" i="2"/>
  <c r="F27" i="2"/>
  <c r="F25" i="2"/>
  <c r="F23" i="2"/>
  <c r="F286" i="2"/>
  <c r="F337" i="2"/>
  <c r="F8" i="2"/>
  <c r="F145" i="5"/>
  <c r="F35" i="5"/>
  <c r="F326" i="5"/>
  <c r="F413" i="5"/>
  <c r="F318" i="5"/>
  <c r="F176" i="5"/>
  <c r="F227" i="5"/>
  <c r="F488" i="2"/>
  <c r="F532" i="2"/>
  <c r="F32" i="7"/>
  <c r="F33" i="2"/>
  <c r="F32" i="2"/>
  <c r="F28" i="2"/>
  <c r="F525" i="2"/>
  <c r="F218" i="2"/>
  <c r="F75" i="2"/>
  <c r="F12" i="2"/>
  <c r="F111" i="5"/>
  <c r="F196" i="5"/>
  <c r="F215" i="5"/>
  <c r="F87" i="7"/>
  <c r="F86" i="7"/>
  <c r="F34" i="7"/>
  <c r="F96" i="2"/>
  <c r="F516" i="2"/>
  <c r="F526" i="2"/>
  <c r="F39" i="2"/>
  <c r="F272" i="2"/>
  <c r="F7" i="2"/>
  <c r="F424" i="2"/>
  <c r="F423" i="2"/>
  <c r="F110" i="5"/>
  <c r="F108" i="5"/>
  <c r="F144" i="5"/>
  <c r="F128" i="5"/>
  <c r="F126" i="5"/>
  <c r="F214" i="5"/>
  <c r="F213" i="5"/>
  <c r="F398" i="2"/>
  <c r="F397" i="2"/>
  <c r="F204" i="2"/>
  <c r="D28" i="13"/>
  <c r="F186" i="5"/>
  <c r="F297" i="5"/>
  <c r="F6" i="5"/>
  <c r="F369" i="5"/>
  <c r="F353" i="5"/>
  <c r="F56" i="5"/>
  <c r="F277" i="5"/>
  <c r="F287" i="5"/>
  <c r="F127" i="5"/>
  <c r="F342" i="2"/>
  <c r="F341" i="2"/>
  <c r="F340" i="2"/>
  <c r="F339" i="2"/>
  <c r="F104" i="1"/>
  <c r="F103" i="1"/>
  <c r="F463" i="2"/>
  <c r="F462" i="2"/>
  <c r="F461" i="2"/>
  <c r="F183" i="2"/>
  <c r="F182" i="2"/>
  <c r="F181" i="2"/>
  <c r="F102" i="7"/>
  <c r="F101" i="7"/>
  <c r="F209" i="5"/>
  <c r="F208" i="5"/>
  <c r="F207" i="5"/>
  <c r="F498" i="5"/>
  <c r="F133" i="2"/>
  <c r="F132" i="2"/>
  <c r="F131" i="2"/>
  <c r="F25" i="5"/>
  <c r="F24" i="5"/>
  <c r="F23" i="5"/>
  <c r="F123" i="2"/>
  <c r="F121" i="2"/>
  <c r="F238" i="2"/>
  <c r="F475" i="2"/>
  <c r="F474" i="2"/>
  <c r="F291" i="2"/>
  <c r="F21" i="1"/>
  <c r="F20" i="1"/>
  <c r="G351" i="3"/>
  <c r="G348" i="3"/>
  <c r="G346" i="3"/>
  <c r="G345" i="3"/>
  <c r="H345" i="3" s="1"/>
  <c r="G342" i="3"/>
  <c r="G341" i="3"/>
  <c r="G309" i="3"/>
  <c r="G308" i="3"/>
  <c r="G305" i="3"/>
  <c r="G304" i="3"/>
  <c r="F91" i="7"/>
  <c r="F13" i="9"/>
  <c r="F12" i="9"/>
  <c r="F18" i="1"/>
  <c r="F17" i="1"/>
  <c r="G582" i="3"/>
  <c r="G473" i="3"/>
  <c r="G481" i="3"/>
  <c r="G480" i="3"/>
  <c r="G489" i="3"/>
  <c r="G488" i="3"/>
  <c r="G485" i="3"/>
  <c r="F71" i="2"/>
  <c r="F70" i="2"/>
  <c r="F197" i="5"/>
  <c r="F288" i="5"/>
  <c r="F147" i="5"/>
  <c r="F212" i="2"/>
  <c r="F86" i="2"/>
  <c r="F106" i="2"/>
  <c r="F328" i="5"/>
  <c r="F307" i="5"/>
  <c r="F88" i="5"/>
  <c r="F302" i="2"/>
  <c r="G574" i="3"/>
  <c r="G448" i="3"/>
  <c r="F105" i="2"/>
  <c r="F218" i="5"/>
  <c r="F470" i="2"/>
  <c r="F20" i="3"/>
  <c r="F9" i="3"/>
  <c r="H12" i="3"/>
  <c r="F19" i="3"/>
  <c r="F11" i="3"/>
  <c r="F22" i="3"/>
  <c r="F23" i="3"/>
  <c r="F15" i="3"/>
  <c r="F7" i="3"/>
  <c r="F8" i="3"/>
  <c r="F27" i="3"/>
  <c r="F26" i="3"/>
  <c r="F21" i="3"/>
  <c r="F4" i="3"/>
  <c r="F3" i="3"/>
  <c r="F25" i="3"/>
  <c r="H25" i="3" s="1"/>
  <c r="F30" i="3"/>
  <c r="H30" i="3" s="1"/>
  <c r="H31" i="3"/>
  <c r="F17" i="3"/>
  <c r="F14" i="3"/>
  <c r="F349" i="3"/>
  <c r="F352" i="3"/>
  <c r="F351" i="3"/>
  <c r="F357" i="3"/>
  <c r="F345" i="3"/>
  <c r="F347" i="3"/>
  <c r="F354" i="3"/>
  <c r="H344" i="3"/>
  <c r="F343" i="3"/>
  <c r="F342" i="3"/>
  <c r="F341" i="3"/>
  <c r="F355" i="3"/>
  <c r="H355" i="3" s="1"/>
  <c r="F356" i="3"/>
  <c r="H356" i="3" s="1"/>
  <c r="H392" i="3"/>
  <c r="F386" i="3"/>
  <c r="F396" i="3"/>
  <c r="F385" i="3"/>
  <c r="F395" i="3"/>
  <c r="F390" i="3"/>
  <c r="F389" i="3"/>
  <c r="F388" i="3"/>
  <c r="F401" i="3"/>
  <c r="F399" i="3"/>
  <c r="H394" i="3"/>
  <c r="F393" i="3"/>
  <c r="H393" i="3" s="1"/>
  <c r="F387" i="3"/>
  <c r="F397" i="3"/>
  <c r="F391" i="3"/>
  <c r="F402" i="3"/>
  <c r="H402" i="3" s="1"/>
  <c r="F253" i="3"/>
  <c r="F255" i="3"/>
  <c r="F246" i="3"/>
  <c r="F248" i="3"/>
  <c r="F240" i="3"/>
  <c r="F251" i="3"/>
  <c r="F239" i="3"/>
  <c r="F252" i="3"/>
  <c r="F244" i="3"/>
  <c r="F245" i="3"/>
  <c r="F254" i="3"/>
  <c r="F247" i="3"/>
  <c r="F181" i="3"/>
  <c r="F186" i="3"/>
  <c r="F180" i="3"/>
  <c r="F190" i="3"/>
  <c r="F189" i="3"/>
  <c r="F187" i="3"/>
  <c r="F185" i="3"/>
  <c r="F184" i="3"/>
  <c r="F183" i="3"/>
  <c r="F188" i="3"/>
  <c r="H293" i="3"/>
  <c r="F288" i="3"/>
  <c r="F287" i="3"/>
  <c r="F286" i="3"/>
  <c r="F285" i="3"/>
  <c r="F284" i="3"/>
  <c r="F298" i="3"/>
  <c r="F297" i="3"/>
  <c r="F299" i="3"/>
  <c r="F290" i="3"/>
  <c r="F289" i="3"/>
  <c r="F300" i="3"/>
  <c r="F296" i="3"/>
  <c r="F295" i="3"/>
  <c r="F294" i="3"/>
  <c r="F292" i="3"/>
  <c r="F291" i="3"/>
  <c r="F301" i="3"/>
  <c r="F303" i="3"/>
  <c r="F302" i="3"/>
  <c r="H283" i="3"/>
  <c r="F103" i="3"/>
  <c r="F90" i="3"/>
  <c r="F107" i="3"/>
  <c r="F108" i="3"/>
  <c r="H91" i="3"/>
  <c r="H92" i="3"/>
  <c r="F99" i="3"/>
  <c r="F101" i="3"/>
  <c r="F102" i="3"/>
  <c r="F89" i="3"/>
  <c r="F88" i="3"/>
  <c r="F93" i="3"/>
  <c r="F97" i="3"/>
  <c r="F96" i="3"/>
  <c r="F95" i="3"/>
  <c r="F106" i="3"/>
  <c r="F105" i="3"/>
  <c r="F145" i="3"/>
  <c r="F143" i="3"/>
  <c r="F138" i="3"/>
  <c r="F140" i="3"/>
  <c r="F141" i="3"/>
  <c r="F363" i="3"/>
  <c r="F626" i="3"/>
  <c r="F630" i="3"/>
  <c r="F629" i="3"/>
  <c r="F625" i="3"/>
  <c r="F624" i="3"/>
  <c r="F434" i="3"/>
  <c r="F260" i="3"/>
  <c r="H438" i="3"/>
  <c r="H319" i="3"/>
  <c r="H237" i="3"/>
  <c r="H432" i="3"/>
  <c r="H321" i="3"/>
  <c r="H322" i="3"/>
  <c r="F623" i="3"/>
  <c r="F622" i="3"/>
  <c r="F618" i="3"/>
  <c r="F617" i="3"/>
  <c r="F619" i="3"/>
  <c r="H620" i="3"/>
  <c r="H621" i="3"/>
  <c r="H418" i="3"/>
  <c r="H422" i="3"/>
  <c r="H423" i="3"/>
  <c r="H414" i="3"/>
  <c r="H415" i="3"/>
  <c r="H170" i="3"/>
  <c r="H172" i="3"/>
  <c r="F165" i="3"/>
  <c r="H161" i="3"/>
  <c r="H162" i="3"/>
  <c r="H163" i="3"/>
  <c r="H280" i="3"/>
  <c r="H403" i="3"/>
  <c r="H436" i="3"/>
  <c r="H275" i="3"/>
  <c r="H276" i="3"/>
  <c r="H277" i="3"/>
  <c r="H383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66" i="3"/>
  <c r="H365" i="3"/>
  <c r="F122" i="7"/>
  <c r="G122" i="7" s="1"/>
  <c r="D27" i="13"/>
  <c r="F299" i="5"/>
  <c r="F295" i="5"/>
  <c r="F196" i="2"/>
  <c r="F316" i="5"/>
  <c r="F3" i="5"/>
  <c r="D2" i="13"/>
  <c r="F82" i="5"/>
  <c r="F80" i="5"/>
  <c r="F79" i="5"/>
  <c r="F247" i="5"/>
  <c r="F442" i="5"/>
  <c r="F330" i="5"/>
  <c r="F329" i="5"/>
  <c r="F9" i="5"/>
  <c r="F4" i="5"/>
  <c r="F217" i="5"/>
  <c r="F39" i="5"/>
  <c r="F97" i="5"/>
  <c r="F309" i="2"/>
  <c r="F125" i="2"/>
  <c r="D49" i="13"/>
  <c r="D48" i="13"/>
  <c r="D47" i="13"/>
  <c r="D46" i="13"/>
  <c r="D45" i="13"/>
  <c r="D44" i="13"/>
  <c r="D43" i="13"/>
  <c r="D42" i="13"/>
  <c r="D41" i="13"/>
  <c r="D40" i="13"/>
  <c r="D39" i="13"/>
  <c r="D38" i="13"/>
  <c r="F5" i="2" l="1"/>
  <c r="F446" i="2"/>
  <c r="F444" i="2"/>
  <c r="F443" i="2"/>
  <c r="F442" i="2"/>
  <c r="F479" i="2"/>
  <c r="F527" i="2"/>
  <c r="F425" i="2"/>
  <c r="F41" i="7"/>
  <c r="F40" i="7"/>
  <c r="F163" i="2"/>
  <c r="D12" i="13"/>
  <c r="D8" i="13"/>
  <c r="D16" i="13"/>
  <c r="E57" i="8"/>
  <c r="E56" i="8"/>
  <c r="E55" i="8"/>
  <c r="E54" i="8"/>
  <c r="E53" i="8"/>
  <c r="E50" i="8"/>
  <c r="E49" i="8"/>
  <c r="G48" i="8"/>
  <c r="E47" i="8"/>
  <c r="G46" i="8"/>
  <c r="E45" i="8"/>
  <c r="E287" i="5"/>
  <c r="E384" i="5"/>
  <c r="E94" i="7"/>
  <c r="E92" i="7"/>
  <c r="E334" i="2"/>
  <c r="E4" i="4"/>
  <c r="E55" i="9"/>
  <c r="E54" i="9"/>
  <c r="E53" i="9"/>
  <c r="E20" i="1"/>
  <c r="E19" i="1"/>
  <c r="E29" i="8" l="1"/>
  <c r="G30" i="8"/>
  <c r="G28" i="8"/>
  <c r="F193" i="2" l="1"/>
  <c r="F197" i="2"/>
  <c r="F129" i="2"/>
  <c r="F26" i="2"/>
  <c r="G345" i="2"/>
  <c r="F344" i="2"/>
  <c r="G344" i="2" s="1"/>
  <c r="F79" i="2"/>
  <c r="F46" i="5"/>
  <c r="F45" i="5"/>
  <c r="F47" i="2"/>
  <c r="F410" i="2"/>
  <c r="F134" i="2"/>
  <c r="F126" i="2"/>
  <c r="F506" i="2"/>
  <c r="F505" i="2"/>
  <c r="F7" i="5"/>
  <c r="F89" i="1"/>
  <c r="F87" i="1"/>
  <c r="F86" i="1"/>
  <c r="F85" i="1"/>
  <c r="F83" i="1"/>
  <c r="F9" i="1"/>
  <c r="F8" i="1"/>
  <c r="F8" i="5"/>
  <c r="F420" i="5"/>
  <c r="F419" i="5"/>
  <c r="F19" i="2"/>
  <c r="F18" i="2"/>
  <c r="F17" i="2"/>
  <c r="F16" i="2"/>
  <c r="G202" i="3"/>
  <c r="F114" i="2"/>
  <c r="F113" i="2"/>
  <c r="F452" i="2"/>
  <c r="F368" i="2"/>
  <c r="F367" i="2"/>
  <c r="F43" i="2"/>
  <c r="F18" i="7"/>
  <c r="F17" i="7"/>
  <c r="C34" i="13"/>
  <c r="E33" i="13"/>
  <c r="E3" i="13"/>
  <c r="E5" i="13"/>
  <c r="E7" i="13"/>
  <c r="E8" i="13"/>
  <c r="E9" i="13"/>
  <c r="C2" i="13"/>
  <c r="J25" i="13"/>
  <c r="F358" i="2"/>
  <c r="F356" i="2"/>
  <c r="F31" i="9"/>
  <c r="F78" i="7"/>
  <c r="K3" i="13"/>
  <c r="K14" i="13"/>
  <c r="K7" i="13"/>
  <c r="F19" i="5"/>
  <c r="F37" i="5"/>
  <c r="F17" i="5"/>
  <c r="F443" i="5"/>
  <c r="F146" i="5"/>
  <c r="E16" i="15"/>
  <c r="F482" i="2"/>
  <c r="E482" i="2"/>
  <c r="F12" i="5" l="1"/>
  <c r="F286" i="5" l="1"/>
  <c r="F427" i="5"/>
  <c r="F56" i="7"/>
  <c r="F52" i="2"/>
  <c r="F199" i="2"/>
  <c r="F414" i="2"/>
  <c r="F179" i="2"/>
  <c r="F518" i="2"/>
  <c r="F90" i="7"/>
  <c r="F88" i="7"/>
  <c r="F77" i="2"/>
  <c r="F313" i="2"/>
  <c r="F155" i="2"/>
  <c r="F150" i="2"/>
  <c r="F16" i="5"/>
  <c r="F341" i="5"/>
  <c r="F402" i="5"/>
  <c r="F236" i="5"/>
  <c r="F78" i="5"/>
  <c r="F205" i="5"/>
  <c r="F489" i="2"/>
  <c r="F48" i="2"/>
  <c r="F54" i="2"/>
  <c r="F231" i="2"/>
  <c r="F103" i="2"/>
  <c r="F18" i="5"/>
  <c r="F386" i="5"/>
  <c r="F339" i="5"/>
  <c r="F352" i="5"/>
  <c r="F55" i="5"/>
  <c r="F77" i="5"/>
  <c r="F65" i="5"/>
  <c r="F226" i="5"/>
  <c r="E14" i="15"/>
  <c r="K29" i="13"/>
  <c r="K30" i="13"/>
  <c r="K31" i="13"/>
  <c r="K32" i="13"/>
  <c r="K33" i="13"/>
  <c r="K28" i="13"/>
  <c r="F4" i="15"/>
  <c r="F6" i="15"/>
  <c r="F8" i="15"/>
  <c r="F10" i="15"/>
  <c r="F11" i="15"/>
  <c r="F12" i="15"/>
  <c r="F13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D9" i="15"/>
  <c r="F9" i="15" s="1"/>
  <c r="D8" i="15"/>
  <c r="D7" i="15"/>
  <c r="F7" i="15" s="1"/>
  <c r="D5" i="15"/>
  <c r="F5" i="15" s="1"/>
  <c r="D4" i="15"/>
  <c r="D14" i="15"/>
  <c r="D15" i="15"/>
  <c r="D16" i="15"/>
  <c r="F16" i="15" s="1"/>
  <c r="D28" i="15"/>
  <c r="D27" i="15"/>
  <c r="F130" i="2"/>
  <c r="F128" i="2"/>
  <c r="F239" i="2"/>
  <c r="F494" i="2"/>
  <c r="F514" i="2"/>
  <c r="F285" i="2"/>
  <c r="F304" i="5"/>
  <c r="F302" i="5"/>
  <c r="F301" i="5"/>
  <c r="F300" i="5"/>
  <c r="F261" i="5"/>
  <c r="G49" i="8"/>
  <c r="F310" i="5"/>
  <c r="F229" i="5"/>
  <c r="F445" i="5"/>
  <c r="F73" i="2"/>
  <c r="F318" i="2"/>
  <c r="F350" i="2"/>
  <c r="F349" i="2"/>
  <c r="F119" i="2"/>
  <c r="F22" i="5"/>
  <c r="F21" i="5"/>
  <c r="F20" i="5"/>
  <c r="F15" i="5"/>
  <c r="F31" i="5"/>
  <c r="F216" i="5"/>
  <c r="F198" i="2"/>
  <c r="F124" i="2"/>
  <c r="F169" i="2"/>
  <c r="F167" i="2"/>
  <c r="F165" i="2"/>
  <c r="F400" i="2"/>
  <c r="F192" i="2"/>
  <c r="F28" i="7"/>
  <c r="F83" i="2"/>
  <c r="F65" i="7"/>
  <c r="F312" i="2"/>
  <c r="F267" i="5"/>
  <c r="F496" i="5"/>
  <c r="F293" i="5"/>
  <c r="F368" i="5"/>
  <c r="F11" i="5"/>
  <c r="F10" i="5"/>
  <c r="F14" i="5"/>
  <c r="F6" i="2"/>
  <c r="F49" i="2"/>
  <c r="F51" i="5"/>
  <c r="F50" i="5"/>
  <c r="F49" i="5"/>
  <c r="F48" i="5"/>
  <c r="F27" i="5"/>
  <c r="F333" i="5"/>
  <c r="F332" i="5"/>
  <c r="F331" i="5"/>
  <c r="F219" i="5"/>
  <c r="F22" i="4"/>
  <c r="D6" i="13"/>
  <c r="E6" i="13" s="1"/>
  <c r="F93" i="7"/>
  <c r="F127" i="2"/>
  <c r="F81" i="2"/>
  <c r="F80" i="2"/>
  <c r="F78" i="2"/>
  <c r="F111" i="2"/>
  <c r="G111" i="2" s="1"/>
  <c r="F108" i="2"/>
  <c r="F372" i="5"/>
  <c r="F370" i="5"/>
  <c r="F195" i="2"/>
  <c r="F194" i="2"/>
  <c r="F41" i="5"/>
  <c r="F40" i="5"/>
  <c r="F38" i="5"/>
  <c r="F282" i="2"/>
  <c r="F44" i="2"/>
  <c r="F38" i="2"/>
  <c r="F37" i="2"/>
  <c r="F36" i="2"/>
  <c r="F35" i="2"/>
  <c r="F34" i="2"/>
  <c r="F101" i="2"/>
  <c r="F98" i="2"/>
  <c r="F97" i="2"/>
  <c r="F95" i="2"/>
  <c r="F107" i="5"/>
  <c r="F25" i="9"/>
  <c r="F459" i="5"/>
  <c r="F47" i="9"/>
  <c r="F46" i="9"/>
  <c r="F45" i="9"/>
  <c r="E6" i="5"/>
  <c r="F51" i="9"/>
  <c r="F27" i="9"/>
  <c r="F26" i="7"/>
  <c r="F25" i="7"/>
  <c r="F24" i="7"/>
  <c r="F23" i="7"/>
  <c r="F14" i="15" l="1"/>
  <c r="G491" i="3"/>
  <c r="F511" i="2"/>
  <c r="F56" i="1"/>
  <c r="F381" i="2"/>
  <c r="F380" i="2"/>
  <c r="F379" i="2"/>
  <c r="F378" i="2"/>
  <c r="F377" i="2"/>
  <c r="F376" i="2"/>
  <c r="F375" i="2"/>
  <c r="F374" i="2"/>
  <c r="F166" i="5"/>
  <c r="F248" i="5"/>
  <c r="F24" i="12"/>
  <c r="F24" i="1"/>
  <c r="F52" i="9"/>
  <c r="F67" i="1"/>
  <c r="F66" i="1"/>
  <c r="F100" i="1"/>
  <c r="F99" i="1"/>
  <c r="F98" i="1"/>
  <c r="F280" i="2"/>
  <c r="F25" i="1"/>
  <c r="F23" i="1"/>
  <c r="F8" i="9"/>
  <c r="F7" i="9"/>
  <c r="F6" i="9"/>
  <c r="F61" i="1"/>
  <c r="F60" i="1"/>
  <c r="F59" i="1"/>
  <c r="F82" i="1"/>
  <c r="F81" i="1"/>
  <c r="F19" i="14"/>
  <c r="E31" i="2"/>
  <c r="L3" i="15"/>
  <c r="F177" i="5"/>
  <c r="D34" i="13" l="1"/>
  <c r="D32" i="13"/>
  <c r="F407" i="5" l="1"/>
  <c r="F337" i="5"/>
  <c r="F451" i="2"/>
  <c r="F166" i="2"/>
  <c r="F157" i="2"/>
  <c r="F71" i="8"/>
  <c r="F131" i="5"/>
  <c r="F119" i="5"/>
  <c r="F54" i="8"/>
  <c r="F308" i="2"/>
  <c r="F61" i="5"/>
  <c r="F250" i="5"/>
  <c r="F533" i="2"/>
  <c r="F31" i="7"/>
  <c r="F355" i="2"/>
  <c r="F354" i="2"/>
  <c r="F353" i="2"/>
  <c r="F512" i="2"/>
  <c r="F301" i="2"/>
  <c r="F38" i="8"/>
  <c r="F290" i="5"/>
  <c r="F43" i="5"/>
  <c r="F42" i="1"/>
  <c r="F41" i="1"/>
  <c r="F298" i="2"/>
  <c r="F13" i="2"/>
  <c r="F278" i="5"/>
  <c r="F9" i="11"/>
  <c r="F205" i="2"/>
  <c r="F198" i="5"/>
  <c r="F140" i="5"/>
  <c r="F148" i="5"/>
  <c r="E4" i="5"/>
  <c r="E3" i="5"/>
  <c r="F58" i="1"/>
  <c r="F57" i="1"/>
  <c r="F97" i="1"/>
  <c r="F96" i="1"/>
  <c r="F95" i="1"/>
  <c r="F88" i="2"/>
  <c r="F201" i="2" l="1"/>
  <c r="F36" i="5"/>
  <c r="F150" i="5"/>
  <c r="F76" i="5"/>
  <c r="F165" i="5"/>
  <c r="F85" i="2"/>
  <c r="F84" i="2"/>
  <c r="F93" i="2"/>
  <c r="F245" i="2"/>
  <c r="F117" i="2"/>
  <c r="F135" i="5"/>
  <c r="F134" i="5"/>
  <c r="G505" i="3"/>
  <c r="G520" i="3"/>
  <c r="F283" i="2"/>
  <c r="F45" i="8"/>
  <c r="F33" i="5"/>
  <c r="F124" i="5"/>
  <c r="F292" i="2"/>
  <c r="F464" i="2"/>
  <c r="F284" i="2"/>
  <c r="F125" i="5"/>
  <c r="F446" i="5"/>
  <c r="F116" i="2"/>
  <c r="F299" i="2"/>
  <c r="F338" i="5"/>
  <c r="F65" i="8"/>
  <c r="F58" i="8"/>
  <c r="F75" i="5"/>
  <c r="F486" i="2"/>
  <c r="F485" i="2"/>
  <c r="F484" i="2"/>
  <c r="F483" i="2"/>
  <c r="F359" i="2"/>
  <c r="F448" i="5"/>
  <c r="F447" i="5"/>
  <c r="F15" i="2"/>
  <c r="F271" i="2"/>
  <c r="F57" i="2"/>
  <c r="K5" i="13" l="1"/>
  <c r="F251" i="5"/>
  <c r="F249" i="5"/>
  <c r="F57" i="7"/>
  <c r="F384" i="2"/>
  <c r="F487" i="5"/>
  <c r="F16" i="4"/>
  <c r="E15" i="15"/>
  <c r="F15" i="15" s="1"/>
  <c r="F44" i="4"/>
  <c r="F31" i="4"/>
  <c r="F272" i="5" l="1"/>
  <c r="F271" i="5"/>
  <c r="F270" i="5"/>
  <c r="F139" i="5"/>
  <c r="F138" i="5"/>
  <c r="F73" i="7"/>
  <c r="F72" i="7"/>
  <c r="F19" i="7"/>
  <c r="F417" i="2"/>
  <c r="F412" i="2"/>
  <c r="F79" i="7"/>
  <c r="F64" i="7"/>
  <c r="F187" i="5"/>
  <c r="F365" i="2"/>
  <c r="F152" i="2"/>
  <c r="F369" i="2"/>
  <c r="F385" i="2"/>
  <c r="F220" i="2"/>
  <c r="E533" i="2"/>
  <c r="E532" i="2"/>
  <c r="F224" i="2"/>
  <c r="F223" i="2"/>
  <c r="F222" i="2"/>
  <c r="F219" i="2"/>
  <c r="F234" i="2"/>
  <c r="F71" i="5"/>
  <c r="E36" i="5" l="1"/>
  <c r="F34" i="4" l="1"/>
  <c r="G257" i="5" l="1"/>
  <c r="F174" i="5" l="1"/>
  <c r="F158" i="2"/>
  <c r="G597" i="3"/>
  <c r="F80" i="7"/>
  <c r="F507" i="2"/>
  <c r="F4" i="2"/>
  <c r="F267" i="2" l="1"/>
  <c r="F260" i="2"/>
  <c r="F492" i="5"/>
  <c r="F347" i="2"/>
  <c r="F492" i="2"/>
  <c r="F408" i="5"/>
  <c r="F508" i="2"/>
  <c r="F385" i="5"/>
  <c r="F384" i="5"/>
  <c r="F305" i="5"/>
  <c r="F294" i="5"/>
  <c r="F32" i="8"/>
  <c r="F31" i="8"/>
  <c r="F449" i="5"/>
  <c r="F185" i="5"/>
  <c r="M4" i="15"/>
  <c r="M5" i="15"/>
  <c r="M6" i="15"/>
  <c r="M7" i="15"/>
  <c r="M8" i="15"/>
  <c r="M9" i="15"/>
  <c r="M11" i="15"/>
  <c r="M12" i="15"/>
  <c r="M13" i="15"/>
  <c r="M3" i="15"/>
  <c r="G482" i="3"/>
  <c r="F11" i="14"/>
  <c r="F19" i="4"/>
  <c r="F18" i="4"/>
  <c r="F17" i="4"/>
  <c r="F87" i="5"/>
  <c r="F311" i="2"/>
  <c r="F112" i="2"/>
  <c r="F55" i="2"/>
  <c r="E480" i="2" l="1"/>
  <c r="F3" i="15" l="1"/>
  <c r="E295" i="5" l="1"/>
  <c r="E331" i="5"/>
  <c r="E330" i="5"/>
  <c r="E329" i="5"/>
  <c r="E328" i="5"/>
  <c r="E327" i="5"/>
  <c r="E143" i="5"/>
  <c r="E82" i="7"/>
  <c r="E481" i="2"/>
  <c r="G479" i="2"/>
  <c r="E478" i="2"/>
  <c r="E477" i="2"/>
  <c r="G534" i="2"/>
  <c r="E443" i="2"/>
  <c r="G425" i="2"/>
  <c r="E424" i="2"/>
  <c r="E423" i="2"/>
  <c r="E422" i="2"/>
  <c r="E289" i="2"/>
  <c r="E3" i="14"/>
  <c r="E18" i="1"/>
  <c r="E9" i="1"/>
  <c r="E8" i="1"/>
  <c r="E7" i="1"/>
  <c r="F29" i="7" l="1"/>
  <c r="F469" i="2"/>
  <c r="F317" i="5"/>
  <c r="F450" i="2"/>
  <c r="F52" i="5"/>
  <c r="F497" i="2"/>
  <c r="F154" i="2"/>
  <c r="D14" i="13"/>
  <c r="F441" i="2" l="1"/>
  <c r="F289" i="5"/>
  <c r="F291" i="5"/>
  <c r="F462" i="5"/>
  <c r="F461" i="5"/>
  <c r="F187" i="2"/>
  <c r="F257" i="2"/>
  <c r="D4" i="13"/>
  <c r="E4" i="13" s="1"/>
  <c r="F273" i="2"/>
  <c r="F167" i="5"/>
  <c r="F149" i="2"/>
  <c r="F244" i="2" l="1"/>
  <c r="F274" i="2"/>
  <c r="F151" i="2"/>
  <c r="F332" i="2"/>
  <c r="F60" i="7"/>
  <c r="F199" i="5"/>
  <c r="F412" i="5"/>
  <c r="F411" i="5"/>
  <c r="D17" i="13"/>
  <c r="F370" i="2"/>
  <c r="F372" i="2"/>
  <c r="F444" i="5"/>
  <c r="L13" i="13"/>
  <c r="L11" i="13"/>
  <c r="L8" i="13"/>
  <c r="L6" i="13"/>
  <c r="L4" i="13"/>
  <c r="F517" i="2"/>
  <c r="F180" i="2"/>
  <c r="F152" i="5"/>
  <c r="F151" i="5"/>
  <c r="F149" i="5"/>
  <c r="F319" i="5"/>
  <c r="F59" i="7"/>
  <c r="F43" i="1"/>
  <c r="F295" i="2"/>
  <c r="F66" i="7"/>
  <c r="E30" i="2"/>
  <c r="G52" i="9"/>
  <c r="G51" i="9"/>
  <c r="F294" i="2" l="1"/>
  <c r="F230" i="2"/>
  <c r="F497" i="5"/>
  <c r="F9" i="14" l="1"/>
  <c r="H22" i="3" l="1"/>
  <c r="F373" i="2"/>
  <c r="F371" i="2"/>
  <c r="F259" i="5"/>
  <c r="F354" i="5"/>
  <c r="E34" i="13"/>
  <c r="E32" i="13"/>
  <c r="K25" i="13"/>
  <c r="F364" i="2" l="1"/>
  <c r="F171" i="2"/>
  <c r="F54" i="9"/>
  <c r="F432" i="2"/>
  <c r="F225" i="2"/>
  <c r="F226" i="2"/>
  <c r="F170" i="5"/>
  <c r="F201" i="5" l="1"/>
  <c r="F153" i="2"/>
  <c r="F109" i="5"/>
  <c r="F471" i="5"/>
  <c r="F232" i="2"/>
  <c r="F56" i="2"/>
  <c r="F67" i="5"/>
  <c r="E28" i="13" l="1"/>
  <c r="E29" i="13"/>
  <c r="E27" i="13"/>
  <c r="F169" i="5"/>
  <c r="G492" i="3"/>
  <c r="F200" i="5"/>
  <c r="F28" i="9" l="1"/>
  <c r="F198" i="3" l="1"/>
  <c r="H194" i="3" l="1"/>
  <c r="H195" i="3"/>
  <c r="H196" i="3"/>
  <c r="H197" i="3"/>
  <c r="H198" i="3"/>
  <c r="H199" i="3"/>
  <c r="H200" i="3"/>
  <c r="H201" i="3"/>
  <c r="H202" i="3"/>
  <c r="H203" i="3"/>
  <c r="H204" i="3"/>
  <c r="H205" i="3"/>
  <c r="H206" i="3"/>
  <c r="H208" i="3"/>
  <c r="H209" i="3"/>
  <c r="F207" i="3"/>
  <c r="H207" i="3" s="1"/>
  <c r="H334" i="3"/>
  <c r="F129" i="3"/>
  <c r="F111" i="3"/>
  <c r="H28" i="3"/>
  <c r="H27" i="3"/>
  <c r="H23" i="3"/>
  <c r="H20" i="3"/>
  <c r="H7" i="3"/>
  <c r="H5" i="3"/>
  <c r="G506" i="5"/>
  <c r="G509" i="5"/>
  <c r="E508" i="5"/>
  <c r="G508" i="5" s="1"/>
  <c r="E507" i="5"/>
  <c r="G507" i="5" s="1"/>
  <c r="E298" i="5"/>
  <c r="E297" i="5"/>
  <c r="E296" i="5"/>
  <c r="E294" i="5"/>
  <c r="E289" i="5"/>
  <c r="G289" i="5" s="1"/>
  <c r="E151" i="5"/>
  <c r="E150" i="5"/>
  <c r="E149" i="5"/>
  <c r="E148" i="5"/>
  <c r="E147" i="5"/>
  <c r="E146" i="5"/>
  <c r="E144" i="5"/>
  <c r="E34" i="5"/>
  <c r="G88" i="7"/>
  <c r="G92" i="7"/>
  <c r="E91" i="7"/>
  <c r="G91" i="7" s="1"/>
  <c r="E90" i="7"/>
  <c r="G90" i="7" s="1"/>
  <c r="E89" i="7"/>
  <c r="G89" i="7" s="1"/>
  <c r="E87" i="7"/>
  <c r="E86" i="7"/>
  <c r="E85" i="7"/>
  <c r="E84" i="7"/>
  <c r="E83" i="7"/>
  <c r="E81" i="7"/>
  <c r="G104" i="7"/>
  <c r="E108" i="7"/>
  <c r="G108" i="7" s="1"/>
  <c r="E107" i="7"/>
  <c r="G107" i="7" s="1"/>
  <c r="E106" i="7"/>
  <c r="G106" i="7" s="1"/>
  <c r="E105" i="7"/>
  <c r="G105" i="7" s="1"/>
  <c r="E102" i="7"/>
  <c r="E80" i="7"/>
  <c r="G80" i="7" s="1"/>
  <c r="E79" i="7"/>
  <c r="G79" i="7" s="1"/>
  <c r="E78" i="7"/>
  <c r="G78" i="7" s="1"/>
  <c r="E77" i="7"/>
  <c r="G77" i="7" s="1"/>
  <c r="E76" i="7"/>
  <c r="G76" i="7" s="1"/>
  <c r="E50" i="7"/>
  <c r="G50" i="7" s="1"/>
  <c r="E46" i="7"/>
  <c r="G46" i="7" s="1"/>
  <c r="G36" i="7"/>
  <c r="G37" i="7"/>
  <c r="E42" i="7"/>
  <c r="G42" i="7" s="1"/>
  <c r="E41" i="7"/>
  <c r="G41" i="7" s="1"/>
  <c r="E40" i="7"/>
  <c r="G40" i="7" s="1"/>
  <c r="E39" i="7"/>
  <c r="G39" i="7" s="1"/>
  <c r="E38" i="7"/>
  <c r="G38" i="7" s="1"/>
  <c r="G20" i="7"/>
  <c r="G21" i="7"/>
  <c r="G22" i="7"/>
  <c r="G23" i="7"/>
  <c r="G24" i="7"/>
  <c r="G10" i="7"/>
  <c r="E12" i="7"/>
  <c r="G12" i="7" s="1"/>
  <c r="E11" i="7"/>
  <c r="G11" i="7" s="1"/>
  <c r="G3" i="7"/>
  <c r="E9" i="7"/>
  <c r="G9" i="7" s="1"/>
  <c r="E8" i="7"/>
  <c r="G8" i="7" s="1"/>
  <c r="E7" i="7"/>
  <c r="G7" i="7" s="1"/>
  <c r="E6" i="7"/>
  <c r="G6" i="7" s="1"/>
  <c r="E5" i="7"/>
  <c r="G5" i="7" s="1"/>
  <c r="E4" i="7"/>
  <c r="G4" i="7" s="1"/>
  <c r="G474" i="2"/>
  <c r="E475" i="2"/>
  <c r="G475" i="2" s="1"/>
  <c r="E463" i="2"/>
  <c r="G463" i="2" s="1"/>
  <c r="E462" i="2"/>
  <c r="G462" i="2" s="1"/>
  <c r="E449" i="2"/>
  <c r="G449" i="2" s="1"/>
  <c r="E448" i="2"/>
  <c r="G448" i="2" s="1"/>
  <c r="G456" i="2"/>
  <c r="G457" i="2"/>
  <c r="E455" i="2"/>
  <c r="E454" i="2"/>
  <c r="E527" i="2"/>
  <c r="E526" i="2"/>
  <c r="E525" i="2"/>
  <c r="G500" i="2"/>
  <c r="G502" i="2"/>
  <c r="G503" i="2"/>
  <c r="G504" i="2"/>
  <c r="E501" i="2"/>
  <c r="G501" i="2" s="1"/>
  <c r="E499" i="2"/>
  <c r="G499" i="2" s="1"/>
  <c r="G544" i="2"/>
  <c r="G545" i="2"/>
  <c r="G546" i="2"/>
  <c r="G547" i="2"/>
  <c r="G548" i="2"/>
  <c r="G550" i="2"/>
  <c r="E549" i="2"/>
  <c r="G549" i="2" s="1"/>
  <c r="E371" i="2"/>
  <c r="G371" i="2" s="1"/>
  <c r="E369" i="2"/>
  <c r="G369" i="2" s="1"/>
  <c r="E207" i="2"/>
  <c r="E198" i="2"/>
  <c r="E197" i="2"/>
  <c r="E196" i="2"/>
  <c r="E195" i="2"/>
  <c r="E194" i="2"/>
  <c r="E193" i="2"/>
  <c r="E192" i="2"/>
  <c r="E191" i="2"/>
  <c r="G72" i="2"/>
  <c r="G17" i="9"/>
  <c r="E6" i="1"/>
  <c r="E4" i="1"/>
  <c r="E3" i="1"/>
  <c r="F5" i="4" l="1"/>
  <c r="F206" i="5"/>
  <c r="G290" i="2"/>
  <c r="G132" i="3"/>
  <c r="G123" i="3"/>
  <c r="G122" i="3"/>
  <c r="F121" i="7"/>
  <c r="F113" i="5"/>
  <c r="F57" i="8" l="1"/>
  <c r="F498" i="2"/>
  <c r="F168" i="2"/>
  <c r="F330" i="2"/>
  <c r="F184" i="2"/>
  <c r="F281" i="2"/>
  <c r="G290" i="5"/>
  <c r="F459" i="2"/>
  <c r="F458" i="2"/>
  <c r="F240" i="2"/>
  <c r="F336" i="2"/>
  <c r="D11" i="13"/>
  <c r="E11" i="13" s="1"/>
  <c r="F174" i="2" l="1"/>
  <c r="F275" i="2"/>
  <c r="F293" i="2"/>
  <c r="H21" i="3"/>
  <c r="F292" i="5"/>
  <c r="F200" i="2" l="1"/>
  <c r="H255" i="3" l="1"/>
  <c r="H256" i="3"/>
  <c r="H398" i="3"/>
  <c r="F57" i="5" l="1"/>
  <c r="H340" i="3"/>
  <c r="H354" i="3"/>
  <c r="H259" i="3"/>
  <c r="H164" i="3"/>
  <c r="H160" i="3"/>
  <c r="H142" i="3"/>
  <c r="H143" i="3"/>
  <c r="H144" i="3"/>
  <c r="H145" i="3"/>
  <c r="H141" i="3"/>
  <c r="H140" i="3"/>
  <c r="H139" i="3"/>
  <c r="H138" i="3"/>
  <c r="F126" i="3"/>
  <c r="F125" i="3"/>
  <c r="H29" i="3"/>
  <c r="H26" i="3"/>
  <c r="H24" i="3"/>
  <c r="H11" i="3"/>
  <c r="H10" i="3"/>
  <c r="H9" i="3"/>
  <c r="H8" i="3"/>
  <c r="H4" i="3"/>
  <c r="H3" i="3"/>
  <c r="H22" i="13" l="1"/>
  <c r="G384" i="5"/>
  <c r="G351" i="5"/>
  <c r="E306" i="5"/>
  <c r="E300" i="5"/>
  <c r="E299" i="5"/>
  <c r="E250" i="5"/>
  <c r="E249" i="5"/>
  <c r="E248" i="5"/>
  <c r="G246" i="5"/>
  <c r="E235" i="5"/>
  <c r="G225" i="5"/>
  <c r="G223" i="5"/>
  <c r="E219" i="5"/>
  <c r="E218" i="5"/>
  <c r="E217" i="5"/>
  <c r="E216" i="5"/>
  <c r="E215" i="5"/>
  <c r="E214" i="5"/>
  <c r="E213" i="5"/>
  <c r="E212" i="5"/>
  <c r="E196" i="5"/>
  <c r="E195" i="5"/>
  <c r="G175" i="5"/>
  <c r="E184" i="5"/>
  <c r="G155" i="5"/>
  <c r="E145" i="5"/>
  <c r="G144" i="5"/>
  <c r="E115" i="5"/>
  <c r="G109" i="7"/>
  <c r="G110" i="7"/>
  <c r="G111" i="7"/>
  <c r="G112" i="7"/>
  <c r="G113" i="7"/>
  <c r="G114" i="7"/>
  <c r="G115" i="7"/>
  <c r="G93" i="7"/>
  <c r="G94" i="7"/>
  <c r="E120" i="7"/>
  <c r="E119" i="7"/>
  <c r="E118" i="7"/>
  <c r="E117" i="7"/>
  <c r="E116" i="7"/>
  <c r="G95" i="7"/>
  <c r="G96" i="7"/>
  <c r="G97" i="7"/>
  <c r="G98" i="7"/>
  <c r="G99" i="7"/>
  <c r="G100" i="7"/>
  <c r="G101" i="7"/>
  <c r="G102" i="7"/>
  <c r="G103" i="7"/>
  <c r="G81" i="7"/>
  <c r="G82" i="7"/>
  <c r="G83" i="7"/>
  <c r="G84" i="7"/>
  <c r="G85" i="7"/>
  <c r="G86" i="7"/>
  <c r="G87" i="7"/>
  <c r="E18" i="7"/>
  <c r="G18" i="7" s="1"/>
  <c r="E73" i="7"/>
  <c r="E72" i="7"/>
  <c r="E71" i="7"/>
  <c r="E70" i="7"/>
  <c r="E69" i="7"/>
  <c r="E68" i="7"/>
  <c r="G67" i="7"/>
  <c r="E66" i="7"/>
  <c r="E65" i="7"/>
  <c r="G65" i="7" s="1"/>
  <c r="E64" i="7"/>
  <c r="G64" i="7" s="1"/>
  <c r="E63" i="7"/>
  <c r="E62" i="7"/>
  <c r="E61" i="7"/>
  <c r="E60" i="7"/>
  <c r="G14" i="7"/>
  <c r="G28" i="7"/>
  <c r="G29" i="7"/>
  <c r="G43" i="7"/>
  <c r="G44" i="7"/>
  <c r="G45" i="7"/>
  <c r="G51" i="7"/>
  <c r="G52" i="7"/>
  <c r="G53" i="7"/>
  <c r="G54" i="7"/>
  <c r="G55" i="7"/>
  <c r="G56" i="7"/>
  <c r="G57" i="7"/>
  <c r="G58" i="7"/>
  <c r="G59" i="7"/>
  <c r="G13" i="7"/>
  <c r="E49" i="7"/>
  <c r="G49" i="7" s="1"/>
  <c r="E48" i="7"/>
  <c r="G48" i="7" s="1"/>
  <c r="E47" i="7"/>
  <c r="G47" i="7" s="1"/>
  <c r="E35" i="7"/>
  <c r="G35" i="7" s="1"/>
  <c r="E34" i="7"/>
  <c r="G34" i="7" s="1"/>
  <c r="E33" i="7"/>
  <c r="G33" i="7" s="1"/>
  <c r="E32" i="7"/>
  <c r="G32" i="7" s="1"/>
  <c r="E31" i="7"/>
  <c r="G31" i="7" s="1"/>
  <c r="E30" i="7"/>
  <c r="G30" i="7" s="1"/>
  <c r="E27" i="7"/>
  <c r="G27" i="7" s="1"/>
  <c r="E26" i="7"/>
  <c r="G26" i="7" s="1"/>
  <c r="E25" i="7"/>
  <c r="G25" i="7" s="1"/>
  <c r="E19" i="7"/>
  <c r="G19" i="7" s="1"/>
  <c r="E17" i="7"/>
  <c r="G17" i="7" s="1"/>
  <c r="E16" i="7"/>
  <c r="G16" i="7" s="1"/>
  <c r="E15" i="7"/>
  <c r="G15" i="7" s="1"/>
  <c r="E511" i="2"/>
  <c r="E510" i="2"/>
  <c r="E509" i="2"/>
  <c r="E508" i="2"/>
  <c r="E507" i="2"/>
  <c r="E506" i="2"/>
  <c r="E505" i="2"/>
  <c r="G374" i="2"/>
  <c r="G375" i="2"/>
  <c r="G376" i="2"/>
  <c r="G379" i="2"/>
  <c r="G380" i="2"/>
  <c r="E381" i="2"/>
  <c r="G381" i="2" s="1"/>
  <c r="E378" i="2"/>
  <c r="G378" i="2" s="1"/>
  <c r="E377" i="2"/>
  <c r="G377" i="2" s="1"/>
  <c r="G370" i="2"/>
  <c r="E373" i="2"/>
  <c r="G373" i="2" s="1"/>
  <c r="E372" i="2"/>
  <c r="G372" i="2" s="1"/>
  <c r="G359" i="2"/>
  <c r="E358" i="2"/>
  <c r="G358" i="2" s="1"/>
  <c r="E342" i="2"/>
  <c r="E341" i="2"/>
  <c r="E340" i="2"/>
  <c r="E339" i="2"/>
  <c r="E336" i="2"/>
  <c r="E335" i="2"/>
  <c r="G329" i="2"/>
  <c r="G330" i="2"/>
  <c r="G331" i="2"/>
  <c r="G332" i="2"/>
  <c r="G333" i="2"/>
  <c r="G334" i="2"/>
  <c r="E304" i="2"/>
  <c r="E302" i="2"/>
  <c r="E261" i="2"/>
  <c r="E260" i="2"/>
  <c r="E259" i="2"/>
  <c r="E258" i="2"/>
  <c r="E257" i="2"/>
  <c r="E256" i="2"/>
  <c r="E235" i="2"/>
  <c r="E234" i="2"/>
  <c r="E233" i="2"/>
  <c r="E232" i="2"/>
  <c r="E231" i="2"/>
  <c r="E230" i="2"/>
  <c r="E229" i="2"/>
  <c r="E132" i="2"/>
  <c r="E130" i="2"/>
  <c r="E101" i="2"/>
  <c r="E100" i="2"/>
  <c r="E99" i="2"/>
  <c r="E98" i="2"/>
  <c r="E97" i="2"/>
  <c r="E96" i="2"/>
  <c r="E95" i="2"/>
  <c r="E94" i="2"/>
  <c r="G81" i="2"/>
  <c r="E80" i="2"/>
  <c r="G80" i="2" s="1"/>
  <c r="E89" i="2"/>
  <c r="E88" i="2"/>
  <c r="E87" i="2"/>
  <c r="E86" i="2"/>
  <c r="E85" i="2"/>
  <c r="E84" i="2"/>
  <c r="G71" i="2"/>
  <c r="E3" i="2"/>
  <c r="E44" i="9"/>
  <c r="G44" i="9" s="1"/>
  <c r="E43" i="9"/>
  <c r="G43" i="9" s="1"/>
  <c r="E42" i="9"/>
  <c r="G42" i="9" s="1"/>
  <c r="E41" i="9"/>
  <c r="G41" i="9" s="1"/>
  <c r="E40" i="9"/>
  <c r="G40" i="9" s="1"/>
  <c r="E39" i="9"/>
  <c r="G39" i="9" s="1"/>
  <c r="G33" i="9"/>
  <c r="E35" i="9"/>
  <c r="G35" i="9" s="1"/>
  <c r="E34" i="9"/>
  <c r="G34" i="9" s="1"/>
  <c r="E33" i="9"/>
  <c r="G53" i="9"/>
  <c r="G54" i="9"/>
  <c r="G55" i="9"/>
  <c r="E16" i="9"/>
  <c r="G16" i="9" s="1"/>
  <c r="E15" i="9"/>
  <c r="G15" i="9" s="1"/>
  <c r="F89" i="5" l="1"/>
  <c r="F327" i="5"/>
  <c r="F34" i="8"/>
  <c r="F33" i="8"/>
  <c r="F107" i="2"/>
  <c r="L14" i="13"/>
  <c r="L12" i="13"/>
  <c r="L10" i="13"/>
  <c r="L7" i="13"/>
  <c r="L5" i="13"/>
  <c r="L9" i="13"/>
  <c r="L15" i="13"/>
  <c r="L3" i="13"/>
  <c r="G133" i="3"/>
  <c r="F265" i="2" l="1"/>
  <c r="E18" i="2" l="1"/>
  <c r="E19" i="2"/>
  <c r="F26" i="14"/>
  <c r="G26" i="14" s="1"/>
  <c r="F27" i="14"/>
  <c r="G27" i="14" s="1"/>
  <c r="E20" i="2"/>
  <c r="F28" i="14"/>
  <c r="G28" i="14" s="1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9" i="14"/>
  <c r="G3" i="14"/>
  <c r="E22" i="2"/>
  <c r="F31" i="14"/>
  <c r="G31" i="14" s="1"/>
  <c r="E18" i="5"/>
  <c r="E19" i="5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" i="14"/>
  <c r="G20" i="5"/>
  <c r="G21" i="5"/>
  <c r="E22" i="5"/>
  <c r="D10" i="13"/>
  <c r="E10" i="13" s="1"/>
  <c r="F178" i="2" l="1"/>
  <c r="F453" i="5"/>
  <c r="F204" i="5"/>
  <c r="E6" i="2"/>
  <c r="G180" i="2"/>
  <c r="E16" i="1"/>
  <c r="F30" i="1" l="1"/>
  <c r="F242" i="2"/>
  <c r="F496" i="2"/>
  <c r="F316" i="2"/>
  <c r="F216" i="2"/>
  <c r="F430" i="5"/>
  <c r="F315" i="2"/>
  <c r="F193" i="5"/>
  <c r="E21" i="2" l="1"/>
  <c r="G38" i="12"/>
  <c r="G37" i="12"/>
  <c r="G20" i="12"/>
  <c r="G18" i="12"/>
  <c r="G23" i="12"/>
  <c r="G24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9" i="12"/>
  <c r="G21" i="12"/>
  <c r="G22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9" i="12"/>
  <c r="G40" i="12"/>
  <c r="G41" i="12"/>
  <c r="G3" i="12"/>
  <c r="F74" i="5" l="1"/>
  <c r="F491" i="5"/>
  <c r="F70" i="5"/>
  <c r="F480" i="2"/>
  <c r="F458" i="5" l="1"/>
  <c r="G132" i="2" l="1"/>
  <c r="F481" i="2"/>
  <c r="F422" i="2" l="1"/>
  <c r="H6" i="3"/>
  <c r="F30" i="14"/>
  <c r="G30" i="14" s="1"/>
  <c r="G114" i="3"/>
  <c r="G443" i="5"/>
  <c r="G21" i="2" l="1"/>
  <c r="F131" i="3" l="1"/>
  <c r="F42" i="5" l="1"/>
  <c r="G133" i="2" l="1"/>
  <c r="F499" i="5"/>
  <c r="F53" i="5"/>
  <c r="E390" i="2" l="1"/>
  <c r="E389" i="2"/>
  <c r="E102" i="1"/>
  <c r="E101" i="1"/>
  <c r="F261" i="2" l="1"/>
  <c r="K21" i="13" l="1"/>
  <c r="K22" i="13"/>
  <c r="K20" i="13"/>
  <c r="E21" i="1" l="1"/>
  <c r="F343" i="2" l="1"/>
  <c r="F262" i="2"/>
  <c r="E18" i="13"/>
  <c r="E12" i="13"/>
  <c r="E13" i="13"/>
  <c r="E14" i="13"/>
  <c r="E15" i="13"/>
  <c r="E16" i="13"/>
  <c r="E17" i="13"/>
  <c r="E2" i="13"/>
  <c r="G116" i="3"/>
  <c r="F172" i="2" l="1"/>
  <c r="F276" i="2" l="1"/>
  <c r="E234" i="5"/>
  <c r="G35" i="2"/>
  <c r="G34" i="2"/>
  <c r="H127" i="3"/>
  <c r="F133" i="3"/>
  <c r="E29" i="5"/>
  <c r="E402" i="2"/>
  <c r="G402" i="2" s="1"/>
  <c r="E158" i="2"/>
  <c r="G307" i="2"/>
  <c r="E143" i="2"/>
  <c r="G403" i="2"/>
  <c r="G401" i="2"/>
  <c r="G400" i="2"/>
  <c r="E41" i="5" l="1"/>
  <c r="E38" i="5"/>
  <c r="E33" i="5"/>
  <c r="E352" i="5"/>
  <c r="E98" i="5"/>
  <c r="E97" i="5"/>
  <c r="E42" i="5"/>
  <c r="E40" i="5"/>
  <c r="E37" i="5"/>
  <c r="E121" i="2"/>
  <c r="E119" i="2"/>
  <c r="E138" i="2"/>
  <c r="G483" i="2"/>
  <c r="G512" i="2"/>
  <c r="E5" i="1"/>
  <c r="E411" i="5"/>
  <c r="E106" i="5"/>
  <c r="E414" i="5"/>
  <c r="E413" i="5"/>
  <c r="E412" i="5"/>
  <c r="E409" i="5"/>
  <c r="E388" i="2"/>
  <c r="E120" i="2"/>
  <c r="E160" i="2"/>
  <c r="E151" i="2"/>
  <c r="G63" i="5" l="1"/>
  <c r="G62" i="5"/>
  <c r="G61" i="5"/>
  <c r="G59" i="5"/>
  <c r="G58" i="5"/>
  <c r="G57" i="5"/>
  <c r="G56" i="5"/>
  <c r="E124" i="5" l="1"/>
  <c r="F408" i="2"/>
  <c r="G134" i="3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378" i="5"/>
  <c r="G379" i="5"/>
  <c r="G380" i="5"/>
  <c r="G381" i="5"/>
  <c r="G382" i="5"/>
  <c r="G383" i="5"/>
  <c r="G4" i="5"/>
  <c r="G543" i="2"/>
  <c r="G393" i="2" l="1"/>
  <c r="G392" i="2"/>
  <c r="G64" i="2" l="1"/>
  <c r="E29" i="1" l="1"/>
  <c r="E28" i="1"/>
  <c r="E27" i="1"/>
  <c r="E25" i="1"/>
  <c r="E24" i="1"/>
  <c r="E22" i="1"/>
  <c r="E17" i="1"/>
  <c r="E15" i="1"/>
  <c r="E14" i="1"/>
  <c r="E10" i="1"/>
  <c r="G528" i="2" l="1"/>
  <c r="G135" i="3" l="1"/>
  <c r="H320" i="3" l="1"/>
  <c r="G128" i="3" l="1"/>
  <c r="H128" i="3" s="1"/>
  <c r="F134" i="3" l="1"/>
  <c r="G196" i="2" l="1"/>
  <c r="H234" i="3" l="1"/>
  <c r="F233" i="3"/>
  <c r="F232" i="3"/>
  <c r="F230" i="3"/>
  <c r="F228" i="3"/>
  <c r="F225" i="3"/>
  <c r="F222" i="3"/>
  <c r="F220" i="3"/>
  <c r="F219" i="3"/>
  <c r="F217" i="3"/>
  <c r="F215" i="3"/>
  <c r="H286" i="3"/>
  <c r="F214" i="3"/>
  <c r="F213" i="3"/>
  <c r="G469" i="5" l="1"/>
  <c r="G470" i="5"/>
  <c r="G471" i="5"/>
  <c r="G472" i="5"/>
  <c r="G473" i="5"/>
  <c r="G474" i="5"/>
  <c r="G475" i="5"/>
  <c r="G465" i="5" l="1"/>
  <c r="G53" i="5"/>
  <c r="G55" i="2"/>
  <c r="G54" i="2"/>
  <c r="G186" i="2"/>
  <c r="G185" i="2"/>
  <c r="G54" i="8" l="1"/>
  <c r="G73" i="8" l="1"/>
  <c r="E66" i="8"/>
  <c r="G264" i="5"/>
  <c r="H358" i="3" l="1"/>
  <c r="H359" i="3"/>
  <c r="H360" i="3"/>
  <c r="H362" i="3"/>
  <c r="H364" i="3"/>
  <c r="H314" i="3"/>
  <c r="H315" i="3"/>
  <c r="H252" i="3"/>
  <c r="H236" i="3"/>
  <c r="H210" i="3"/>
  <c r="H212" i="3"/>
  <c r="H150" i="3"/>
  <c r="G135" i="5" l="1"/>
  <c r="H311" i="3"/>
  <c r="G66" i="2" l="1"/>
  <c r="G65" i="2"/>
  <c r="G4" i="1" l="1"/>
  <c r="G5" i="1"/>
  <c r="G6" i="1"/>
  <c r="G11" i="1"/>
  <c r="G12" i="1"/>
  <c r="G3" i="1"/>
  <c r="G10" i="1"/>
  <c r="G8" i="1"/>
  <c r="G7" i="1"/>
  <c r="F545" i="3" l="1"/>
  <c r="F123" i="3"/>
  <c r="F122" i="3"/>
  <c r="F130" i="3"/>
  <c r="H434" i="3"/>
  <c r="H281" i="3"/>
  <c r="H435" i="3"/>
  <c r="H282" i="3"/>
  <c r="H328" i="3"/>
  <c r="F119" i="3"/>
  <c r="F600" i="3"/>
  <c r="F575" i="3"/>
  <c r="H260" i="3"/>
  <c r="H384" i="3"/>
  <c r="F449" i="3"/>
  <c r="H110" i="3"/>
  <c r="F521" i="3"/>
  <c r="H361" i="3"/>
  <c r="H251" i="3"/>
  <c r="F227" i="3"/>
  <c r="H249" i="3"/>
  <c r="F488" i="3"/>
  <c r="H211" i="3"/>
  <c r="H109" i="3"/>
  <c r="F118" i="3"/>
  <c r="G476" i="2" l="1"/>
  <c r="G520" i="2" l="1"/>
  <c r="G38" i="9"/>
  <c r="G37" i="9"/>
  <c r="G142" i="5"/>
  <c r="G28" i="4"/>
  <c r="G29" i="4"/>
  <c r="G420" i="2"/>
  <c r="G426" i="2"/>
  <c r="G419" i="2"/>
  <c r="G434" i="2" l="1"/>
  <c r="G433" i="2"/>
  <c r="F117" i="3" l="1"/>
  <c r="F116" i="3"/>
  <c r="E4" i="11" l="1"/>
  <c r="G153" i="5"/>
  <c r="G4" i="2" l="1"/>
  <c r="H312" i="3" l="1"/>
  <c r="H313" i="3" l="1"/>
  <c r="H309" i="3"/>
  <c r="G191" i="5" l="1"/>
  <c r="G184" i="5"/>
  <c r="G183" i="5"/>
  <c r="G536" i="2" l="1"/>
  <c r="G537" i="2"/>
  <c r="G538" i="2"/>
  <c r="G539" i="2"/>
  <c r="G540" i="2"/>
  <c r="G541" i="2"/>
  <c r="G542" i="2"/>
  <c r="G459" i="2"/>
  <c r="G460" i="2"/>
  <c r="G461" i="2"/>
  <c r="G464" i="2"/>
  <c r="G412" i="2"/>
  <c r="G413" i="2"/>
  <c r="G414" i="2"/>
  <c r="G415" i="2"/>
  <c r="G416" i="2"/>
  <c r="G417" i="2"/>
  <c r="G418" i="2"/>
  <c r="G346" i="2"/>
  <c r="G327" i="2"/>
  <c r="G318" i="2"/>
  <c r="G308" i="2"/>
  <c r="G292" i="2"/>
  <c r="G293" i="2"/>
  <c r="G294" i="2"/>
  <c r="G295" i="2"/>
  <c r="G298" i="2"/>
  <c r="G281" i="2"/>
  <c r="G264" i="2"/>
  <c r="G238" i="2"/>
  <c r="G217" i="2"/>
  <c r="G149" i="2"/>
  <c r="G115" i="2"/>
  <c r="G53" i="8"/>
  <c r="G55" i="8"/>
  <c r="G56" i="8"/>
  <c r="G72" i="8"/>
  <c r="G74" i="8"/>
  <c r="G75" i="8"/>
  <c r="G76" i="8"/>
  <c r="G77" i="8"/>
  <c r="E78" i="8"/>
  <c r="G78" i="8" s="1"/>
  <c r="G71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45" i="8"/>
  <c r="G47" i="8"/>
  <c r="G38" i="8"/>
  <c r="G39" i="8"/>
  <c r="G40" i="8"/>
  <c r="G41" i="8"/>
  <c r="G42" i="8"/>
  <c r="G43" i="8"/>
  <c r="G44" i="8"/>
  <c r="G499" i="5"/>
  <c r="G500" i="5"/>
  <c r="G501" i="5"/>
  <c r="G502" i="5"/>
  <c r="G503" i="5"/>
  <c r="G505" i="5"/>
  <c r="G494" i="5"/>
  <c r="G495" i="5"/>
  <c r="G496" i="5"/>
  <c r="G497" i="5"/>
  <c r="G498" i="5"/>
  <c r="G373" i="5"/>
  <c r="G482" i="5"/>
  <c r="G483" i="5"/>
  <c r="G449" i="5"/>
  <c r="G450" i="5"/>
  <c r="G451" i="5"/>
  <c r="G452" i="5"/>
  <c r="G453" i="5"/>
  <c r="G454" i="5"/>
  <c r="G455" i="5"/>
  <c r="G456" i="5"/>
  <c r="G466" i="5"/>
  <c r="G457" i="5"/>
  <c r="G458" i="5"/>
  <c r="G459" i="5"/>
  <c r="G460" i="5"/>
  <c r="G461" i="5"/>
  <c r="G463" i="5"/>
  <c r="G464" i="5"/>
  <c r="G442" i="5"/>
  <c r="G444" i="5"/>
  <c r="G445" i="5"/>
  <c r="G446" i="5"/>
  <c r="G447" i="5"/>
  <c r="G448" i="5"/>
  <c r="G462" i="5"/>
  <c r="G467" i="5"/>
  <c r="G377" i="5"/>
  <c r="G307" i="5"/>
  <c r="G308" i="5"/>
  <c r="G309" i="5"/>
  <c r="G310" i="5"/>
  <c r="G311" i="5"/>
  <c r="G312" i="5"/>
  <c r="G313" i="5"/>
  <c r="G314" i="5"/>
  <c r="G315" i="5"/>
  <c r="G293" i="5"/>
  <c r="G335" i="5"/>
  <c r="G336" i="5"/>
  <c r="G333" i="5"/>
  <c r="G366" i="5"/>
  <c r="G241" i="5"/>
  <c r="G200" i="5"/>
  <c r="G201" i="5"/>
  <c r="G170" i="5"/>
  <c r="G171" i="5"/>
  <c r="G92" i="5"/>
  <c r="G70" i="5"/>
  <c r="G71" i="5"/>
  <c r="G72" i="5"/>
  <c r="G48" i="5"/>
  <c r="G49" i="5"/>
  <c r="G50" i="5"/>
  <c r="G46" i="5"/>
  <c r="G81" i="5"/>
  <c r="G38" i="5"/>
  <c r="G39" i="5"/>
  <c r="H13" i="3" l="1"/>
  <c r="H14" i="3"/>
  <c r="H15" i="3"/>
  <c r="H16" i="3"/>
  <c r="H17" i="3"/>
  <c r="H18" i="3"/>
  <c r="H19" i="3"/>
  <c r="H32" i="3"/>
  <c r="H33" i="3"/>
  <c r="H437" i="3"/>
  <c r="H433" i="3"/>
  <c r="H431" i="3"/>
  <c r="H146" i="3"/>
  <c r="H147" i="3"/>
  <c r="H148" i="3"/>
  <c r="H149" i="3"/>
  <c r="H151" i="3"/>
  <c r="H152" i="3"/>
  <c r="H153" i="3"/>
  <c r="H154" i="3"/>
  <c r="H155" i="3"/>
  <c r="H156" i="3"/>
  <c r="H157" i="3"/>
  <c r="H137" i="3"/>
  <c r="H133" i="3"/>
  <c r="H131" i="3"/>
  <c r="H132" i="3"/>
  <c r="H121" i="3"/>
  <c r="F120" i="3"/>
  <c r="F113" i="3"/>
  <c r="G50" i="8" l="1"/>
  <c r="G51" i="8"/>
  <c r="G57" i="8"/>
  <c r="G36" i="8"/>
  <c r="G31" i="8"/>
  <c r="G32" i="8"/>
  <c r="G33" i="8"/>
  <c r="G34" i="8"/>
  <c r="G492" i="5"/>
  <c r="G493" i="5"/>
  <c r="G504" i="5"/>
  <c r="G433" i="5"/>
  <c r="G434" i="5"/>
  <c r="G435" i="5"/>
  <c r="G436" i="5"/>
  <c r="G437" i="5"/>
  <c r="G438" i="5"/>
  <c r="G431" i="5"/>
  <c r="G432" i="5"/>
  <c r="G484" i="5"/>
  <c r="G350" i="5"/>
  <c r="G337" i="5"/>
  <c r="G338" i="5"/>
  <c r="G316" i="5"/>
  <c r="G305" i="5"/>
  <c r="G294" i="5"/>
  <c r="G295" i="5"/>
  <c r="G298" i="5"/>
  <c r="G299" i="5"/>
  <c r="G300" i="5"/>
  <c r="G301" i="5"/>
  <c r="G302" i="5"/>
  <c r="G303" i="5"/>
  <c r="G304" i="5"/>
  <c r="G285" i="5"/>
  <c r="G286" i="5"/>
  <c r="G287" i="5"/>
  <c r="G288" i="5"/>
  <c r="G291" i="5"/>
  <c r="G292" i="5"/>
  <c r="G326" i="5"/>
  <c r="G274" i="5"/>
  <c r="G275" i="5"/>
  <c r="G276" i="5"/>
  <c r="G277" i="5"/>
  <c r="G278" i="5"/>
  <c r="G279" i="5"/>
  <c r="G280" i="5"/>
  <c r="G281" i="5"/>
  <c r="G283" i="5"/>
  <c r="G284" i="5"/>
  <c r="G282" i="5"/>
  <c r="G266" i="5"/>
  <c r="G265" i="5"/>
  <c r="G255" i="5"/>
  <c r="G245" i="5"/>
  <c r="G247" i="5"/>
  <c r="G235" i="5"/>
  <c r="G236" i="5"/>
  <c r="G234" i="5"/>
  <c r="G224" i="5"/>
  <c r="G222" i="5"/>
  <c r="G211" i="5"/>
  <c r="G204" i="5"/>
  <c r="G205" i="5"/>
  <c r="G206" i="5"/>
  <c r="G207" i="5"/>
  <c r="G209" i="5"/>
  <c r="G210" i="5"/>
  <c r="G208" i="5"/>
  <c r="G202" i="5"/>
  <c r="G193" i="5"/>
  <c r="G174" i="5"/>
  <c r="G176" i="5"/>
  <c r="G164" i="5"/>
  <c r="G163" i="5"/>
  <c r="G154" i="5"/>
  <c r="G143" i="5"/>
  <c r="G133" i="5"/>
  <c r="G132" i="5"/>
  <c r="G124" i="5"/>
  <c r="G125" i="5"/>
  <c r="G126" i="5"/>
  <c r="G127" i="5"/>
  <c r="G128" i="5"/>
  <c r="G129" i="5"/>
  <c r="G130" i="5"/>
  <c r="G131" i="5"/>
  <c r="G123" i="5"/>
  <c r="G114" i="5"/>
  <c r="G105" i="5"/>
  <c r="G95" i="5"/>
  <c r="G85" i="5"/>
  <c r="G64" i="5"/>
  <c r="G55" i="5"/>
  <c r="G60" i="5"/>
  <c r="G44" i="5"/>
  <c r="G45" i="5"/>
  <c r="G75" i="5"/>
  <c r="G74" i="5"/>
  <c r="G33" i="5"/>
  <c r="G8" i="5"/>
  <c r="G9" i="5"/>
  <c r="G484" i="2" l="1"/>
  <c r="G485" i="2"/>
  <c r="G486" i="2"/>
  <c r="G487" i="2"/>
  <c r="G489" i="2"/>
  <c r="G490" i="2"/>
  <c r="G488" i="2"/>
  <c r="G535" i="2"/>
  <c r="G531" i="2"/>
  <c r="G532" i="2"/>
  <c r="G533" i="2"/>
  <c r="G530" i="2"/>
  <c r="G529" i="2"/>
  <c r="G521" i="2"/>
  <c r="G522" i="2"/>
  <c r="G523" i="2"/>
  <c r="G524" i="2"/>
  <c r="G525" i="2"/>
  <c r="G526" i="2"/>
  <c r="G527" i="2"/>
  <c r="G513" i="2"/>
  <c r="G514" i="2"/>
  <c r="G515" i="2"/>
  <c r="G516" i="2"/>
  <c r="G519" i="2"/>
  <c r="G518" i="2"/>
  <c r="G517" i="2"/>
  <c r="G477" i="2"/>
  <c r="G478" i="2"/>
  <c r="G480" i="2"/>
  <c r="G481" i="2"/>
  <c r="G482" i="2"/>
  <c r="G404" i="2"/>
  <c r="G405" i="2"/>
  <c r="G406" i="2"/>
  <c r="G407" i="2"/>
  <c r="G408" i="2"/>
  <c r="G409" i="2"/>
  <c r="G398" i="2"/>
  <c r="G399" i="2"/>
  <c r="G395" i="2"/>
  <c r="G396" i="2"/>
  <c r="G397" i="2"/>
  <c r="G382" i="2"/>
  <c r="G465" i="2"/>
  <c r="G466" i="2"/>
  <c r="G441" i="2"/>
  <c r="G442" i="2"/>
  <c r="G443" i="2"/>
  <c r="G444" i="2"/>
  <c r="G445" i="2"/>
  <c r="G446" i="2"/>
  <c r="G447" i="2"/>
  <c r="G435" i="2"/>
  <c r="G436" i="2"/>
  <c r="G437" i="2"/>
  <c r="G438" i="2"/>
  <c r="G439" i="2"/>
  <c r="G440" i="2"/>
  <c r="G427" i="2"/>
  <c r="G428" i="2"/>
  <c r="G429" i="2"/>
  <c r="G430" i="2"/>
  <c r="G431" i="2"/>
  <c r="G432" i="2"/>
  <c r="G421" i="2"/>
  <c r="G422" i="2"/>
  <c r="G423" i="2"/>
  <c r="G424" i="2"/>
  <c r="G410" i="2"/>
  <c r="G411" i="2"/>
  <c r="G353" i="2"/>
  <c r="G354" i="2"/>
  <c r="G355" i="2"/>
  <c r="G356" i="2"/>
  <c r="G357" i="2"/>
  <c r="G360" i="2"/>
  <c r="G352" i="2"/>
  <c r="G347" i="2"/>
  <c r="G348" i="2"/>
  <c r="G349" i="2"/>
  <c r="G350" i="2"/>
  <c r="G351" i="2"/>
  <c r="G337" i="2"/>
  <c r="G338" i="2"/>
  <c r="G319" i="2"/>
  <c r="G320" i="2"/>
  <c r="G321" i="2"/>
  <c r="G322" i="2"/>
  <c r="G324" i="2"/>
  <c r="G325" i="2"/>
  <c r="G326" i="2"/>
  <c r="G328" i="2"/>
  <c r="G323" i="2"/>
  <c r="G309" i="2"/>
  <c r="G310" i="2"/>
  <c r="G283" i="2"/>
  <c r="G273" i="2"/>
  <c r="G272" i="2"/>
  <c r="G246" i="2"/>
  <c r="G247" i="2"/>
  <c r="G248" i="2"/>
  <c r="G249" i="2"/>
  <c r="G250" i="2"/>
  <c r="G251" i="2"/>
  <c r="G252" i="2"/>
  <c r="G253" i="2"/>
  <c r="G254" i="2"/>
  <c r="G239" i="2"/>
  <c r="G230" i="2"/>
  <c r="G218" i="2"/>
  <c r="G219" i="2"/>
  <c r="G191" i="2"/>
  <c r="G192" i="2"/>
  <c r="G187" i="2"/>
  <c r="G188" i="2"/>
  <c r="G190" i="2"/>
  <c r="G189" i="2"/>
  <c r="G171" i="2"/>
  <c r="G172" i="2"/>
  <c r="G156" i="2"/>
  <c r="G157" i="2"/>
  <c r="G146" i="2"/>
  <c r="G147" i="2"/>
  <c r="G148" i="2"/>
  <c r="G141" i="2"/>
  <c r="G125" i="2"/>
  <c r="G126" i="2"/>
  <c r="G116" i="2"/>
  <c r="G117" i="2"/>
  <c r="G103" i="2"/>
  <c r="G104" i="2"/>
  <c r="G105" i="2"/>
  <c r="G94" i="2"/>
  <c r="G93" i="2"/>
  <c r="G83" i="2"/>
  <c r="G84" i="2"/>
  <c r="G82" i="2"/>
  <c r="G73" i="2"/>
  <c r="G74" i="2"/>
  <c r="G68" i="2"/>
  <c r="G69" i="2"/>
  <c r="G70" i="2"/>
  <c r="G67" i="2"/>
  <c r="G56" i="2"/>
  <c r="G57" i="2"/>
  <c r="G63" i="2"/>
  <c r="G62" i="2"/>
  <c r="G61" i="2"/>
  <c r="G60" i="2"/>
  <c r="G59" i="2"/>
  <c r="G58" i="2"/>
  <c r="G43" i="2"/>
  <c r="G35" i="11"/>
  <c r="E34" i="11"/>
  <c r="G34" i="11" s="1"/>
  <c r="G33" i="11"/>
  <c r="G32" i="11"/>
  <c r="G31" i="11"/>
  <c r="G30" i="11"/>
  <c r="G29" i="11"/>
  <c r="E28" i="11"/>
  <c r="G28" i="11" s="1"/>
  <c r="G27" i="11"/>
  <c r="G26" i="11"/>
  <c r="E25" i="11"/>
  <c r="G25" i="11" s="1"/>
  <c r="G24" i="11"/>
  <c r="G23" i="11"/>
  <c r="E22" i="11"/>
  <c r="G22" i="11" s="1"/>
  <c r="G21" i="11"/>
  <c r="G20" i="11"/>
  <c r="E19" i="11"/>
  <c r="G19" i="11" s="1"/>
  <c r="G18" i="11"/>
  <c r="G17" i="11"/>
  <c r="E16" i="11"/>
  <c r="G16" i="11" s="1"/>
  <c r="G15" i="11"/>
  <c r="G14" i="11"/>
  <c r="E13" i="11"/>
  <c r="G13" i="11" s="1"/>
  <c r="G12" i="11"/>
  <c r="G11" i="11"/>
  <c r="E10" i="11"/>
  <c r="G10" i="11" s="1"/>
  <c r="G9" i="11"/>
  <c r="G8" i="11"/>
  <c r="E7" i="11"/>
  <c r="G7" i="11" s="1"/>
  <c r="G6" i="11"/>
  <c r="G5" i="11"/>
  <c r="G4" i="11"/>
  <c r="G3" i="11"/>
  <c r="G49" i="4"/>
  <c r="G48" i="4"/>
  <c r="G47" i="4"/>
  <c r="G30" i="4"/>
  <c r="G7" i="4"/>
  <c r="G6" i="4"/>
  <c r="G5" i="4"/>
  <c r="G4" i="4"/>
  <c r="G26" i="9"/>
  <c r="G25" i="9"/>
  <c r="G24" i="9"/>
  <c r="G11" i="9"/>
  <c r="G10" i="9"/>
  <c r="G9" i="9"/>
  <c r="G100" i="1"/>
  <c r="G99" i="1"/>
  <c r="G98" i="1"/>
  <c r="G94" i="1"/>
  <c r="G93" i="1"/>
  <c r="G92" i="1"/>
  <c r="G88" i="1"/>
  <c r="G70" i="1"/>
  <c r="G69" i="1"/>
  <c r="G68" i="1"/>
  <c r="G61" i="1"/>
  <c r="G73" i="1"/>
  <c r="G72" i="1"/>
  <c r="G71" i="1"/>
  <c r="G52" i="1"/>
  <c r="G51" i="1"/>
  <c r="G50" i="1"/>
  <c r="G34" i="1"/>
  <c r="G33" i="1"/>
  <c r="G32" i="1"/>
  <c r="G31" i="1"/>
  <c r="G30" i="1"/>
  <c r="G29" i="1"/>
  <c r="G28" i="1"/>
  <c r="G27" i="1"/>
  <c r="H122" i="3" l="1"/>
  <c r="H389" i="3" l="1"/>
  <c r="F475" i="3" l="1"/>
  <c r="F599" i="3"/>
  <c r="H409" i="3"/>
  <c r="F519" i="3" l="1"/>
  <c r="F598" i="3"/>
  <c r="F542" i="3"/>
  <c r="H627" i="3" l="1"/>
  <c r="H628" i="3"/>
  <c r="H629" i="3"/>
  <c r="H630" i="3"/>
  <c r="H625" i="3"/>
  <c r="H624" i="3"/>
  <c r="H619" i="3"/>
  <c r="H623" i="3"/>
  <c r="H618" i="3"/>
  <c r="H617" i="3"/>
  <c r="H626" i="3"/>
  <c r="H622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40" i="3"/>
  <c r="H439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597" i="3"/>
  <c r="H596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67" i="3"/>
  <c r="H566" i="3"/>
  <c r="H537" i="3"/>
  <c r="H538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5" i="3"/>
  <c r="H556" i="3"/>
  <c r="H557" i="3"/>
  <c r="H558" i="3"/>
  <c r="H559" i="3"/>
  <c r="H560" i="3"/>
  <c r="H561" i="3"/>
  <c r="H562" i="3"/>
  <c r="H563" i="3"/>
  <c r="H564" i="3"/>
  <c r="H565" i="3"/>
  <c r="H536" i="3"/>
  <c r="H535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472" i="3"/>
  <c r="H471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04" i="3"/>
  <c r="H503" i="3"/>
  <c r="F554" i="3"/>
  <c r="H554" i="3" s="1"/>
  <c r="F539" i="3"/>
  <c r="H539" i="3" s="1"/>
  <c r="H387" i="3"/>
  <c r="H388" i="3"/>
  <c r="H390" i="3"/>
  <c r="H396" i="3"/>
  <c r="H399" i="3"/>
  <c r="H400" i="3"/>
  <c r="H401" i="3"/>
  <c r="H386" i="3"/>
  <c r="H385" i="3"/>
  <c r="H397" i="3"/>
  <c r="H391" i="3"/>
  <c r="H395" i="3"/>
  <c r="H406" i="3"/>
  <c r="H408" i="3"/>
  <c r="H410" i="3"/>
  <c r="H411" i="3"/>
  <c r="H413" i="3"/>
  <c r="H416" i="3"/>
  <c r="H417" i="3"/>
  <c r="H419" i="3"/>
  <c r="H420" i="3"/>
  <c r="H426" i="3"/>
  <c r="H427" i="3"/>
  <c r="H428" i="3"/>
  <c r="H429" i="3"/>
  <c r="H430" i="3"/>
  <c r="H405" i="3"/>
  <c r="H404" i="3"/>
  <c r="H425" i="3"/>
  <c r="H424" i="3"/>
  <c r="H421" i="3"/>
  <c r="H412" i="3"/>
  <c r="H407" i="3"/>
  <c r="H239" i="3"/>
  <c r="H240" i="3"/>
  <c r="H241" i="3"/>
  <c r="H242" i="3"/>
  <c r="H243" i="3"/>
  <c r="H245" i="3"/>
  <c r="H246" i="3"/>
  <c r="H247" i="3"/>
  <c r="H248" i="3"/>
  <c r="H250" i="3"/>
  <c r="H253" i="3"/>
  <c r="H257" i="3"/>
  <c r="H258" i="3"/>
  <c r="H238" i="3"/>
  <c r="H308" i="3"/>
  <c r="H310" i="3"/>
  <c r="H316" i="3"/>
  <c r="H317" i="3"/>
  <c r="H318" i="3"/>
  <c r="H331" i="3"/>
  <c r="H330" i="3"/>
  <c r="H327" i="3"/>
  <c r="H325" i="3"/>
  <c r="H326" i="3"/>
  <c r="H329" i="3"/>
  <c r="H332" i="3"/>
  <c r="H333" i="3"/>
  <c r="H335" i="3"/>
  <c r="H336" i="3"/>
  <c r="H337" i="3"/>
  <c r="H338" i="3"/>
  <c r="H339" i="3"/>
  <c r="H324" i="3"/>
  <c r="H323" i="3"/>
  <c r="F235" i="3"/>
  <c r="H254" i="3"/>
  <c r="H263" i="3"/>
  <c r="H264" i="3"/>
  <c r="H266" i="3"/>
  <c r="H267" i="3"/>
  <c r="H268" i="3"/>
  <c r="H269" i="3"/>
  <c r="H271" i="3"/>
  <c r="H272" i="3"/>
  <c r="H273" i="3"/>
  <c r="H278" i="3"/>
  <c r="H279" i="3"/>
  <c r="H262" i="3"/>
  <c r="H261" i="3"/>
  <c r="H270" i="3"/>
  <c r="H113" i="3"/>
  <c r="H114" i="3"/>
  <c r="H115" i="3"/>
  <c r="H116" i="3"/>
  <c r="H117" i="3"/>
  <c r="H118" i="3"/>
  <c r="H119" i="3"/>
  <c r="H120" i="3"/>
  <c r="H123" i="3"/>
  <c r="H124" i="3"/>
  <c r="H125" i="3"/>
  <c r="H126" i="3"/>
  <c r="H129" i="3"/>
  <c r="H130" i="3"/>
  <c r="H134" i="3"/>
  <c r="H135" i="3"/>
  <c r="H136" i="3"/>
  <c r="H112" i="3"/>
  <c r="H111" i="3"/>
  <c r="H106" i="3"/>
  <c r="H105" i="3"/>
  <c r="H104" i="3"/>
  <c r="H102" i="3"/>
  <c r="H101" i="3"/>
  <c r="H99" i="3"/>
  <c r="H100" i="3"/>
  <c r="H96" i="3"/>
  <c r="H97" i="3"/>
  <c r="H95" i="3"/>
  <c r="H93" i="3"/>
  <c r="H89" i="3"/>
  <c r="H88" i="3"/>
  <c r="H87" i="3"/>
  <c r="H84" i="3"/>
  <c r="H83" i="3"/>
  <c r="H82" i="3"/>
  <c r="H78" i="3"/>
  <c r="H68" i="3"/>
  <c r="H66" i="3"/>
  <c r="H64" i="3"/>
  <c r="H63" i="3"/>
  <c r="H62" i="3"/>
  <c r="H59" i="3"/>
  <c r="H60" i="3"/>
  <c r="H51" i="3"/>
  <c r="H52" i="3"/>
  <c r="H53" i="3"/>
  <c r="H54" i="3"/>
  <c r="H49" i="3"/>
  <c r="H48" i="3"/>
  <c r="H47" i="3"/>
  <c r="H46" i="3"/>
  <c r="H45" i="3"/>
  <c r="H42" i="3"/>
  <c r="H41" i="3"/>
  <c r="H35" i="3"/>
  <c r="H36" i="3"/>
  <c r="H37" i="3"/>
  <c r="H38" i="3"/>
  <c r="G194" i="5" l="1"/>
  <c r="G256" i="5"/>
  <c r="G54" i="5"/>
  <c r="G86" i="5"/>
  <c r="G327" i="5"/>
  <c r="G306" i="5"/>
  <c r="G348" i="5"/>
  <c r="G34" i="5"/>
  <c r="G96" i="5"/>
  <c r="G37" i="8"/>
  <c r="G468" i="5"/>
  <c r="G203" i="5"/>
  <c r="G439" i="5"/>
  <c r="G476" i="5"/>
  <c r="G28" i="5"/>
  <c r="G23" i="5"/>
  <c r="G10" i="5"/>
  <c r="G16" i="4"/>
  <c r="G17" i="4"/>
  <c r="G18" i="4"/>
  <c r="G19" i="4"/>
  <c r="G20" i="4"/>
  <c r="G21" i="4"/>
  <c r="G22" i="4"/>
  <c r="G23" i="4"/>
  <c r="G24" i="4"/>
  <c r="G16" i="1"/>
  <c r="G15" i="1"/>
  <c r="G14" i="1"/>
  <c r="G297" i="2" l="1"/>
  <c r="G296" i="2"/>
  <c r="G82" i="5" l="1"/>
  <c r="H165" i="3"/>
  <c r="H166" i="3"/>
  <c r="H67" i="3" l="1"/>
  <c r="G296" i="5"/>
  <c r="G297" i="5"/>
  <c r="G35" i="5"/>
  <c r="H363" i="3"/>
  <c r="H274" i="3"/>
  <c r="H265" i="3"/>
  <c r="H244" i="3"/>
  <c r="F229" i="3"/>
  <c r="H229" i="3" s="1"/>
  <c r="F226" i="3"/>
  <c r="H226" i="3" s="1"/>
  <c r="F223" i="3"/>
  <c r="H223" i="3" s="1"/>
  <c r="F221" i="3"/>
  <c r="H221" i="3" s="1"/>
  <c r="H219" i="3"/>
  <c r="H225" i="3"/>
  <c r="H227" i="3"/>
  <c r="H228" i="3"/>
  <c r="H230" i="3"/>
  <c r="F218" i="3"/>
  <c r="H218" i="3" s="1"/>
  <c r="H217" i="3"/>
  <c r="F216" i="3"/>
  <c r="H216" i="3" s="1"/>
  <c r="H215" i="3"/>
  <c r="H214" i="3"/>
  <c r="H175" i="3"/>
  <c r="H176" i="3"/>
  <c r="H177" i="3"/>
  <c r="H179" i="3"/>
  <c r="H178" i="3"/>
  <c r="H174" i="3"/>
  <c r="H70" i="3"/>
  <c r="G60" i="4"/>
  <c r="G61" i="4"/>
  <c r="G62" i="4"/>
  <c r="G58" i="4"/>
  <c r="G59" i="4"/>
  <c r="G57" i="4"/>
  <c r="G53" i="4"/>
  <c r="G52" i="4"/>
  <c r="G314" i="2" l="1"/>
  <c r="G311" i="2"/>
  <c r="F224" i="3" l="1"/>
  <c r="H224" i="3" s="1"/>
  <c r="F231" i="3"/>
  <c r="G6" i="9" l="1"/>
  <c r="G7" i="9"/>
  <c r="G8" i="9"/>
  <c r="G9" i="1"/>
  <c r="G81" i="1"/>
  <c r="G55" i="4" l="1"/>
  <c r="G37" i="4"/>
  <c r="G36" i="4"/>
  <c r="G35" i="4"/>
  <c r="G33" i="4"/>
  <c r="G32" i="4"/>
  <c r="G31" i="4"/>
  <c r="G40" i="4"/>
  <c r="G39" i="4"/>
  <c r="G38" i="4"/>
  <c r="G46" i="4"/>
  <c r="G45" i="4"/>
  <c r="G44" i="4"/>
  <c r="G50" i="4"/>
  <c r="G43" i="4"/>
  <c r="G42" i="4"/>
  <c r="G41" i="4"/>
  <c r="G34" i="4"/>
  <c r="G51" i="4"/>
  <c r="G56" i="4"/>
  <c r="G54" i="4"/>
  <c r="G27" i="4"/>
  <c r="G26" i="4"/>
  <c r="G25" i="4"/>
  <c r="G9" i="4"/>
  <c r="G10" i="4"/>
  <c r="G11" i="4"/>
  <c r="G8" i="4"/>
  <c r="G302" i="2" l="1"/>
  <c r="G284" i="2"/>
  <c r="G285" i="2"/>
  <c r="G286" i="2"/>
  <c r="G287" i="2"/>
  <c r="G288" i="2"/>
  <c r="G220" i="2"/>
  <c r="G221" i="2"/>
  <c r="G222" i="2"/>
  <c r="G223" i="2"/>
  <c r="G224" i="2"/>
  <c r="G225" i="2"/>
  <c r="G226" i="2"/>
  <c r="G227" i="2"/>
  <c r="G228" i="2"/>
  <c r="G164" i="2"/>
  <c r="G165" i="2"/>
  <c r="G166" i="2"/>
  <c r="G167" i="2"/>
  <c r="G168" i="2"/>
  <c r="G169" i="2"/>
  <c r="G170" i="2"/>
  <c r="G145" i="2"/>
  <c r="G91" i="2"/>
  <c r="G45" i="2"/>
  <c r="G46" i="2"/>
  <c r="G47" i="2"/>
  <c r="G48" i="2"/>
  <c r="G50" i="2"/>
  <c r="G51" i="2"/>
  <c r="G52" i="2"/>
  <c r="G53" i="2"/>
  <c r="G477" i="5"/>
  <c r="G478" i="5"/>
  <c r="G479" i="5"/>
  <c r="G480" i="5"/>
  <c r="G481" i="5"/>
  <c r="G361" i="5"/>
  <c r="G362" i="5"/>
  <c r="G363" i="5"/>
  <c r="G364" i="5"/>
  <c r="G365" i="5"/>
  <c r="G367" i="5"/>
  <c r="G258" i="5"/>
  <c r="G259" i="5"/>
  <c r="G260" i="5"/>
  <c r="G261" i="5"/>
  <c r="G262" i="5"/>
  <c r="G263" i="5"/>
  <c r="G251" i="5"/>
  <c r="G252" i="5"/>
  <c r="G253" i="5"/>
  <c r="G254" i="5"/>
  <c r="G167" i="5"/>
  <c r="G168" i="5"/>
  <c r="G169" i="5"/>
  <c r="G172" i="5"/>
  <c r="G173" i="5"/>
  <c r="G166" i="5"/>
  <c r="G165" i="5"/>
  <c r="G24" i="5" l="1"/>
  <c r="G25" i="5"/>
  <c r="G26" i="5"/>
  <c r="G29" i="5"/>
  <c r="G334" i="5"/>
  <c r="G332" i="5"/>
  <c r="G331" i="5"/>
  <c r="G330" i="5"/>
  <c r="G329" i="5"/>
  <c r="G328" i="5"/>
  <c r="G94" i="5"/>
  <c r="G93" i="5"/>
  <c r="G91" i="5"/>
  <c r="G90" i="5"/>
  <c r="G89" i="5"/>
  <c r="G88" i="5"/>
  <c r="G87" i="5"/>
  <c r="G84" i="5"/>
  <c r="G83" i="5"/>
  <c r="G80" i="5"/>
  <c r="G79" i="5"/>
  <c r="G78" i="5"/>
  <c r="G77" i="5"/>
  <c r="G76" i="5"/>
  <c r="G184" i="2"/>
  <c r="G183" i="2"/>
  <c r="G182" i="2"/>
  <c r="G181" i="2"/>
  <c r="G192" i="5"/>
  <c r="G190" i="5"/>
  <c r="G189" i="5"/>
  <c r="G188" i="5"/>
  <c r="G187" i="5"/>
  <c r="G186" i="5"/>
  <c r="G185" i="5"/>
  <c r="G52" i="5"/>
  <c r="G51" i="5"/>
  <c r="G47" i="5"/>
  <c r="G491" i="5"/>
  <c r="G490" i="5"/>
  <c r="G489" i="5"/>
  <c r="G488" i="5"/>
  <c r="G487" i="5"/>
  <c r="G325" i="5"/>
  <c r="G324" i="5"/>
  <c r="G323" i="5"/>
  <c r="G322" i="5"/>
  <c r="G321" i="5"/>
  <c r="G320" i="5"/>
  <c r="G319" i="5"/>
  <c r="G318" i="5"/>
  <c r="G317" i="5"/>
  <c r="G376" i="5"/>
  <c r="G375" i="5"/>
  <c r="G374" i="5"/>
  <c r="G372" i="5"/>
  <c r="G371" i="5"/>
  <c r="G370" i="5"/>
  <c r="G369" i="5"/>
  <c r="G368" i="5"/>
  <c r="G221" i="5"/>
  <c r="G220" i="5"/>
  <c r="G213" i="5"/>
  <c r="G212" i="5"/>
  <c r="G250" i="5"/>
  <c r="G249" i="5"/>
  <c r="G248" i="5"/>
  <c r="G273" i="5"/>
  <c r="G272" i="5"/>
  <c r="G271" i="5"/>
  <c r="G270" i="5"/>
  <c r="G269" i="5"/>
  <c r="G268" i="5"/>
  <c r="G267" i="5"/>
  <c r="G244" i="5"/>
  <c r="G243" i="5"/>
  <c r="G242" i="5"/>
  <c r="G240" i="5"/>
  <c r="G239" i="5"/>
  <c r="G238" i="5"/>
  <c r="G237" i="5"/>
  <c r="G73" i="5"/>
  <c r="G69" i="5"/>
  <c r="G68" i="5"/>
  <c r="G67" i="5"/>
  <c r="G66" i="5"/>
  <c r="G65" i="5"/>
  <c r="G199" i="5"/>
  <c r="G198" i="5"/>
  <c r="G197" i="5"/>
  <c r="G196" i="5"/>
  <c r="G195" i="5"/>
  <c r="G235" i="2" l="1"/>
  <c r="G194" i="2"/>
  <c r="G195" i="2"/>
  <c r="G197" i="2"/>
  <c r="G198" i="2"/>
  <c r="G199" i="2"/>
  <c r="G193" i="2"/>
  <c r="G129" i="2"/>
  <c r="G127" i="2"/>
  <c r="G143" i="2" l="1"/>
  <c r="G144" i="2"/>
  <c r="G452" i="2" l="1"/>
  <c r="G451" i="2"/>
  <c r="G450" i="2"/>
  <c r="G261" i="2"/>
  <c r="G260" i="2"/>
  <c r="G259" i="2"/>
  <c r="G258" i="2"/>
  <c r="G257" i="2"/>
  <c r="G123" i="2"/>
  <c r="G390" i="2"/>
  <c r="G49" i="2"/>
  <c r="G470" i="2"/>
  <c r="G469" i="2"/>
  <c r="G468" i="2"/>
  <c r="G467" i="2"/>
  <c r="G245" i="2"/>
  <c r="G244" i="2"/>
  <c r="G243" i="2"/>
  <c r="G242" i="2"/>
  <c r="G241" i="2"/>
  <c r="G240" i="2"/>
  <c r="G316" i="2"/>
  <c r="G77" i="2"/>
  <c r="G96" i="2"/>
  <c r="G99" i="2"/>
  <c r="G97" i="2"/>
  <c r="G95" i="2"/>
  <c r="G277" i="2"/>
  <c r="G131" i="2"/>
  <c r="G130" i="2"/>
  <c r="G128" i="2"/>
  <c r="G212" i="2"/>
  <c r="G304" i="2"/>
  <c r="G301" i="2"/>
  <c r="G317" i="2"/>
  <c r="G315" i="2"/>
  <c r="G313" i="2"/>
  <c r="G312" i="2"/>
  <c r="G305" i="2"/>
  <c r="G303" i="2"/>
  <c r="G278" i="2"/>
  <c r="G276" i="2"/>
  <c r="G275" i="2"/>
  <c r="G274" i="2"/>
  <c r="G511" i="2" l="1"/>
  <c r="G339" i="5" l="1"/>
  <c r="H43" i="3" l="1"/>
  <c r="H357" i="3" l="1"/>
  <c r="H353" i="3"/>
  <c r="H352" i="3"/>
  <c r="H351" i="3"/>
  <c r="H350" i="3"/>
  <c r="H349" i="3"/>
  <c r="H348" i="3"/>
  <c r="H347" i="3"/>
  <c r="H346" i="3"/>
  <c r="H343" i="3"/>
  <c r="H342" i="3"/>
  <c r="H341" i="3"/>
  <c r="H294" i="3"/>
  <c r="H303" i="3"/>
  <c r="H302" i="3"/>
  <c r="H301" i="3"/>
  <c r="H300" i="3"/>
  <c r="H299" i="3"/>
  <c r="H298" i="3"/>
  <c r="H297" i="3"/>
  <c r="H296" i="3"/>
  <c r="H295" i="3"/>
  <c r="H292" i="3"/>
  <c r="H291" i="3"/>
  <c r="H290" i="3"/>
  <c r="H289" i="3"/>
  <c r="H288" i="3"/>
  <c r="H287" i="3"/>
  <c r="H285" i="3"/>
  <c r="H284" i="3"/>
  <c r="H233" i="3"/>
  <c r="H235" i="3"/>
  <c r="H213" i="3"/>
  <c r="H232" i="3"/>
  <c r="H231" i="3"/>
  <c r="H222" i="3"/>
  <c r="H220" i="3"/>
  <c r="H192" i="3"/>
  <c r="H193" i="3"/>
  <c r="H191" i="3"/>
  <c r="H190" i="3"/>
  <c r="H189" i="3"/>
  <c r="H188" i="3"/>
  <c r="H187" i="3"/>
  <c r="H186" i="3"/>
  <c r="H185" i="3"/>
  <c r="H184" i="3"/>
  <c r="H183" i="3"/>
  <c r="H182" i="3"/>
  <c r="H180" i="3"/>
  <c r="H159" i="3"/>
  <c r="G50" i="9" l="1"/>
  <c r="G49" i="9"/>
  <c r="G48" i="9"/>
  <c r="G47" i="9"/>
  <c r="G46" i="9"/>
  <c r="G45" i="9"/>
  <c r="G36" i="9"/>
  <c r="G32" i="9"/>
  <c r="G31" i="9"/>
  <c r="G30" i="9"/>
  <c r="G29" i="9"/>
  <c r="G28" i="9"/>
  <c r="G27" i="9"/>
  <c r="G23" i="9"/>
  <c r="G22" i="9"/>
  <c r="G21" i="9"/>
  <c r="G20" i="9"/>
  <c r="G19" i="9"/>
  <c r="G18" i="9"/>
  <c r="G14" i="9"/>
  <c r="G13" i="9"/>
  <c r="G12" i="9"/>
  <c r="G5" i="9"/>
  <c r="G4" i="9"/>
  <c r="G3" i="9"/>
  <c r="G505" i="2"/>
  <c r="G506" i="2"/>
  <c r="G507" i="2"/>
  <c r="G508" i="2"/>
  <c r="G509" i="2"/>
  <c r="G510" i="2"/>
  <c r="G491" i="2"/>
  <c r="G492" i="2"/>
  <c r="G493" i="2"/>
  <c r="G494" i="2"/>
  <c r="G495" i="2"/>
  <c r="G496" i="2"/>
  <c r="G497" i="2"/>
  <c r="G498" i="2"/>
  <c r="G383" i="2"/>
  <c r="G385" i="2"/>
  <c r="G386" i="2"/>
  <c r="G387" i="2"/>
  <c r="G388" i="2"/>
  <c r="G389" i="2"/>
  <c r="G391" i="2"/>
  <c r="G361" i="2"/>
  <c r="G362" i="2"/>
  <c r="G363" i="2"/>
  <c r="G364" i="2"/>
  <c r="G365" i="2"/>
  <c r="G366" i="2"/>
  <c r="G367" i="2"/>
  <c r="G368" i="2"/>
  <c r="G339" i="2"/>
  <c r="G340" i="2"/>
  <c r="G341" i="2"/>
  <c r="G342" i="2"/>
  <c r="G343" i="2"/>
  <c r="G265" i="2"/>
  <c r="G266" i="2"/>
  <c r="G267" i="2"/>
  <c r="G268" i="2"/>
  <c r="G269" i="2"/>
  <c r="G270" i="2"/>
  <c r="G271" i="2"/>
  <c r="G173" i="2"/>
  <c r="G174" i="2"/>
  <c r="G175" i="2"/>
  <c r="G176" i="2"/>
  <c r="G177" i="2"/>
  <c r="G179" i="2"/>
  <c r="G155" i="2"/>
  <c r="G150" i="2"/>
  <c r="G151" i="2"/>
  <c r="G152" i="2"/>
  <c r="G153" i="2"/>
  <c r="G154" i="2"/>
  <c r="G114" i="2"/>
  <c r="G142" i="2"/>
  <c r="G231" i="2"/>
  <c r="G232" i="2"/>
  <c r="G233" i="2"/>
  <c r="G234" i="2"/>
  <c r="G236" i="2"/>
  <c r="G237" i="2"/>
  <c r="G229" i="2"/>
  <c r="G213" i="2"/>
  <c r="G214" i="2"/>
  <c r="G215" i="2"/>
  <c r="G211" i="2"/>
  <c r="G205" i="2"/>
  <c r="G204" i="2"/>
  <c r="G203" i="2"/>
  <c r="G202" i="2"/>
  <c r="G201" i="2"/>
  <c r="G113" i="2"/>
  <c r="G90" i="2"/>
  <c r="G87" i="2"/>
  <c r="G86" i="2"/>
  <c r="G88" i="2"/>
  <c r="G89" i="2"/>
  <c r="G92" i="2"/>
  <c r="G85" i="2"/>
  <c r="G37" i="2"/>
  <c r="G36" i="2"/>
  <c r="G42" i="2"/>
  <c r="G40" i="2"/>
  <c r="G41" i="2"/>
  <c r="G38" i="2"/>
  <c r="G39" i="2"/>
  <c r="G44" i="2"/>
  <c r="G13" i="2"/>
  <c r="G12" i="2"/>
  <c r="G6" i="2"/>
  <c r="G11" i="2"/>
  <c r="G5" i="2"/>
  <c r="G121" i="7"/>
  <c r="G120" i="7"/>
  <c r="G119" i="7"/>
  <c r="G118" i="7"/>
  <c r="G117" i="7"/>
  <c r="G116" i="7"/>
  <c r="G75" i="7"/>
  <c r="G74" i="7"/>
  <c r="G73" i="7"/>
  <c r="G72" i="7"/>
  <c r="G71" i="7"/>
  <c r="G70" i="7"/>
  <c r="G69" i="7"/>
  <c r="G68" i="7"/>
  <c r="G66" i="7"/>
  <c r="G63" i="7"/>
  <c r="G62" i="7"/>
  <c r="G61" i="7"/>
  <c r="G60" i="7"/>
  <c r="G6" i="5"/>
  <c r="G7" i="5"/>
  <c r="G11" i="5"/>
  <c r="G12" i="5"/>
  <c r="G13" i="5"/>
  <c r="G5" i="5"/>
  <c r="G35" i="8"/>
  <c r="G29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10" i="2" l="1"/>
  <c r="G9" i="2"/>
  <c r="G7" i="2"/>
  <c r="H69" i="3" l="1"/>
  <c r="G8" i="2" l="1"/>
  <c r="G118" i="2" l="1"/>
  <c r="G119" i="2"/>
  <c r="G120" i="2"/>
  <c r="G121" i="2"/>
  <c r="G122" i="2"/>
  <c r="G124" i="2"/>
  <c r="G112" i="2"/>
  <c r="G109" i="2"/>
  <c r="G108" i="2"/>
  <c r="G107" i="2"/>
  <c r="G106" i="2"/>
  <c r="G156" i="5"/>
  <c r="G157" i="5"/>
  <c r="G158" i="5"/>
  <c r="G159" i="5"/>
  <c r="G160" i="5"/>
  <c r="G161" i="5"/>
  <c r="G162" i="5"/>
  <c r="G115" i="5"/>
  <c r="G116" i="5"/>
  <c r="G117" i="5"/>
  <c r="G118" i="5"/>
  <c r="G119" i="5"/>
  <c r="G120" i="5"/>
  <c r="G121" i="5"/>
  <c r="G122" i="5"/>
  <c r="G108" i="1"/>
  <c r="G107" i="1"/>
  <c r="G106" i="1"/>
  <c r="G105" i="1"/>
  <c r="G104" i="1"/>
  <c r="G103" i="1"/>
  <c r="G102" i="1"/>
  <c r="G101" i="1"/>
  <c r="G97" i="1"/>
  <c r="G96" i="1"/>
  <c r="G95" i="1"/>
  <c r="G87" i="1"/>
  <c r="G86" i="1"/>
  <c r="G76" i="1"/>
  <c r="G75" i="1"/>
  <c r="G74" i="1"/>
  <c r="G60" i="1"/>
  <c r="G59" i="1"/>
  <c r="G26" i="1"/>
  <c r="G27" i="5" l="1"/>
  <c r="G33" i="2"/>
  <c r="G32" i="2"/>
  <c r="G31" i="2"/>
  <c r="G30" i="2"/>
  <c r="G29" i="2"/>
  <c r="G28" i="2"/>
  <c r="G27" i="2"/>
  <c r="G26" i="2"/>
  <c r="G25" i="2"/>
  <c r="G24" i="2"/>
  <c r="G23" i="2"/>
  <c r="G15" i="2"/>
  <c r="G16" i="2"/>
  <c r="G17" i="2"/>
  <c r="G18" i="2"/>
  <c r="G19" i="2"/>
  <c r="G20" i="2"/>
  <c r="G22" i="2"/>
  <c r="G14" i="2"/>
  <c r="G13" i="4"/>
  <c r="G14" i="4"/>
  <c r="G15" i="4"/>
  <c r="G12" i="4"/>
  <c r="G18" i="1"/>
  <c r="G19" i="1"/>
  <c r="G20" i="1"/>
  <c r="G21" i="1"/>
  <c r="G22" i="1"/>
  <c r="G17" i="1"/>
  <c r="G13" i="1"/>
  <c r="G32" i="5" l="1"/>
  <c r="G31" i="5"/>
  <c r="G30" i="5"/>
  <c r="G14" i="5"/>
  <c r="G15" i="5"/>
  <c r="G16" i="5"/>
  <c r="G17" i="5"/>
  <c r="G18" i="5"/>
  <c r="G19" i="5"/>
  <c r="G22" i="5"/>
  <c r="G3" i="5"/>
  <c r="G486" i="5" l="1"/>
  <c r="G485" i="5"/>
  <c r="G440" i="5"/>
  <c r="G441" i="5"/>
  <c r="G349" i="5"/>
  <c r="G232" i="5" l="1"/>
  <c r="G231" i="5"/>
  <c r="G360" i="5"/>
  <c r="G359" i="5"/>
  <c r="G358" i="5"/>
  <c r="G357" i="5"/>
  <c r="G356" i="5"/>
  <c r="G355" i="5"/>
  <c r="G354" i="5"/>
  <c r="G353" i="5"/>
  <c r="G352" i="5"/>
  <c r="G347" i="5"/>
  <c r="G346" i="5"/>
  <c r="G345" i="5"/>
  <c r="G344" i="5"/>
  <c r="G343" i="5"/>
  <c r="G342" i="5"/>
  <c r="G341" i="5"/>
  <c r="G340" i="5"/>
  <c r="G233" i="5"/>
  <c r="G230" i="5"/>
  <c r="G229" i="5"/>
  <c r="G228" i="5"/>
  <c r="G227" i="5"/>
  <c r="G226" i="5"/>
  <c r="G219" i="5"/>
  <c r="G218" i="5"/>
  <c r="G217" i="5"/>
  <c r="G216" i="5"/>
  <c r="G215" i="5"/>
  <c r="G214" i="5"/>
  <c r="G182" i="5"/>
  <c r="G181" i="5"/>
  <c r="G180" i="5"/>
  <c r="G179" i="5"/>
  <c r="G178" i="5"/>
  <c r="G177" i="5"/>
  <c r="G152" i="5"/>
  <c r="G151" i="5"/>
  <c r="G150" i="5"/>
  <c r="G149" i="5"/>
  <c r="G148" i="5"/>
  <c r="G147" i="5"/>
  <c r="G146" i="5"/>
  <c r="G145" i="5"/>
  <c r="G141" i="5"/>
  <c r="G140" i="5"/>
  <c r="G139" i="5"/>
  <c r="G138" i="5"/>
  <c r="G137" i="5"/>
  <c r="G136" i="5"/>
  <c r="G134" i="5"/>
  <c r="G113" i="5"/>
  <c r="G112" i="5"/>
  <c r="G111" i="5"/>
  <c r="G110" i="5"/>
  <c r="G109" i="5"/>
  <c r="G108" i="5"/>
  <c r="G107" i="5"/>
  <c r="G106" i="5"/>
  <c r="G104" i="5"/>
  <c r="G103" i="5"/>
  <c r="G102" i="5"/>
  <c r="G101" i="5"/>
  <c r="G100" i="5"/>
  <c r="G99" i="5"/>
  <c r="G98" i="5"/>
  <c r="G97" i="5"/>
  <c r="G43" i="5"/>
  <c r="G42" i="5"/>
  <c r="G41" i="5"/>
  <c r="G40" i="5"/>
  <c r="G37" i="5"/>
  <c r="G36" i="5"/>
  <c r="G98" i="2" l="1"/>
  <c r="G100" i="2"/>
  <c r="G101" i="2"/>
  <c r="G102" i="2"/>
  <c r="G134" i="2"/>
  <c r="G135" i="2"/>
  <c r="G136" i="2"/>
  <c r="G137" i="2"/>
  <c r="G138" i="2"/>
  <c r="G139" i="2"/>
  <c r="G140" i="2"/>
  <c r="G158" i="2"/>
  <c r="G159" i="2"/>
  <c r="G160" i="2"/>
  <c r="G161" i="2"/>
  <c r="G162" i="2"/>
  <c r="G163" i="2"/>
  <c r="G200" i="2"/>
  <c r="G206" i="2"/>
  <c r="G207" i="2"/>
  <c r="G208" i="2"/>
  <c r="G209" i="2"/>
  <c r="G210" i="2"/>
  <c r="G216" i="2"/>
  <c r="G255" i="2"/>
  <c r="G256" i="2"/>
  <c r="G262" i="2"/>
  <c r="G263" i="2"/>
  <c r="G279" i="2"/>
  <c r="G280" i="2"/>
  <c r="G282" i="2"/>
  <c r="G289" i="2"/>
  <c r="G291" i="2"/>
  <c r="G299" i="2"/>
  <c r="G300" i="2"/>
  <c r="G306" i="2"/>
  <c r="G335" i="2"/>
  <c r="G336" i="2"/>
  <c r="G394" i="2"/>
  <c r="G453" i="2"/>
  <c r="G454" i="2"/>
  <c r="G455" i="2"/>
  <c r="G458" i="2"/>
  <c r="G471" i="2"/>
  <c r="G472" i="2"/>
  <c r="G473" i="2"/>
  <c r="G78" i="2" l="1"/>
  <c r="G91" i="1"/>
  <c r="G54" i="1"/>
  <c r="H44" i="3"/>
  <c r="H50" i="3"/>
  <c r="H55" i="3"/>
  <c r="H56" i="3"/>
  <c r="H57" i="3"/>
  <c r="H58" i="3"/>
  <c r="H61" i="3"/>
  <c r="H65" i="3"/>
  <c r="H71" i="3"/>
  <c r="H74" i="3"/>
  <c r="H75" i="3"/>
  <c r="H76" i="3"/>
  <c r="H77" i="3"/>
  <c r="H79" i="3"/>
  <c r="H80" i="3"/>
  <c r="H81" i="3"/>
  <c r="H85" i="3"/>
  <c r="H86" i="3"/>
  <c r="H90" i="3"/>
  <c r="H94" i="3"/>
  <c r="H98" i="3"/>
  <c r="H103" i="3"/>
  <c r="H107" i="3"/>
  <c r="H108" i="3"/>
  <c r="H158" i="3"/>
  <c r="H167" i="3"/>
  <c r="H168" i="3"/>
  <c r="H169" i="3"/>
  <c r="H171" i="3"/>
  <c r="H173" i="3"/>
  <c r="H304" i="3"/>
  <c r="H305" i="3"/>
  <c r="H306" i="3"/>
  <c r="H307" i="3"/>
  <c r="H34" i="3"/>
  <c r="H181" i="3"/>
  <c r="G75" i="2" l="1"/>
  <c r="G76" i="2"/>
  <c r="G79" i="2"/>
  <c r="G3" i="2"/>
  <c r="G23" i="1"/>
  <c r="G24" i="1"/>
  <c r="G25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3" i="1"/>
  <c r="G55" i="1"/>
  <c r="G56" i="1"/>
  <c r="G57" i="1"/>
  <c r="G58" i="1"/>
  <c r="G62" i="1"/>
  <c r="G63" i="1"/>
  <c r="G64" i="1"/>
  <c r="G65" i="1"/>
  <c r="G66" i="1"/>
  <c r="G67" i="1"/>
  <c r="G77" i="1"/>
  <c r="G78" i="1"/>
  <c r="G79" i="1"/>
  <c r="G82" i="1"/>
  <c r="G84" i="1"/>
  <c r="G85" i="1"/>
  <c r="G89" i="1"/>
  <c r="G90" i="1"/>
  <c r="G83" i="1" l="1"/>
</calcChain>
</file>

<file path=xl/sharedStrings.xml><?xml version="1.0" encoding="utf-8"?>
<sst xmlns="http://schemas.openxmlformats.org/spreadsheetml/2006/main" count="5605" uniqueCount="2150">
  <si>
    <t>SS16</t>
  </si>
  <si>
    <t>SS20</t>
  </si>
  <si>
    <t>SS30</t>
  </si>
  <si>
    <t>CITRINE</t>
  </si>
  <si>
    <t>CRYSTAL</t>
  </si>
  <si>
    <t>SS34</t>
  </si>
  <si>
    <t>BLACK DIAMOND</t>
  </si>
  <si>
    <t>MONTANA</t>
  </si>
  <si>
    <t>INDICOLITE</t>
  </si>
  <si>
    <t>AQUAMARINE</t>
  </si>
  <si>
    <t>CAPRI BLUE</t>
  </si>
  <si>
    <t>OLIVINE</t>
  </si>
  <si>
    <t>CAPRI BLUE AB</t>
  </si>
  <si>
    <t>INDICOLITE AB</t>
  </si>
  <si>
    <t>OLIVINE AB</t>
  </si>
  <si>
    <t>TOPAZ AB</t>
  </si>
  <si>
    <t>цвет</t>
  </si>
  <si>
    <t>размер</t>
  </si>
  <si>
    <t>SS10</t>
  </si>
  <si>
    <t>SS12</t>
  </si>
  <si>
    <t>SS40</t>
  </si>
  <si>
    <t>SS6</t>
  </si>
  <si>
    <t>SS8</t>
  </si>
  <si>
    <t>TOPAZ</t>
  </si>
  <si>
    <t>SMOKED TOPAZ</t>
  </si>
  <si>
    <t>AMETHYST</t>
  </si>
  <si>
    <t>ROSE</t>
  </si>
  <si>
    <t>10*20</t>
  </si>
  <si>
    <t>Diamond Leaf</t>
  </si>
  <si>
    <t>13*17</t>
  </si>
  <si>
    <t>10*14</t>
  </si>
  <si>
    <t>Cosmic</t>
  </si>
  <si>
    <t>Drop</t>
  </si>
  <si>
    <t>SHINE AB</t>
  </si>
  <si>
    <t>6*12</t>
  </si>
  <si>
    <t>S</t>
  </si>
  <si>
    <t>6*6</t>
  </si>
  <si>
    <t>Xirus</t>
  </si>
  <si>
    <t>13*18</t>
  </si>
  <si>
    <t>Emerald cut</t>
  </si>
  <si>
    <t>6*18</t>
  </si>
  <si>
    <t>5*15</t>
  </si>
  <si>
    <t>5*10</t>
  </si>
  <si>
    <t>4*8</t>
  </si>
  <si>
    <t>Cosmic Baguette</t>
  </si>
  <si>
    <t>8*10</t>
  </si>
  <si>
    <t xml:space="preserve">Rectangle </t>
  </si>
  <si>
    <t>17*27</t>
  </si>
  <si>
    <t>12*19</t>
  </si>
  <si>
    <t>Galactic</t>
  </si>
  <si>
    <t>10*10</t>
  </si>
  <si>
    <t>9*12</t>
  </si>
  <si>
    <t>Triangle</t>
  </si>
  <si>
    <t>16*16</t>
  </si>
  <si>
    <t>14*14</t>
  </si>
  <si>
    <t>12*12</t>
  </si>
  <si>
    <t>Square</t>
  </si>
  <si>
    <t>18*18</t>
  </si>
  <si>
    <t>Rivoli</t>
  </si>
  <si>
    <t>9*18</t>
  </si>
  <si>
    <t>Navette</t>
  </si>
  <si>
    <t>5*8</t>
  </si>
  <si>
    <t>NEW AB</t>
  </si>
  <si>
    <t>количество в палетке</t>
  </si>
  <si>
    <t>форма</t>
  </si>
  <si>
    <t xml:space="preserve">Xirus </t>
  </si>
  <si>
    <t>11*18</t>
  </si>
  <si>
    <t>17*28</t>
  </si>
  <si>
    <t>Trilliant</t>
  </si>
  <si>
    <t>13*22</t>
  </si>
  <si>
    <t>AURUM</t>
  </si>
  <si>
    <t>8*8</t>
  </si>
  <si>
    <t>7*12</t>
  </si>
  <si>
    <t>9*14</t>
  </si>
  <si>
    <t>7*15</t>
  </si>
  <si>
    <t>COBALT</t>
  </si>
  <si>
    <t>SAPPHIRE</t>
  </si>
  <si>
    <t>LABRADOR</t>
  </si>
  <si>
    <t>EMERALD</t>
  </si>
  <si>
    <t>NEON ORANGE</t>
  </si>
  <si>
    <t>7*21</t>
  </si>
  <si>
    <t>NEON PINK</t>
  </si>
  <si>
    <t>NEON YELLOW</t>
  </si>
  <si>
    <t>NEON GREEN</t>
  </si>
  <si>
    <t>NEON AMETHYST</t>
  </si>
  <si>
    <t>NEON BLUE</t>
  </si>
  <si>
    <t>итого штук пришло</t>
  </si>
  <si>
    <t>продано</t>
  </si>
  <si>
    <t>остаток на складе</t>
  </si>
  <si>
    <t>SS4</t>
  </si>
  <si>
    <t>SS3</t>
  </si>
  <si>
    <t>12 граней холодная фиксация</t>
  </si>
  <si>
    <t>12 граней горячая фиксация</t>
  </si>
  <si>
    <t>mix</t>
  </si>
  <si>
    <t xml:space="preserve">Tanzanite AB </t>
  </si>
  <si>
    <t>PURPLE RED FANTASY BLUE</t>
  </si>
  <si>
    <t xml:space="preserve">Oval </t>
  </si>
  <si>
    <t>Crystal</t>
  </si>
  <si>
    <t xml:space="preserve">NEW AB </t>
  </si>
  <si>
    <t>16 граней холодная фиксация</t>
  </si>
  <si>
    <t>цена продажи в руб</t>
  </si>
  <si>
    <t>штук в пачке</t>
  </si>
  <si>
    <t>SIAM</t>
  </si>
  <si>
    <t>SUNSHINE</t>
  </si>
  <si>
    <t>AQUAMARINE AB</t>
  </si>
  <si>
    <t>CITRINE AB</t>
  </si>
  <si>
    <t>всего шт пришло</t>
  </si>
  <si>
    <t>GOLDEN  SHADOW</t>
  </si>
  <si>
    <t>1000-1200</t>
  </si>
  <si>
    <t>цена</t>
  </si>
  <si>
    <t>ss16</t>
  </si>
  <si>
    <t>ss12</t>
  </si>
  <si>
    <t>ss3</t>
  </si>
  <si>
    <t>ss10</t>
  </si>
  <si>
    <t>ss20</t>
  </si>
  <si>
    <t>12 граней горячая фиксация с эффектом АВ</t>
  </si>
  <si>
    <t>12 граней холодная фиксация с эффектом АВ</t>
  </si>
  <si>
    <t>MOCHA YELLOW</t>
  </si>
  <si>
    <t>MOCHA  ROSE</t>
  </si>
  <si>
    <t>16 граней холодная фиксация с эффектом АВ</t>
  </si>
  <si>
    <t xml:space="preserve">Rivoli </t>
  </si>
  <si>
    <t>17*21</t>
  </si>
  <si>
    <t>СRYSTAL</t>
  </si>
  <si>
    <t>DARK SIAM</t>
  </si>
  <si>
    <t>Цена за 1 шт</t>
  </si>
  <si>
    <t>Клей Е6000</t>
  </si>
  <si>
    <t>Паяльник</t>
  </si>
  <si>
    <t>BLUE ZIRCON</t>
  </si>
  <si>
    <t>HYACINTH</t>
  </si>
  <si>
    <t>RAINBOW</t>
  </si>
  <si>
    <t>WHITE OPAL</t>
  </si>
  <si>
    <t>TANZANITE</t>
  </si>
  <si>
    <t>ELECTRIC PINK</t>
  </si>
  <si>
    <t>BLUE FLARE</t>
  </si>
  <si>
    <t>HEMATITE</t>
  </si>
  <si>
    <t>JONQUIL</t>
  </si>
  <si>
    <t>16 граней горячая фиксация</t>
  </si>
  <si>
    <t>GOLDEN SHADOW</t>
  </si>
  <si>
    <t>Lemon</t>
  </si>
  <si>
    <t>Peridot</t>
  </si>
  <si>
    <t>GOLD SHADOW</t>
  </si>
  <si>
    <t>Black Diamond</t>
  </si>
  <si>
    <t>COFFEE</t>
  </si>
  <si>
    <t>VOLCANO</t>
  </si>
  <si>
    <t>SEFFAF</t>
  </si>
  <si>
    <t>SEFFAF AB</t>
  </si>
  <si>
    <t>GARNET</t>
  </si>
  <si>
    <t>JET HEMATITE</t>
  </si>
  <si>
    <t>GREEN ZIRCON</t>
  </si>
  <si>
    <t>6*10</t>
  </si>
  <si>
    <t>15*32</t>
  </si>
  <si>
    <t>7*10</t>
  </si>
  <si>
    <t>11*16</t>
  </si>
  <si>
    <t>17*24</t>
  </si>
  <si>
    <t>22*22</t>
  </si>
  <si>
    <t>LEMON</t>
  </si>
  <si>
    <t>8*24</t>
  </si>
  <si>
    <t>15*30</t>
  </si>
  <si>
    <t>DIAMOND LEAF</t>
  </si>
  <si>
    <t>RIVOLI</t>
  </si>
  <si>
    <t>COSMIC BAGUETTE</t>
  </si>
  <si>
    <t>DROP</t>
  </si>
  <si>
    <t>NAVETTE</t>
  </si>
  <si>
    <t>COSMIC</t>
  </si>
  <si>
    <t>GALACTIC</t>
  </si>
  <si>
    <t>XIRIUS</t>
  </si>
  <si>
    <t>MOCHA FUCHSIA</t>
  </si>
  <si>
    <t>MOCHA AQUAMARINE</t>
  </si>
  <si>
    <t>FUCHSIA</t>
  </si>
  <si>
    <t>BLUE ZIRCON AB</t>
  </si>
  <si>
    <t>16 граней горячая фиксация АВ</t>
  </si>
  <si>
    <t>HYACINTH AB</t>
  </si>
  <si>
    <t>SALMON</t>
  </si>
  <si>
    <t>BLUE OPAL</t>
  </si>
  <si>
    <t>GREEN OPAL</t>
  </si>
  <si>
    <t>PINK OPAL</t>
  </si>
  <si>
    <t>BLUE MOONLIGHT</t>
  </si>
  <si>
    <t>SILVER SHADOW</t>
  </si>
  <si>
    <t>METALLIC VIOLET</t>
  </si>
  <si>
    <t>MOCHA WHITE</t>
  </si>
  <si>
    <t>MOCHA BLUE</t>
  </si>
  <si>
    <t>MOCHA AMETHYST</t>
  </si>
  <si>
    <t>MOCHA PINK</t>
  </si>
  <si>
    <t>CRYSTAL ROSE GOLD</t>
  </si>
  <si>
    <t>FUCHSIA AB</t>
  </si>
  <si>
    <t>NEON WHITE AB</t>
  </si>
  <si>
    <t>NEON PINK AB</t>
  </si>
  <si>
    <t>NEON PURPLE AB</t>
  </si>
  <si>
    <t>Oval</t>
  </si>
  <si>
    <t>PURPLE VЕLET</t>
  </si>
  <si>
    <t>Chalk White</t>
  </si>
  <si>
    <t>Форма</t>
  </si>
  <si>
    <t>Размер</t>
  </si>
  <si>
    <t>6*8</t>
  </si>
  <si>
    <t>18*25</t>
  </si>
  <si>
    <t>ПРИШИВНЫЕ В ЦАПАХ</t>
  </si>
  <si>
    <t>6*20</t>
  </si>
  <si>
    <t>Arpa</t>
  </si>
  <si>
    <t>3*11</t>
  </si>
  <si>
    <t>4*15</t>
  </si>
  <si>
    <t>10*35</t>
  </si>
  <si>
    <t>5мм</t>
  </si>
  <si>
    <t>8мм</t>
  </si>
  <si>
    <t>10мм</t>
  </si>
  <si>
    <t>12мм</t>
  </si>
  <si>
    <t>16мм</t>
  </si>
  <si>
    <t>18мм</t>
  </si>
  <si>
    <t>Heart</t>
  </si>
  <si>
    <t>Baguette</t>
  </si>
  <si>
    <t>3*7</t>
  </si>
  <si>
    <t>10*12</t>
  </si>
  <si>
    <t>PINK</t>
  </si>
  <si>
    <t>AMBER</t>
  </si>
  <si>
    <t>NEON YELLOW AB</t>
  </si>
  <si>
    <t>NEON GREEN AB</t>
  </si>
  <si>
    <t>Smoked Topaz</t>
  </si>
  <si>
    <t>MOONLIGHT</t>
  </si>
  <si>
    <t>CRYSTAL LILAC</t>
  </si>
  <si>
    <t>EMERALD AB</t>
  </si>
  <si>
    <t>Peridot AB</t>
  </si>
  <si>
    <t>AMETHYST AB</t>
  </si>
  <si>
    <t>VM</t>
  </si>
  <si>
    <t>SS48</t>
  </si>
  <si>
    <t xml:space="preserve">CRYSTAL </t>
  </si>
  <si>
    <t>Продано шт</t>
  </si>
  <si>
    <t>NS 01</t>
  </si>
  <si>
    <t>пришло</t>
  </si>
  <si>
    <t>NS 04</t>
  </si>
  <si>
    <t>NS 06</t>
  </si>
  <si>
    <t>NS 09</t>
  </si>
  <si>
    <t>NS 10</t>
  </si>
  <si>
    <t>NS 11</t>
  </si>
  <si>
    <t>NS 12</t>
  </si>
  <si>
    <t>NS 13</t>
  </si>
  <si>
    <t>NS 14</t>
  </si>
  <si>
    <t>NS 24</t>
  </si>
  <si>
    <t>NS 42</t>
  </si>
  <si>
    <t>NS 44</t>
  </si>
  <si>
    <t>NS 46</t>
  </si>
  <si>
    <t>NS 45</t>
  </si>
  <si>
    <t>Браслеты</t>
  </si>
  <si>
    <t>черные</t>
  </si>
  <si>
    <t>38/40/41</t>
  </si>
  <si>
    <t>42/44/45</t>
  </si>
  <si>
    <t>серебро</t>
  </si>
  <si>
    <t>золото</t>
  </si>
  <si>
    <t>розовое золото</t>
  </si>
  <si>
    <t>Каталоги</t>
  </si>
  <si>
    <t>12/16 граней</t>
  </si>
  <si>
    <t>пришивные</t>
  </si>
  <si>
    <t>пришло шт</t>
  </si>
  <si>
    <t>продано или расфасовано</t>
  </si>
  <si>
    <t>ss4</t>
  </si>
  <si>
    <t>ss6</t>
  </si>
  <si>
    <t>ss8</t>
  </si>
  <si>
    <t>ss30</t>
  </si>
  <si>
    <t>ss40</t>
  </si>
  <si>
    <t>ss34</t>
  </si>
  <si>
    <t>AB старые</t>
  </si>
  <si>
    <t>Siam</t>
  </si>
  <si>
    <t>Dark Siam</t>
  </si>
  <si>
    <t>6мм</t>
  </si>
  <si>
    <t>Montana</t>
  </si>
  <si>
    <t>Citrine</t>
  </si>
  <si>
    <t>остаток</t>
  </si>
  <si>
    <t>Клей Т9000</t>
  </si>
  <si>
    <t>Фивикрил</t>
  </si>
  <si>
    <t>штук в пакете</t>
  </si>
  <si>
    <t>144 000 шт</t>
  </si>
  <si>
    <t>4000 руб</t>
  </si>
  <si>
    <t>5900 руб</t>
  </si>
  <si>
    <t>4200 руб</t>
  </si>
  <si>
    <t>72 000 шт</t>
  </si>
  <si>
    <t>3200 руб</t>
  </si>
  <si>
    <t>57 600 шт</t>
  </si>
  <si>
    <t>3500 руб</t>
  </si>
  <si>
    <t>28 800 шт</t>
  </si>
  <si>
    <t>3000 руб</t>
  </si>
  <si>
    <t>14 400 шт</t>
  </si>
  <si>
    <t>2500 руб</t>
  </si>
  <si>
    <t>5 760 шт</t>
  </si>
  <si>
    <t>2420 руб</t>
  </si>
  <si>
    <t>2700 руб</t>
  </si>
  <si>
    <t>11550 руб</t>
  </si>
  <si>
    <t>2450 руб</t>
  </si>
  <si>
    <t>5800 руб</t>
  </si>
  <si>
    <t>7950 руб</t>
  </si>
  <si>
    <t>8600 руб</t>
  </si>
  <si>
    <t>6300 руб</t>
  </si>
  <si>
    <t>2 880 шт</t>
  </si>
  <si>
    <t>6600 руб</t>
  </si>
  <si>
    <t>4650 руб</t>
  </si>
  <si>
    <t xml:space="preserve"> Crystal AB (старые)</t>
  </si>
  <si>
    <t>Пришло</t>
  </si>
  <si>
    <t>7мм</t>
  </si>
  <si>
    <t>6*24</t>
  </si>
  <si>
    <t>17*32</t>
  </si>
  <si>
    <t>Olive</t>
  </si>
  <si>
    <t>Без цап</t>
  </si>
  <si>
    <t>Sapphire AB</t>
  </si>
  <si>
    <t>SAPPHIRE AB</t>
  </si>
  <si>
    <t>SIAM AB</t>
  </si>
  <si>
    <t>GARNET AB</t>
  </si>
  <si>
    <t>Chrysolite</t>
  </si>
  <si>
    <t>SS5</t>
  </si>
  <si>
    <t>Lt.Colorado Topaz AB</t>
  </si>
  <si>
    <t>Aquamarine AB</t>
  </si>
  <si>
    <t>Montana AB</t>
  </si>
  <si>
    <t>Lt. Peridot AB</t>
  </si>
  <si>
    <t>Tanzanite</t>
  </si>
  <si>
    <t>Seffaf</t>
  </si>
  <si>
    <t>16*25</t>
  </si>
  <si>
    <t>29*35</t>
  </si>
  <si>
    <t>NS 05</t>
  </si>
  <si>
    <t>Mocha Orange</t>
  </si>
  <si>
    <t>Jet Black AB</t>
  </si>
  <si>
    <t>Smoked Topaz AB</t>
  </si>
  <si>
    <t>Capri Blue AB</t>
  </si>
  <si>
    <t>Hyacinth AB</t>
  </si>
  <si>
    <t>Siam AB</t>
  </si>
  <si>
    <t>Neon Purple</t>
  </si>
  <si>
    <t>11*14</t>
  </si>
  <si>
    <t>21*27</t>
  </si>
  <si>
    <t>Пленка</t>
  </si>
  <si>
    <t>32см</t>
  </si>
  <si>
    <t>40см</t>
  </si>
  <si>
    <t>50см</t>
  </si>
  <si>
    <t>Карандаш</t>
  </si>
  <si>
    <t>16*20</t>
  </si>
  <si>
    <t>код цвета</t>
  </si>
  <si>
    <t>001</t>
  </si>
  <si>
    <t>001+</t>
  </si>
  <si>
    <t>112</t>
  </si>
  <si>
    <t>002</t>
  </si>
  <si>
    <t>004</t>
  </si>
  <si>
    <t>005</t>
  </si>
  <si>
    <t>006</t>
  </si>
  <si>
    <t>003</t>
  </si>
  <si>
    <t>007</t>
  </si>
  <si>
    <t>008</t>
  </si>
  <si>
    <t>009</t>
  </si>
  <si>
    <t>010</t>
  </si>
  <si>
    <t>012</t>
  </si>
  <si>
    <t>011</t>
  </si>
  <si>
    <t>013</t>
  </si>
  <si>
    <t>014</t>
  </si>
  <si>
    <t>016</t>
  </si>
  <si>
    <t>017</t>
  </si>
  <si>
    <t>015</t>
  </si>
  <si>
    <t>018</t>
  </si>
  <si>
    <t>019</t>
  </si>
  <si>
    <t>021</t>
  </si>
  <si>
    <t>022</t>
  </si>
  <si>
    <t>023</t>
  </si>
  <si>
    <t>024</t>
  </si>
  <si>
    <t>026</t>
  </si>
  <si>
    <t>027</t>
  </si>
  <si>
    <t>028</t>
  </si>
  <si>
    <t>029</t>
  </si>
  <si>
    <t>033+</t>
  </si>
  <si>
    <t>033</t>
  </si>
  <si>
    <t>034</t>
  </si>
  <si>
    <t>035</t>
  </si>
  <si>
    <t>031</t>
  </si>
  <si>
    <t>036</t>
  </si>
  <si>
    <t>037</t>
  </si>
  <si>
    <t>038</t>
  </si>
  <si>
    <t>030</t>
  </si>
  <si>
    <t>040</t>
  </si>
  <si>
    <t>042</t>
  </si>
  <si>
    <t>043</t>
  </si>
  <si>
    <t>044</t>
  </si>
  <si>
    <t>045</t>
  </si>
  <si>
    <t>052</t>
  </si>
  <si>
    <t>053</t>
  </si>
  <si>
    <t>057</t>
  </si>
  <si>
    <t>060</t>
  </si>
  <si>
    <t>055</t>
  </si>
  <si>
    <t xml:space="preserve">Sun Shine </t>
  </si>
  <si>
    <t>066</t>
  </si>
  <si>
    <t>101</t>
  </si>
  <si>
    <t>103</t>
  </si>
  <si>
    <t>104</t>
  </si>
  <si>
    <t>105</t>
  </si>
  <si>
    <t>109</t>
  </si>
  <si>
    <t>056</t>
  </si>
  <si>
    <t>111</t>
  </si>
  <si>
    <t>070</t>
  </si>
  <si>
    <t>069</t>
  </si>
  <si>
    <t>071</t>
  </si>
  <si>
    <t>073</t>
  </si>
  <si>
    <t xml:space="preserve">Crystal </t>
  </si>
  <si>
    <t xml:space="preserve">JET HEMATITE                         </t>
  </si>
  <si>
    <t xml:space="preserve">JONQUIL </t>
  </si>
  <si>
    <t xml:space="preserve">TOPAZ                                     </t>
  </si>
  <si>
    <t xml:space="preserve">SMOKED TOPAZ                     </t>
  </si>
  <si>
    <t xml:space="preserve">COFFEE                                   </t>
  </si>
  <si>
    <t xml:space="preserve">INDICOLITE                          </t>
  </si>
  <si>
    <t xml:space="preserve">AQUAMARINE                       </t>
  </si>
  <si>
    <t xml:space="preserve">Fuchsia </t>
  </si>
  <si>
    <t xml:space="preserve">Shifting Violet </t>
  </si>
  <si>
    <t xml:space="preserve">PURE PURPLE </t>
  </si>
  <si>
    <t>008+</t>
  </si>
  <si>
    <t>013+</t>
  </si>
  <si>
    <t xml:space="preserve">TOPAZ AB </t>
  </si>
  <si>
    <t xml:space="preserve">SAPPHIRE AB </t>
  </si>
  <si>
    <t>014+</t>
  </si>
  <si>
    <t xml:space="preserve">Indicolite AB </t>
  </si>
  <si>
    <t>024+</t>
  </si>
  <si>
    <t>028+</t>
  </si>
  <si>
    <t>062</t>
  </si>
  <si>
    <t>067+</t>
  </si>
  <si>
    <t>068+</t>
  </si>
  <si>
    <t>073+</t>
  </si>
  <si>
    <t>069+</t>
  </si>
  <si>
    <t>070+</t>
  </si>
  <si>
    <t>071+</t>
  </si>
  <si>
    <t xml:space="preserve">SILVER HEMATIT </t>
  </si>
  <si>
    <t xml:space="preserve">TOPAZ </t>
  </si>
  <si>
    <t xml:space="preserve">Sapphire </t>
  </si>
  <si>
    <t xml:space="preserve">INDICOLITE </t>
  </si>
  <si>
    <t xml:space="preserve">AQUAMARINE </t>
  </si>
  <si>
    <t xml:space="preserve">Capri Blue  </t>
  </si>
  <si>
    <t xml:space="preserve">MONTANA </t>
  </si>
  <si>
    <t xml:space="preserve">Black Diamond </t>
  </si>
  <si>
    <t xml:space="preserve">EMERALD </t>
  </si>
  <si>
    <t xml:space="preserve">OLIVINE </t>
  </si>
  <si>
    <t xml:space="preserve">RAINBOW </t>
  </si>
  <si>
    <t xml:space="preserve">Hyacinth </t>
  </si>
  <si>
    <t xml:space="preserve">LT.SIAM </t>
  </si>
  <si>
    <t xml:space="preserve">SIAM </t>
  </si>
  <si>
    <t xml:space="preserve">CITRINE </t>
  </si>
  <si>
    <t xml:space="preserve">VIOLET </t>
  </si>
  <si>
    <t>041</t>
  </si>
  <si>
    <t xml:space="preserve">GOLD SHADOW </t>
  </si>
  <si>
    <t xml:space="preserve">SHIFTING VIOLET </t>
  </si>
  <si>
    <t>102</t>
  </si>
  <si>
    <t xml:space="preserve">Pure Purple </t>
  </si>
  <si>
    <t xml:space="preserve">AMBER </t>
  </si>
  <si>
    <t xml:space="preserve">AURORA GREEN </t>
  </si>
  <si>
    <t>108</t>
  </si>
  <si>
    <t>115</t>
  </si>
  <si>
    <t xml:space="preserve">MOCHA HYACINTH </t>
  </si>
  <si>
    <t>116</t>
  </si>
  <si>
    <t>117</t>
  </si>
  <si>
    <t>77</t>
  </si>
  <si>
    <t>114</t>
  </si>
  <si>
    <t xml:space="preserve">MOCHA GREEN  </t>
  </si>
  <si>
    <t>78</t>
  </si>
  <si>
    <t>79</t>
  </si>
  <si>
    <t>113</t>
  </si>
  <si>
    <t>76</t>
  </si>
  <si>
    <t>002+</t>
  </si>
  <si>
    <t>009+</t>
  </si>
  <si>
    <t>010+</t>
  </si>
  <si>
    <t>016+</t>
  </si>
  <si>
    <t>017+</t>
  </si>
  <si>
    <t>018+</t>
  </si>
  <si>
    <t xml:space="preserve">Emerald AB </t>
  </si>
  <si>
    <t>026+</t>
  </si>
  <si>
    <t>029+</t>
  </si>
  <si>
    <t>031+</t>
  </si>
  <si>
    <t>Citrine AB</t>
  </si>
  <si>
    <t>035+</t>
  </si>
  <si>
    <t>038+</t>
  </si>
  <si>
    <t>061</t>
  </si>
  <si>
    <t xml:space="preserve">Lt. Siam Shimmer </t>
  </si>
  <si>
    <t>034+</t>
  </si>
  <si>
    <t xml:space="preserve">Fuchsia AB </t>
  </si>
  <si>
    <t xml:space="preserve">Garnet AB </t>
  </si>
  <si>
    <t>119</t>
  </si>
  <si>
    <t>38/40/41 +ключ</t>
  </si>
  <si>
    <t>42/44/45+ключ</t>
  </si>
  <si>
    <t>38/40/41+клюс</t>
  </si>
  <si>
    <t>38/40/41+ключ</t>
  </si>
  <si>
    <t>Цена</t>
  </si>
  <si>
    <t xml:space="preserve">BLUE ZIRCON </t>
  </si>
  <si>
    <t>RIVOLI 4041</t>
  </si>
  <si>
    <t>10MM</t>
  </si>
  <si>
    <t>12MM</t>
  </si>
  <si>
    <t>14MM</t>
  </si>
  <si>
    <t>DROP 4065</t>
  </si>
  <si>
    <t>NAVETTE 4066</t>
  </si>
  <si>
    <t>COSMIC 4070</t>
  </si>
  <si>
    <t>20*16</t>
  </si>
  <si>
    <t>GALACTIC 4062</t>
  </si>
  <si>
    <t>16*27</t>
  </si>
  <si>
    <t xml:space="preserve">CAPRI BLUE </t>
  </si>
  <si>
    <t xml:space="preserve">FUCHSIA  </t>
  </si>
  <si>
    <t xml:space="preserve">LIGHT TURQUOISE  </t>
  </si>
  <si>
    <t>223АВ</t>
  </si>
  <si>
    <t>208АВ</t>
  </si>
  <si>
    <t>243АВ</t>
  </si>
  <si>
    <t>236AB</t>
  </si>
  <si>
    <t>205AB</t>
  </si>
  <si>
    <t>PERIDOT AB</t>
  </si>
  <si>
    <t>214AB</t>
  </si>
  <si>
    <t>211AB</t>
  </si>
  <si>
    <t>ПРИШИВНЫЕ ПРЕМИУМ</t>
  </si>
  <si>
    <t>011+</t>
  </si>
  <si>
    <t>015+</t>
  </si>
  <si>
    <t>027+</t>
  </si>
  <si>
    <t>количество нитей</t>
  </si>
  <si>
    <t>синий</t>
  </si>
  <si>
    <t>лагуна (аквамарин)</t>
  </si>
  <si>
    <t>бежевый</t>
  </si>
  <si>
    <t>нежно зеленый</t>
  </si>
  <si>
    <t>ярко розовый</t>
  </si>
  <si>
    <t>средне розовый</t>
  </si>
  <si>
    <t>ВAGUETTE 4061</t>
  </si>
  <si>
    <t>БОА</t>
  </si>
  <si>
    <t>вид</t>
  </si>
  <si>
    <t>нейлон тонкая</t>
  </si>
  <si>
    <t>черная</t>
  </si>
  <si>
    <t>красная</t>
  </si>
  <si>
    <t>розовая</t>
  </si>
  <si>
    <t>тифани</t>
  </si>
  <si>
    <t>синяя</t>
  </si>
  <si>
    <t>белая</t>
  </si>
  <si>
    <t>коричневая (кофе)</t>
  </si>
  <si>
    <t>ярко-розовая</t>
  </si>
  <si>
    <t>светло-коричневая (капучино)</t>
  </si>
  <si>
    <t>Салмон</t>
  </si>
  <si>
    <t>Бахрома</t>
  </si>
  <si>
    <t>лапша</t>
  </si>
  <si>
    <t>118</t>
  </si>
  <si>
    <t>БРАК</t>
  </si>
  <si>
    <t>темно розовый (07 )</t>
  </si>
  <si>
    <t>молочный (18)</t>
  </si>
  <si>
    <t>черный (14)</t>
  </si>
  <si>
    <t>белый холод (12)</t>
  </si>
  <si>
    <t>нежно розовые (25)</t>
  </si>
  <si>
    <t>красный (3)</t>
  </si>
  <si>
    <t>набор 1</t>
  </si>
  <si>
    <t>набор 2</t>
  </si>
  <si>
    <t>набор 3</t>
  </si>
  <si>
    <t>набор 4</t>
  </si>
  <si>
    <t>кристалл</t>
  </si>
  <si>
    <t>аб</t>
  </si>
  <si>
    <t>11*24</t>
  </si>
  <si>
    <t>ROYAL DROP</t>
  </si>
  <si>
    <t>22мм</t>
  </si>
  <si>
    <t>28мм</t>
  </si>
  <si>
    <t>CRYSTAL AB</t>
  </si>
  <si>
    <t>NS 02</t>
  </si>
  <si>
    <t>NS 08</t>
  </si>
  <si>
    <t>белый длинный</t>
  </si>
  <si>
    <t>белый короткий</t>
  </si>
  <si>
    <t>восковые</t>
  </si>
  <si>
    <t>AQUA SILVER</t>
  </si>
  <si>
    <t>пришло штук</t>
  </si>
  <si>
    <t>HW 01</t>
  </si>
  <si>
    <t>светло-голубой (Lt blue)</t>
  </si>
  <si>
    <t>HW 03</t>
  </si>
  <si>
    <t>синий (violet)</t>
  </si>
  <si>
    <t>HW 04</t>
  </si>
  <si>
    <t>белый (white)</t>
  </si>
  <si>
    <t>HW 06</t>
  </si>
  <si>
    <t>бледно-розовый (Lt rose)</t>
  </si>
  <si>
    <t>HW 09</t>
  </si>
  <si>
    <t>бордо (red)</t>
  </si>
  <si>
    <t>HW 10</t>
  </si>
  <si>
    <t>ярко-розовый (rose)</t>
  </si>
  <si>
    <t>HW 14</t>
  </si>
  <si>
    <t>темно-розовый</t>
  </si>
  <si>
    <t>темно-голубой (blue)</t>
  </si>
  <si>
    <t>GOLDEN SHADOW AB</t>
  </si>
  <si>
    <t>старые</t>
  </si>
  <si>
    <t>568 шт старые+602 новые</t>
  </si>
  <si>
    <t>новые</t>
  </si>
  <si>
    <t>1152 шт старые+566 шт новые</t>
  </si>
  <si>
    <t>24 шт старые+374 шт новые</t>
  </si>
  <si>
    <t>Crystal AB</t>
  </si>
  <si>
    <t>Артикул</t>
  </si>
  <si>
    <t>SILVER HEMATITE</t>
  </si>
  <si>
    <t xml:space="preserve">Lt. Colorado Topaz          </t>
  </si>
  <si>
    <t xml:space="preserve">Lt. Sapphire                      </t>
  </si>
  <si>
    <t xml:space="preserve">SAPPHIRE                        </t>
  </si>
  <si>
    <t>Lt. Black Diamond</t>
  </si>
  <si>
    <t>Lt. Amethyst</t>
  </si>
  <si>
    <t>Lt. Peridot</t>
  </si>
  <si>
    <t>Lt. Peach</t>
  </si>
  <si>
    <t>Lt. Siam</t>
  </si>
  <si>
    <t>Lt. Rose</t>
  </si>
  <si>
    <t>VIOLET</t>
  </si>
  <si>
    <t xml:space="preserve">Lt. Peridot AB </t>
  </si>
  <si>
    <t>12cut/Crystal/SS3/Hot/001</t>
  </si>
  <si>
    <t>12cut/Crystal/SS4/Hot/001</t>
  </si>
  <si>
    <t>12cut/Crystal/SS6/Hot/001</t>
  </si>
  <si>
    <t>12cut/Crystal/SS8/Hot/001</t>
  </si>
  <si>
    <t>12cut/Crystal/SS10/Hot/001</t>
  </si>
  <si>
    <t>12cut/Crystal/SS12/Hot/001</t>
  </si>
  <si>
    <t>12cut/Crystal/SS16/Hot/001</t>
  </si>
  <si>
    <t>12cut/Crystal/SS20/Hot/001</t>
  </si>
  <si>
    <t>12cut/Crystal/SS30/Hot/001</t>
  </si>
  <si>
    <t>12cut/Crystal/SS34/Hot/001</t>
  </si>
  <si>
    <t>12cut/Crystal/SS40/Hot/001</t>
  </si>
  <si>
    <t>12cut/Сrystal AB/SS3/Hot/001+</t>
  </si>
  <si>
    <t>12cut/Сrystal AB/SS4/Hot/001+</t>
  </si>
  <si>
    <t>12cut/Сrystal AB/SS6/Hot/001+</t>
  </si>
  <si>
    <t>12cut/Сrystal AB/SS8/Hot/001+</t>
  </si>
  <si>
    <t>12cut/Сrystal AB/SS10/Hot/001+</t>
  </si>
  <si>
    <t>12cut/Сrystal AB/SS12/Hot/001+</t>
  </si>
  <si>
    <t>12cut/Сrystal AB/SS20/Hot/001+</t>
  </si>
  <si>
    <t>12cut/Сrystal AB/SS30/Hot/001+</t>
  </si>
  <si>
    <t>12cut/Сrystal AB/SS34/Hot/001+</t>
  </si>
  <si>
    <t>12cut/NEW AB/SS4/Hot/112</t>
  </si>
  <si>
    <t>12cut/Crystal/mix/Hot/001</t>
  </si>
  <si>
    <t>12cut/Lt. Peach/mix/Hot/029</t>
  </si>
  <si>
    <t>JET BLACK</t>
  </si>
  <si>
    <t>12cut/Jet Black/SS3/Hot/002</t>
  </si>
  <si>
    <t>12cut/Crystal Labrador/SS3/Hot/004</t>
  </si>
  <si>
    <t>12cut/Jet Hematite/SS3/Hot/005</t>
  </si>
  <si>
    <t>12cut/Crystal Aurum/SS3/Hot/006</t>
  </si>
  <si>
    <t>12cut/NEW AB/SS6/Hot/112</t>
  </si>
  <si>
    <t>12cut/NEW AB/SS8/Hot/112</t>
  </si>
  <si>
    <t>12cut/NEW AB/SS10/Hot/112</t>
  </si>
  <si>
    <t>12cut/NEW AB/SS12/Hot/112</t>
  </si>
  <si>
    <t>12cut/NEW AB/SS16/Hot/112</t>
  </si>
  <si>
    <t>12cut/NEW AB/SS20/Hot/112</t>
  </si>
  <si>
    <t>12cut/NEW AB/SS30/Hot/112</t>
  </si>
  <si>
    <t>12cut/NEW AB/SS34/Hot/112</t>
  </si>
  <si>
    <t>12cut/NEW AB/SS40/Hot/112</t>
  </si>
  <si>
    <t>12cut/Jet Black/SS4/Hot/002</t>
  </si>
  <si>
    <t>12cut/Jet Black/SS6/Hot/002</t>
  </si>
  <si>
    <t>12cut/Jet Black/SS8/Hot/002</t>
  </si>
  <si>
    <t>12cut/Jet Black/SS10/Hot/002</t>
  </si>
  <si>
    <t>12cut/Jet Black/SS12/Hot/002</t>
  </si>
  <si>
    <t>12cut/Jet Black/SS16/Hot/002</t>
  </si>
  <si>
    <t>12cut/Jet Black/SS20/Hot/002</t>
  </si>
  <si>
    <t>12cut/Jet Black/SS30/Hot/002</t>
  </si>
  <si>
    <t>12cut/Jet Black/SS34/Hot/002</t>
  </si>
  <si>
    <t>12cut/Jet Black/SS40/Hot/002</t>
  </si>
  <si>
    <t>12cut/Crystal Labrador/SS4/Hot/004</t>
  </si>
  <si>
    <t>12cut/Crystal Labrador/SS6/Hot/004</t>
  </si>
  <si>
    <t>12cut/Crystal Labrador/SS8/Hot/004</t>
  </si>
  <si>
    <t>12cut/Crystal Labrador/SS12/Hot/004</t>
  </si>
  <si>
    <t>12cut/Crystal Labrador/SS16/Hot/004</t>
  </si>
  <si>
    <t>12cut/Crystal Labrador/SS20/Hot/004</t>
  </si>
  <si>
    <t>12cut/Crystal Labrador/SS30/Hot/004</t>
  </si>
  <si>
    <t>12cut/Crystal Labrador/SS34/Hot/004</t>
  </si>
  <si>
    <t>12cut/Jet Hematite/SS4/Hot/005</t>
  </si>
  <si>
    <t>12cut/Jet Hematite/SS6/Hot/005</t>
  </si>
  <si>
    <t>12cut/Jet Hematite/SS8/Hot/005</t>
  </si>
  <si>
    <t>12cut/Jet Hematite/SS10/Hot/005</t>
  </si>
  <si>
    <t>12cut/Jet Hematite/SS12/Hot/005</t>
  </si>
  <si>
    <t>12cut/Jet Hematite/SS16/Hot/005</t>
  </si>
  <si>
    <t>12cut/Jet Hematite/SS20/Hot/005</t>
  </si>
  <si>
    <t>12cut/Jet Hematite/SS30/Hot/005</t>
  </si>
  <si>
    <t>12cut/Jet Hematite/SS34/Hot/005</t>
  </si>
  <si>
    <t>12cut/Jet Hematite/SS40/Hot/005</t>
  </si>
  <si>
    <t>12cut/Crystal Aurum/SS4/Hot/006</t>
  </si>
  <si>
    <t>12cut/Crystal Aurum/SS8/Hot/006</t>
  </si>
  <si>
    <t>12cut/Hematite/SS3/Hot/003</t>
  </si>
  <si>
    <t>12cut/Hematite/SS4/Hot/003</t>
  </si>
  <si>
    <t>12cut/Crystal Aurum/SS10/Hot/006</t>
  </si>
  <si>
    <t>12cut/Crystal Aurum/SS12/Hot/006</t>
  </si>
  <si>
    <t>12cut/Crystal Aurum/SS16/Hot/006</t>
  </si>
  <si>
    <t>12cut/Crystal Aurum/SS20/Hot/006</t>
  </si>
  <si>
    <t>12cut/Crystal Aurum/SS30/Hot/006</t>
  </si>
  <si>
    <t>12cut/Crystal Aurum/SS34/Hot/006</t>
  </si>
  <si>
    <t>12cut/Crystal Aurum/SS40/Hot/006</t>
  </si>
  <si>
    <t>12cut/Hematite/SS6/Hot/003</t>
  </si>
  <si>
    <t>12cut/Hematite/SS8/Hot/003</t>
  </si>
  <si>
    <t>12cut/Hematite/SS10/Hot/003</t>
  </si>
  <si>
    <t>12cut/Hematite/SS12/Hot/003</t>
  </si>
  <si>
    <t>12cut/Hematite/SS16/Hot/003</t>
  </si>
  <si>
    <t>12cut/Hematite/SS20/Hot/003</t>
  </si>
  <si>
    <t>12cut/Hematite/SS30/Hot/003</t>
  </si>
  <si>
    <t>12cut/Hematite/SS34/Hot/003</t>
  </si>
  <si>
    <t>12cut/Hematite/SS40/Hot/003</t>
  </si>
  <si>
    <t>12cut/Jonquil/SS3/Hot/007</t>
  </si>
  <si>
    <t>12cut/Jonquil/SS4/Hot/007</t>
  </si>
  <si>
    <t>12cut/Jonquil/SS6/Hot/007</t>
  </si>
  <si>
    <t>12cut/Jonquil/SS8/Hot/007</t>
  </si>
  <si>
    <t>12cut/Jonquil/SS10/Hot/007</t>
  </si>
  <si>
    <t>12cut/Jonquil/SS12/Hot/007</t>
  </si>
  <si>
    <t>12cut/Jonquil/SS16/Hot/007</t>
  </si>
  <si>
    <t>12cut/Jonquil/SS20/Hot/007</t>
  </si>
  <si>
    <t>12cut/Jonquil/SS30/Hot/007</t>
  </si>
  <si>
    <t>12cut/Jonquil/SS40/Hot/007</t>
  </si>
  <si>
    <t>12cut/Topaz/SS3/Hot/008</t>
  </si>
  <si>
    <t>12cut/Topaz/SS4/Hot/008</t>
  </si>
  <si>
    <t>12cut/Topaz/SS6/Hot/008</t>
  </si>
  <si>
    <t>12cut/Topaz/SS8\/Hot/008</t>
  </si>
  <si>
    <t>12cut/Topaz/SS10/Hot/008</t>
  </si>
  <si>
    <t>12cut/Topaz/SS12/Hot/008</t>
  </si>
  <si>
    <t>12cut/Topaz/SS16/Hot/008</t>
  </si>
  <si>
    <t>12cut/Topaz/SS20/Hot/008</t>
  </si>
  <si>
    <t>12cut/Topaz/SS30/Hot/008</t>
  </si>
  <si>
    <t>12cut/Topaz/SS34/Hot/008</t>
  </si>
  <si>
    <t>12cut/Smoked Topaz/SS3/Hot/009</t>
  </si>
  <si>
    <t>12cut/Smoked Topaz/SS6/Hot/009</t>
  </si>
  <si>
    <t>12cut/Smoked Topaz/SS8/Hot/009</t>
  </si>
  <si>
    <t>12cut/Smoked Topaz/SS10/Hot/009</t>
  </si>
  <si>
    <t>12cut/Smoked Topaz/SS12/Hot/009</t>
  </si>
  <si>
    <t>12cut/Smoked Topaz/SS16/Hot/009</t>
  </si>
  <si>
    <t>12cut/Smoked Topaz/SS20/Hot/009</t>
  </si>
  <si>
    <t>12cut/Smoked Topaz/SS30/Hot/009</t>
  </si>
  <si>
    <t>12cut/Smoked Topaz/SS34/Hot/009</t>
  </si>
  <si>
    <t>12cut/Lt.Colorado Topaz/SS3/Hot/010</t>
  </si>
  <si>
    <t>12cut/Lt.Colorado Topaz/SS6/Hot/010</t>
  </si>
  <si>
    <t>12cut/Lt.Colorado Topaz/SS8/Hot/010</t>
  </si>
  <si>
    <t>12cut/Lt.Colorado Topaz/SS10/Hot/010</t>
  </si>
  <si>
    <t>12cut/Lt.Colorado Topaz/SS12/Hot/010</t>
  </si>
  <si>
    <t>12cut/Lt.Colorado Topaz/SS16/Hot/010</t>
  </si>
  <si>
    <t>12cut/Lt.Colorado Topaz/SS20/Hot/010</t>
  </si>
  <si>
    <t>12cut/Lt.Colorado Topaz/SS30/Hot/010</t>
  </si>
  <si>
    <t>12cut/Lt.Colorado Topaz/SS34/Hot/010</t>
  </si>
  <si>
    <t>12cut/Lt.Colorado Topaz/SS40/Hot/010</t>
  </si>
  <si>
    <t>12cut/Coffee/SS3/Hot/012</t>
  </si>
  <si>
    <t>12cut/Coffee/SS4/Hot/012</t>
  </si>
  <si>
    <t>12cut/Coffee/SS6/Hot/012</t>
  </si>
  <si>
    <t>12cut/Coffee/SS8/Hot/012</t>
  </si>
  <si>
    <t>12cut/Coffee/SS10/Hot/012</t>
  </si>
  <si>
    <t>12cut/Coffee/SS16/Hot/012</t>
  </si>
  <si>
    <t>12cut/Coffee/SS20/Hot/012</t>
  </si>
  <si>
    <t>12cut/Coffee/SS30/Hot/012</t>
  </si>
  <si>
    <t>12cut/Lt.Sapphire/SS3/Hot/011</t>
  </si>
  <si>
    <t>12cut/Lt.Sapphire/SS4/Hot/011</t>
  </si>
  <si>
    <t>12cut/Lt.Sapphire/SS6/Hot/011</t>
  </si>
  <si>
    <t>12cut/Lt.Sapphire/SS8/Hot/011</t>
  </si>
  <si>
    <t>12cut/Lt.Sapphire/SS10/Hot/011</t>
  </si>
  <si>
    <t>12cut/Lt.Sapphire/SS12/Hot/011</t>
  </si>
  <si>
    <t>12cut/Lt.Sapphire/SS16/Hot/011</t>
  </si>
  <si>
    <t>12cut/Lt.Sapphire/SS20/Hot/011</t>
  </si>
  <si>
    <t>12cut/Lt.Sapphire/SS30/Hot/011</t>
  </si>
  <si>
    <t>12cut/Lt.Sapphire/SS34/Hot/011</t>
  </si>
  <si>
    <t>12cut/Lt.Sapphire/SS40/Hot/011</t>
  </si>
  <si>
    <t>12cut/Sapphire/SS3/Hot/013</t>
  </si>
  <si>
    <t>12cut/Sapphire/SS4/Hot/013</t>
  </si>
  <si>
    <t>12cut/Sapphire/SS6/Hot/013</t>
  </si>
  <si>
    <t>12cut/Sapphire/SS8/Hot/013</t>
  </si>
  <si>
    <t>12cut/Sapphire/SS10/Hot/013</t>
  </si>
  <si>
    <t>12cut/Sapphire/SS12/Hot/013</t>
  </si>
  <si>
    <t>12cut/Sapphire/SS16/Hot/013</t>
  </si>
  <si>
    <t>12cut/Sapphire/SS20/Hot/013</t>
  </si>
  <si>
    <t>12cut/Sapphire/SS30/Hot/013</t>
  </si>
  <si>
    <t>12cut/Sapphire/SS34/Hot/013</t>
  </si>
  <si>
    <t>12cut/Sapphire/SS40/Hot/013</t>
  </si>
  <si>
    <t>12cut/Indicolite/SS3/Hot/014</t>
  </si>
  <si>
    <t>12cut/Indicolite/SS4/Hot/014</t>
  </si>
  <si>
    <t>12cut/Indicolite/SS6/Hot/014</t>
  </si>
  <si>
    <t>12cut/Indicolite/SS8/Hot/014</t>
  </si>
  <si>
    <t>12cut/Indicolite/SS10/Hot/014</t>
  </si>
  <si>
    <t>12cut/Indicolite/SS12/Hot/014</t>
  </si>
  <si>
    <t>12cut/Indicolite/SS16/Hot/014</t>
  </si>
  <si>
    <t>12cut/Indicolite/SS20/Hot/014</t>
  </si>
  <si>
    <t>12cut/Indicolite/SS30/Hot/014</t>
  </si>
  <si>
    <t>12cut/Aquamarine/SS3/Hot/016</t>
  </si>
  <si>
    <t>12cut/Aquamarine/SS4/Hot/016</t>
  </si>
  <si>
    <t>12cut/Aquamarine/SS6/Hot/016</t>
  </si>
  <si>
    <t>12cut/Aquamarine/SS8/Hot/016</t>
  </si>
  <si>
    <t>12cut/Aquamarine/SS10/Hot/016</t>
  </si>
  <si>
    <t>12cut/Aquamarine/SS12/Hot/016</t>
  </si>
  <si>
    <t>12cut/Aquamarine/SS16/Hot/016</t>
  </si>
  <si>
    <t>12cut/Aquamarine/SS20/Hot/016</t>
  </si>
  <si>
    <t>12cut/Aquamarine/SS30/Hot/016</t>
  </si>
  <si>
    <t>12cut/Aquamarine/SS34/Hot/016</t>
  </si>
  <si>
    <t>12cut/Aquamarine/SS40/Hot/016</t>
  </si>
  <si>
    <t>12cut/Capri Blue/SS3/Hot/017</t>
  </si>
  <si>
    <t>12cut/Capri Blue/SS4/Hot/017</t>
  </si>
  <si>
    <t>12cut/Capri Blue/SS8/Hot/017</t>
  </si>
  <si>
    <t>12cut/Capri Blue/SS10/Hot/017</t>
  </si>
  <si>
    <t>12cut/Capri Blue/SS12/Hot/017</t>
  </si>
  <si>
    <t>12cut/Capri Blue/SS16/Hot/017</t>
  </si>
  <si>
    <t>12cut/Capri Blue/SS20/Hot/017</t>
  </si>
  <si>
    <t>12cut/Capri Blue/SS30/Hot/017</t>
  </si>
  <si>
    <t>12cut/Capri Blue/SS34/Hot/017</t>
  </si>
  <si>
    <t>12cut/Green Zircon/SS3/Hot/015</t>
  </si>
  <si>
    <t>12cut/Green Zircon/SS4/Hot/015</t>
  </si>
  <si>
    <t>12cut/Green Zircon/SS6/Hot/015</t>
  </si>
  <si>
    <t>12cut/Green Zircon/SS8/Hot/015</t>
  </si>
  <si>
    <t>12cut/Green Zircon/SS10/Hot/015</t>
  </si>
  <si>
    <t>12cut/Green Zircon/SS16/Hot/015</t>
  </si>
  <si>
    <t>12cut/Green Zircon/SS20/Hot/015</t>
  </si>
  <si>
    <t>12cut/Green Zircon/SS30/Hot/015</t>
  </si>
  <si>
    <t>12cut/Green Zircon/SS34/Hot/015</t>
  </si>
  <si>
    <t>12cut/Green Zircon/SS40/Hot/015</t>
  </si>
  <si>
    <t>12cut/Montana/SS3/Hot/018</t>
  </si>
  <si>
    <t>12cut/Montana/SS4/Hot/018</t>
  </si>
  <si>
    <t>12cut/Montana/SS6/Hot/018</t>
  </si>
  <si>
    <t>12cut/Montana/SS8/Hot/018</t>
  </si>
  <si>
    <t>12cut/Montana/SS10/Hot/018</t>
  </si>
  <si>
    <t>12cut/Montana/SS12/Hot/018</t>
  </si>
  <si>
    <t>12cut/Montana/SS16/Hot/018</t>
  </si>
  <si>
    <t>12cut/Montana/SS20/Hot/018</t>
  </si>
  <si>
    <t>12cut/Montana/SS30/Hot/018</t>
  </si>
  <si>
    <t>12cut/Lt.Black Diamond/SS3/Hot/019</t>
  </si>
  <si>
    <t>12cut/Lt.Black Diamond/SS4/Hot/019</t>
  </si>
  <si>
    <t>12cut/Lt.Black Diamond/SS6/Hot/019</t>
  </si>
  <si>
    <t>12cut/Lt.Black Diamond/SS8/Hot/019</t>
  </si>
  <si>
    <t>12cut/Lt.Black Diamond/SS12/Hot/019</t>
  </si>
  <si>
    <t>12cut/Lt.Black Diamond/SS16/Hot/019</t>
  </si>
  <si>
    <t>12cut/Lt.Black Diamond/SS20/Hot/019</t>
  </si>
  <si>
    <t>12cut/Lt.Black Diamond/SS30/Hot/019</t>
  </si>
  <si>
    <t>12cut/Lt.Black Diamond/SS34/Hot/019</t>
  </si>
  <si>
    <t>12cut/Black Diamond/SS3/Hot/021</t>
  </si>
  <si>
    <t>12cut/Black Diamond/SS4/Hot/021</t>
  </si>
  <si>
    <t>12cut/Black Diamond/SS6/Hot/021</t>
  </si>
  <si>
    <t>12cut/Black Diamond/SS8/Hot/021</t>
  </si>
  <si>
    <t>12cut/Black Diamond/SS10/Hot/021</t>
  </si>
  <si>
    <t>12cut/Black Diamond/SS12/Hot/021</t>
  </si>
  <si>
    <t>12cut/Black Diamond/SS16/Hot/021</t>
  </si>
  <si>
    <t>12cut/Black Diamond/SS20/Hot/021</t>
  </si>
  <si>
    <t>12cut/Black Diamond/SS30/Hot/021</t>
  </si>
  <si>
    <t>12cut/Black Diamond/SS34/Hot/021</t>
  </si>
  <si>
    <t>12cut/Black Diamond/SS40/Hot/021</t>
  </si>
  <si>
    <t>12cut/Lt. Amethyst/SS3/Hot/022</t>
  </si>
  <si>
    <t>12cut/Lt. Amethyst/SS4/Hot/022</t>
  </si>
  <si>
    <t>12cut/Amethyst/SS3/Hot/023</t>
  </si>
  <si>
    <t>12cut/Amethyst/SS4/Hot/023</t>
  </si>
  <si>
    <t>12cut/Amethyst/SS6/Hot/023</t>
  </si>
  <si>
    <t>12cut/Amethyst/SS8/Hot/023</t>
  </si>
  <si>
    <t>12cut/Amethyst/SS10/Hot/023</t>
  </si>
  <si>
    <t>12cut/Amethyst/SS12/Hot/023</t>
  </si>
  <si>
    <t>12cut/Amethyst/SS16/Hot/023</t>
  </si>
  <si>
    <t>12cut/Amethyst/SS20/Hot/023</t>
  </si>
  <si>
    <t>12cut/Amethyst/SS30/Hot/023</t>
  </si>
  <si>
    <t>12cut/Amethyst/SS40/Hot/023</t>
  </si>
  <si>
    <t>12cut/Lt. Peridot/SS3/Hot/024</t>
  </si>
  <si>
    <t>12cut/Lt. Peridot/SS4/Hot/024</t>
  </si>
  <si>
    <t>12cut/Lt. Peridot/SS6/Hot/024</t>
  </si>
  <si>
    <t>12cut/Lt. Peridot/SS8/Hot/024</t>
  </si>
  <si>
    <t>12cut/Lt. Peridot/SS10/Hot/024</t>
  </si>
  <si>
    <t>12cut/Lt. Peridot/SS12/Hot/024</t>
  </si>
  <si>
    <t>12cut/Lt. Peridot/SS16/Hot/024</t>
  </si>
  <si>
    <t>12cut/Lt. Peridot/SS20/Hot/024</t>
  </si>
  <si>
    <t>12cut/Lt. Peridot/SS30/Hot/024</t>
  </si>
  <si>
    <t>12cut/Lt. Peridot/SS34/Hot/024</t>
  </si>
  <si>
    <t>12cut/Lt. Peridot/SS40/Hot/024</t>
  </si>
  <si>
    <t>12cut/Emerald/SS3/Hot/026</t>
  </si>
  <si>
    <t>12cut/Emerald/SS4/Hot/026</t>
  </si>
  <si>
    <t>12cut/Emerald/SS8/Hot/026</t>
  </si>
  <si>
    <t>12cut/Emerald/SS10/Hot/026</t>
  </si>
  <si>
    <t>12cut/Emerald/SS12/Hot/026</t>
  </si>
  <si>
    <t>12cut/Emerald/SS16/Hot/026</t>
  </si>
  <si>
    <t>12cut/Emerald/SS20/Hot/026</t>
  </si>
  <si>
    <t>12cut/Emerald/SS30/Hot/026</t>
  </si>
  <si>
    <t>12cut/Emerald/SS34/Hot/026</t>
  </si>
  <si>
    <t>12cut/Emerald/SS40/Hot/026</t>
  </si>
  <si>
    <t>12cut/Olivine/SS3/Hot/027</t>
  </si>
  <si>
    <t>12cut/Olivine/SS4/Hot/027</t>
  </si>
  <si>
    <t>12cut/Olivine/SS6/Hot/027</t>
  </si>
  <si>
    <t>12cut/Olivine/SS8/Hot/027</t>
  </si>
  <si>
    <t>12cut/Olivine/SS10/Hot/027</t>
  </si>
  <si>
    <t>12cut/Olivine/SS12/Hot/027</t>
  </si>
  <si>
    <t>12cut/Olivine/SS16/Hot/027</t>
  </si>
  <si>
    <t>12cut/Olivine/SS20/Hot/027</t>
  </si>
  <si>
    <t>12cut/Olivine/SS30/Hot/027</t>
  </si>
  <si>
    <t>12cut/Olivine/SS40/Hot/027</t>
  </si>
  <si>
    <t>12cut/Tanzanite/SS3/Hot/028</t>
  </si>
  <si>
    <t>12cut/Tanzanite/SS4/Hot/028</t>
  </si>
  <si>
    <t>12cut/Tanzanite/SS6/Hot/028</t>
  </si>
  <si>
    <t>12cut/Tanzanite/SS10/Hot/028</t>
  </si>
  <si>
    <t>12cut/Tanzanite/SS12/Hot/028</t>
  </si>
  <si>
    <t>12cut/Tanzanite/SS16/Hot/028</t>
  </si>
  <si>
    <t>12cut/Tanzanite/SS20/Hot/028</t>
  </si>
  <si>
    <t>12cut/Tanzanite/SS30/Hot/028</t>
  </si>
  <si>
    <t>12cut/Tanzanite/SS40/Hot/028</t>
  </si>
  <si>
    <t>12cut/Lt. Peach/SS3/Hot/029</t>
  </si>
  <si>
    <t>12cut/Lt. Peach/SS4/Hot/029</t>
  </si>
  <si>
    <t>12cut/Lt. Peach/SS6/Hot/029</t>
  </si>
  <si>
    <t>12cut/Lt. Peach/SS8/Hot/029</t>
  </si>
  <si>
    <t>12cut/Lt. Peach/SS10/Hot/029</t>
  </si>
  <si>
    <t>12cut/Lt. Peach/SS12/Hot/029</t>
  </si>
  <si>
    <t>12cut/Lt. Peach/SS16/Hot/029</t>
  </si>
  <si>
    <t>12cut/Lt. Peach/SS20/Hot/029</t>
  </si>
  <si>
    <t>12cut/Lt. Peach/SS30/Hot/029</t>
  </si>
  <si>
    <t>12cut/Lt. Peach/SS34/Hot/029</t>
  </si>
  <si>
    <t>12cut/Lt. Peach/SS40/Hot/029</t>
  </si>
  <si>
    <t>12cut/Lt.Siam/SS3/Hot/033</t>
  </si>
  <si>
    <t>12cut/Lt.Siam/SS4/Hot/033</t>
  </si>
  <si>
    <t>12cut/Lt.Siam/SS8/Hot/033</t>
  </si>
  <si>
    <t>12cut/Lt.Siam/SS10/Hot/033</t>
  </si>
  <si>
    <t>12cut/Lt.Siam/SS12/Hot/033</t>
  </si>
  <si>
    <t>12cut/Lt.Siam/SS16/Hot/033</t>
  </si>
  <si>
    <t>12cut/Lt.Siam/SS20/Hot/033</t>
  </si>
  <si>
    <t>12cut/Lt.Siam/SS30/Hot/033</t>
  </si>
  <si>
    <t>12cut/Lt.Siam/SS34/Hot/033</t>
  </si>
  <si>
    <t>12cut/Siam/SS3/Hot/033+</t>
  </si>
  <si>
    <t>12cut/Siam/SS4/Hot/033+</t>
  </si>
  <si>
    <t>12cut/Siam/SS6/Hot/033+</t>
  </si>
  <si>
    <t>12cut/Siam/SS8/Hot/033+</t>
  </si>
  <si>
    <t>12cut/Siam/SS10/Hot/033+</t>
  </si>
  <si>
    <t>12cut/Siam/SS12/Hot/033+</t>
  </si>
  <si>
    <t>12cut/Siam/SS16/Hot/033+</t>
  </si>
  <si>
    <t>12cut/Siam/SS20/Hot/033+</t>
  </si>
  <si>
    <t>12cut/Siam/SS30/Hot/033+</t>
  </si>
  <si>
    <t>12cut/Siam/SS34/Hot/033+</t>
  </si>
  <si>
    <t>12cut/Siam/SS40/Hot/033+</t>
  </si>
  <si>
    <t>12cut/Garnet/SS3/Hot/034</t>
  </si>
  <si>
    <t>12cut/Garnet/SS4/Hot/034</t>
  </si>
  <si>
    <t>12cut/Garnet/SS6/Hot/034</t>
  </si>
  <si>
    <t>12cut/Garnet/SS8/Hot/034</t>
  </si>
  <si>
    <t>12cut/Garnet/SS10/Hot/034</t>
  </si>
  <si>
    <t>12cut/Garnet/SS12/Hot/034</t>
  </si>
  <si>
    <t>12cut/Garnet/SS16/Hot/034</t>
  </si>
  <si>
    <t>12cut/Garnet/SS20/Hot/034</t>
  </si>
  <si>
    <t>12cut/Garnet/SS30/Hot/034</t>
  </si>
  <si>
    <t>12cut/Garnet/SS34/Hot/034</t>
  </si>
  <si>
    <t>12cut/Garnet/SS40/Hot/034</t>
  </si>
  <si>
    <t>12cut/Citrine/SS3/Hot/035</t>
  </si>
  <si>
    <t>12cut/Citrine/SS6/Hot/035</t>
  </si>
  <si>
    <t>12cut/Citrine/SS8/Hot/035</t>
  </si>
  <si>
    <t>12cut/Citrine/SS10/Hot/035</t>
  </si>
  <si>
    <t>12cut/Citrine/SS12/Hot/035</t>
  </si>
  <si>
    <t>12cut/Citrine/SS16/Hot/035</t>
  </si>
  <si>
    <t>12cut/Citrine/SS20/Hot/035</t>
  </si>
  <si>
    <t>12cut/Citrine/SS30/Hot/035</t>
  </si>
  <si>
    <t>12cut/Citrine/SS34/Hot/035</t>
  </si>
  <si>
    <t>12cut/Citrine/SS40/Hot/035</t>
  </si>
  <si>
    <t>12cut/Hyacinth/SS3/Hot/031</t>
  </si>
  <si>
    <t>12cut/Hyacinth/SS4/Hot/031</t>
  </si>
  <si>
    <t>12cut/Hyacinth/SS6/Hot/031</t>
  </si>
  <si>
    <t>12cut/Hyacinth/SS8/Hot/031</t>
  </si>
  <si>
    <t>12cut/Hyacinth/SS10/Hot/031</t>
  </si>
  <si>
    <t>12cut/Hyacinth/SS12/Hot/031</t>
  </si>
  <si>
    <t>12cut/Hyacinth/SS16/Hot/031</t>
  </si>
  <si>
    <t>12cut/Hyacinth/SS20/Hot/031</t>
  </si>
  <si>
    <t>12cut/Hyacinth/SS30/Hot/031</t>
  </si>
  <si>
    <t>12cut/Hyacinth/SS34/Hot/031</t>
  </si>
  <si>
    <t>12cut/Hyacinth/SS40/Hot/031</t>
  </si>
  <si>
    <t>12cut/Rose/SS3/Hot/036</t>
  </si>
  <si>
    <t>12cut/Rose/SS4/Hot/036</t>
  </si>
  <si>
    <t>12cut/Rose/SS6/Hot/036</t>
  </si>
  <si>
    <t>12cut/Rose/SS8/Hot/036</t>
  </si>
  <si>
    <t>12cut/Rose/SS10/Hot/036</t>
  </si>
  <si>
    <t>12cut/Rose/SS12/Hot/036</t>
  </si>
  <si>
    <t>12cut/Rose/SS16/Hot/036</t>
  </si>
  <si>
    <t>12cut/Rose/SS20/Hot/036</t>
  </si>
  <si>
    <t>12cut/Rose/SS30/Hot/036</t>
  </si>
  <si>
    <t>12cut/Rose/SS34/Hot/036</t>
  </si>
  <si>
    <t>12cut/Rose/SS40/Hot/036</t>
  </si>
  <si>
    <t>12cut/Fuchsia/SS4/Hot/037</t>
  </si>
  <si>
    <t>12cut/Fuchsia/SS20/Hot/037</t>
  </si>
  <si>
    <t>12cut/Lt.Rose/SS3/Hot/038</t>
  </si>
  <si>
    <t>12cut/Lt.Rose/SS4/Hot/038</t>
  </si>
  <si>
    <t>12cut/Lt.Rose/SS6/Hot/038</t>
  </si>
  <si>
    <t>12cut/Lt.Rose/SS8/Hot/038</t>
  </si>
  <si>
    <t>12cut/Lt.Rose/SS10/Hot/038</t>
  </si>
  <si>
    <t>12cut/Lt.Rose/SS12/Hot/038</t>
  </si>
  <si>
    <t>12cut/Lt.Rose/SS16/Hot/038</t>
  </si>
  <si>
    <t>12cut/Lt.Rose/SS20/Hot/038</t>
  </si>
  <si>
    <t>12cut/Lt.Rose/SS30/Hot/038</t>
  </si>
  <si>
    <t>12cut/Lt.Rose/SS34/Hot/038</t>
  </si>
  <si>
    <t>12cut/Lt.Rose/SS40/Hot/038</t>
  </si>
  <si>
    <t>12cut/Rainbow/SS6/Hot/030</t>
  </si>
  <si>
    <t>12cut/Rainbow/SS8/Hot/030</t>
  </si>
  <si>
    <t>12cut/Rainbow/SS10/Hot/030</t>
  </si>
  <si>
    <t>12cut/Rainbow/SS12/Hot/030</t>
  </si>
  <si>
    <t>12cut/Rainbow/SS16/Hot/030</t>
  </si>
  <si>
    <t>12cut/Rainbow/SS20/Hot/030</t>
  </si>
  <si>
    <t>12cut/Rainbow/SS30/Hot/030</t>
  </si>
  <si>
    <t>12cut/Electric Pink/SS6/Hot/119</t>
  </si>
  <si>
    <t>12cut/Electric Pink/SS8/Hot/119</t>
  </si>
  <si>
    <t>12cut/Electric Pink/SS10/Hot/119</t>
  </si>
  <si>
    <t>12cut/Electric Pink/SS12/Hot/119</t>
  </si>
  <si>
    <t>12cut/Electric Pink/SS16/Hot/119</t>
  </si>
  <si>
    <t>12cut/Electric Pink/SS20/Hot/119</t>
  </si>
  <si>
    <t>12cut/Electric Pink/SS30/Hot/119</t>
  </si>
  <si>
    <t>12cut/Electric Pink/SS34/Hot/119</t>
  </si>
  <si>
    <t>12cut/Electric Pink/SS40/Hot/119</t>
  </si>
  <si>
    <t>12cut/Violet/SS8/Hot/040</t>
  </si>
  <si>
    <t>12cut/Violet/SS10/Hot/040</t>
  </si>
  <si>
    <t>12cut/Violet/SS12/Hot/040</t>
  </si>
  <si>
    <t>12cut/Violet/SS16/Hot/040</t>
  </si>
  <si>
    <t>12cut/Violet/SS20/Hot/040</t>
  </si>
  <si>
    <t>12cut/Violet/SS30/Hot/040</t>
  </si>
  <si>
    <t>12cut/Violet/SS34/Hot/040</t>
  </si>
  <si>
    <t>12cut/White Opal/SS4/Hot/042</t>
  </si>
  <si>
    <t>12cut/White Opal/SS6/Hot/042</t>
  </si>
  <si>
    <t>12cut/White Opal/SS8/Hot/042</t>
  </si>
  <si>
    <t>12cut/White Opal/SS10/Hot/042</t>
  </si>
  <si>
    <t>12cut/White Opal/SS12/Hot/042</t>
  </si>
  <si>
    <t>12cut/White Opal/SS16/Hot/042</t>
  </si>
  <si>
    <t>12cut/White Opal/SS20/Hot/042</t>
  </si>
  <si>
    <t>12cut/White Opal/SS30/Hot/042</t>
  </si>
  <si>
    <t>12cut/Blue Opal/SS10/Hot/043</t>
  </si>
  <si>
    <t>12cut/Blue Opal/SS16/Hot/043</t>
  </si>
  <si>
    <t>12cut/Blue Opal/SS20/Hot/043</t>
  </si>
  <si>
    <t>12cut/Blue Opal/SS30/Hot/043</t>
  </si>
  <si>
    <t>12cut/Green Opal/SS6/Hot/044</t>
  </si>
  <si>
    <t>12cut/Green Opal/SS8/Hot/044</t>
  </si>
  <si>
    <t>12cut/Green Opal/SS10/Hot/044</t>
  </si>
  <si>
    <t>12cut/Green Opal/SS12/Hot/044</t>
  </si>
  <si>
    <t>12cut/Green Opal/SS16/Hot/044</t>
  </si>
  <si>
    <t>12cut/Green Opal/SS20/Hot/044</t>
  </si>
  <si>
    <t>12cut/Pink Opal/SS6/Hot/045</t>
  </si>
  <si>
    <t>12cut/Pink Opal/SS10/Hot/045</t>
  </si>
  <si>
    <t>12cut/Pink Opal/SS16/Hot/045</t>
  </si>
  <si>
    <t>12cut/Pink Opal/SS20/Hot/045</t>
  </si>
  <si>
    <t>12cut/Pink Opal/SS30/Hot/045</t>
  </si>
  <si>
    <t>12cut/Golden Shadow/SS3/Hot/052</t>
  </si>
  <si>
    <t>12cut/Golden Shadow/SS4/Hot/052</t>
  </si>
  <si>
    <t>12cut/Golden Shadow/SS6/Hot/052</t>
  </si>
  <si>
    <t>12cut/Golden Shadow/SS8/Hot/052</t>
  </si>
  <si>
    <t>12cut/Golden Shadow/SS10/Hot/052</t>
  </si>
  <si>
    <t>12cut/Golden Shadow/SS12/Hot/052</t>
  </si>
  <si>
    <t>12cut/Golden Shadow/SS16/Hot/052</t>
  </si>
  <si>
    <t>12cut/Golden Shadow/SS20/Hot/052</t>
  </si>
  <si>
    <t>12cut/Golden Shadow/SS30/Hot/052</t>
  </si>
  <si>
    <t>12cut/Golden Shadow/SS34/Hot/052</t>
  </si>
  <si>
    <t>12cut/Golden Shadow/SS40/Hot/052</t>
  </si>
  <si>
    <t>12cut/Silver Shadow/SS6/Hot/053</t>
  </si>
  <si>
    <t>12cut/Silver Shadow/SS8/Hot/053</t>
  </si>
  <si>
    <t>12cut/Silver Shadow/SS10/Hot/053</t>
  </si>
  <si>
    <t>12cut/Silver Shadow/SS12/Hot/053</t>
  </si>
  <si>
    <t>12cut/Silver Shadow/SS16/Hot/053</t>
  </si>
  <si>
    <t>12cut/Silver Shadow/SS20/Hot/053</t>
  </si>
  <si>
    <t>12cut/Silver Shadow/SS30/Hot/053</t>
  </si>
  <si>
    <t>12cut/Silver Shadow/SS34/Hot/053</t>
  </si>
  <si>
    <t>12cut/Silver Shadow/SS40/Hot/053</t>
  </si>
  <si>
    <t>12cut/Crystal Rose Gold/SS6/Hot/057</t>
  </si>
  <si>
    <t>12cut/Crystal Rose Gold/SS10/Hot/057</t>
  </si>
  <si>
    <t>12cut/Crystal Rose Gold/SS12/Hot/057</t>
  </si>
  <si>
    <t>12cut/Crystal Rose Gold/SS16/Hot/057</t>
  </si>
  <si>
    <t>12cut/Crystal Rose Gold/SS20/Hot/057</t>
  </si>
  <si>
    <t>12cut/Crystal Rose Gold/SS30/Hot/057</t>
  </si>
  <si>
    <t>12cut/Metallic Violet/SS6/Hot/060</t>
  </si>
  <si>
    <t>12cut/Metallic Violet/SS8/Hot/060</t>
  </si>
  <si>
    <t>12cut/Metallic Violet/SS10/Hot/060</t>
  </si>
  <si>
    <t>12cut/Metallic Violet/SS12/Hot/060</t>
  </si>
  <si>
    <t>12cut/Metallic Violet/SS16/Hot/060</t>
  </si>
  <si>
    <t>12cut/Metallic Violet/SS20/Hot/060</t>
  </si>
  <si>
    <t>12cut/Crystal Volcano/SS4/Hot/055</t>
  </si>
  <si>
    <t>12cut/Citrine Shimmer/SS20/Hot/066</t>
  </si>
  <si>
    <t>12cut/Citrine Shimmer/SS30/Hot/066</t>
  </si>
  <si>
    <t>12cut/Shifting Violet/SS6/Hot/101</t>
  </si>
  <si>
    <t>12cut/Shifting Violet/SS8/Hot/101</t>
  </si>
  <si>
    <t>12cut/Shifting Violet/SS10/Hot/101</t>
  </si>
  <si>
    <t>12cut/Shifting Violet/SS12/Hot/101</t>
  </si>
  <si>
    <t>12cut/Shifting Violet/SS16/Hot/101</t>
  </si>
  <si>
    <t>12cut/Shifting Violet/SS20/Hot/101</t>
  </si>
  <si>
    <t>12cut/Shifting Violet/SS30/Hot/101</t>
  </si>
  <si>
    <t>12cut/Blue Moonlight/SS6/Hot/103</t>
  </si>
  <si>
    <t>12cut/Blue Moonlight/SS8/Hot/103</t>
  </si>
  <si>
    <t>12cut/Blue Moonlight/SS10/Hot/103</t>
  </si>
  <si>
    <t>12cut/Blue Moonlight/SS12/Hot/103</t>
  </si>
  <si>
    <t>12cut/Blue Moonlight/SS16/Hot/103</t>
  </si>
  <si>
    <t>12cut/Blue Moonlight/SS30/Hot/103</t>
  </si>
  <si>
    <t>12cut/Blue Moonlight/SS34/Hot/103</t>
  </si>
  <si>
    <t>12cut/Blue Moonlight/SS40/Hot/103</t>
  </si>
  <si>
    <t>12cut/Pure Purple/SS6/Hot/104</t>
  </si>
  <si>
    <t>12cut/Pure Purple/SS8/Hot/104</t>
  </si>
  <si>
    <t>12cut/Pure Purple/SS10/Hot/104</t>
  </si>
  <si>
    <t>12cut/Pure Purple/SS12/Hot/104</t>
  </si>
  <si>
    <t>12cut/Pure Purple/SS16/Hot/104</t>
  </si>
  <si>
    <t>12cut/Pure Purple/SS20/Hot/104</t>
  </si>
  <si>
    <t>12cut/Pure Purple/SS30/Hot/104</t>
  </si>
  <si>
    <t>12cut/Pure Purple/SS34/Hot/104</t>
  </si>
  <si>
    <t>12cut/Amber/SS4/Hot/105</t>
  </si>
  <si>
    <t>12cut/Amber/SS30/Hot/105</t>
  </si>
  <si>
    <t>12cut/Crystal HFT/SS3/Hot/109</t>
  </si>
  <si>
    <t>12cut/Crystal HFT/SS4/Hot/109</t>
  </si>
  <si>
    <t>12cut/Crystal HFT/SS6/Hot/109</t>
  </si>
  <si>
    <t>12cut/Crystal HFT/SS8/Hot/109</t>
  </si>
  <si>
    <t>12cut/Crystal HFT/SS10/Hot/109</t>
  </si>
  <si>
    <t>12cut/Crystal HFT/SS12/Hot/109</t>
  </si>
  <si>
    <t>12cut/Crystal HFT/SS16/Hot/109</t>
  </si>
  <si>
    <t>12cut/Crystal HFT/SS20/Hot/109</t>
  </si>
  <si>
    <t>12cut/Crystal HFT/SS30/Hot/109</t>
  </si>
  <si>
    <t>12cut/Crystal Blue Flare/SS4/Hot/056</t>
  </si>
  <si>
    <t>12cut/Crystal Blue Flare/SS6/Hot/056</t>
  </si>
  <si>
    <t>12cut/Crystal Blue Flare/SS8/Hot/056</t>
  </si>
  <si>
    <t>12cut/Crystal Blue Flare/SS12/Hot/056</t>
  </si>
  <si>
    <t>12cut/Crystal Blue Flare/SS10/Hot/056</t>
  </si>
  <si>
    <t>12cut/Crystal Blue Flare/SS16/Hot/056</t>
  </si>
  <si>
    <t>12cut/Crystal Blue Flare/SS20/Hot/056</t>
  </si>
  <si>
    <t>12cut/Crystal Blue Flare/SS30/Hot/056</t>
  </si>
  <si>
    <t>12cut/Crystal Blue Flare/SS40/Hot/056</t>
  </si>
  <si>
    <t>12cut/Chalk White/SS8/Hot/111</t>
  </si>
  <si>
    <t>12cut/Chalk White/SS10/Hot/111</t>
  </si>
  <si>
    <t>12cut/Neon Blue/SS6/Hot/070</t>
  </si>
  <si>
    <t>12cut/Neon Blue/SS8/Hot/070</t>
  </si>
  <si>
    <t>12cut/Neon Blue/SS10/Hot/070</t>
  </si>
  <si>
    <t>12cut/Neon Blue/SS12/Hot/070</t>
  </si>
  <si>
    <t>12cut/Neon Blue/SS16/Hot/070</t>
  </si>
  <si>
    <t>12cut/Neon Yellow/SS6/Hot/069</t>
  </si>
  <si>
    <t>12cut/Neon Yellow/SS8/Hot/069</t>
  </si>
  <si>
    <t>12cut/Neon Yellow/SS10/Hot/069</t>
  </si>
  <si>
    <t>12cut/Neon Yellow/SS12/Hot/069</t>
  </si>
  <si>
    <t>12cut/Neon Yellow/SS16/Hot/069</t>
  </si>
  <si>
    <t>12cut/Neon Yellow/SS20/Hot/069</t>
  </si>
  <si>
    <t>12cut/Neon Yellow/SS30/Hot/069</t>
  </si>
  <si>
    <t>12cut/Neon Green/SS6/Hot/071</t>
  </si>
  <si>
    <t>12cut/Neon Green/SS8/Hot/071</t>
  </si>
  <si>
    <t>12cut/Neon Green/SS10/Hot/071</t>
  </si>
  <si>
    <t>12cut/Neon Green/SS12/Hot/071</t>
  </si>
  <si>
    <t>12cut/Neon Green/SS16/Hot/071</t>
  </si>
  <si>
    <t>12cut/Neon Green/SS20/Hot/071</t>
  </si>
  <si>
    <t>12cut/Neon Green/SS30/Hot/071</t>
  </si>
  <si>
    <t>12cut/Neon Purple/SS12/Hot/073</t>
  </si>
  <si>
    <t>12cut/Neon Purple/SS16/Hot/073</t>
  </si>
  <si>
    <t>12cut/Neon Purple/SS20/Hot/073</t>
  </si>
  <si>
    <t>12cut/Neon Purple/SS30/Hot/073</t>
  </si>
  <si>
    <t>артикул</t>
  </si>
  <si>
    <t>12cut/Topaz AB/SS6/Hot/008+</t>
  </si>
  <si>
    <t>12cut/Topaz AB/SS8/Hot/008+</t>
  </si>
  <si>
    <t>12cut/Topaz AB/SS10/Hot/008+</t>
  </si>
  <si>
    <t>12cut/Topaz AB/SS12/Hot/008+</t>
  </si>
  <si>
    <t>12cut/Topaz AB/SS16/Hot/008+</t>
  </si>
  <si>
    <t>12cut/Topaz AB/SS20/Hot/008+</t>
  </si>
  <si>
    <t>12cut/Sapphire AB/SS6/Hot/013+</t>
  </si>
  <si>
    <t>12cut/Sapphire AB/SS8/Hot/013+</t>
  </si>
  <si>
    <t>12cut/Sapphire AB/SS10/Hot/013+</t>
  </si>
  <si>
    <t>12cut/Sapphire AB/SS12/Hot/013+</t>
  </si>
  <si>
    <t>12cut/Sapphire AB/SS16/Hot/013+</t>
  </si>
  <si>
    <t>12cut/Sapphire AB/SS20/Hot/013+</t>
  </si>
  <si>
    <t>12cut/Indicolite AB/SS6/Hot/014+</t>
  </si>
  <si>
    <t>12cut/Indicolite AB/SS8/Hot/014+</t>
  </si>
  <si>
    <t>12cut/Indicolite AB/SS10/Hot/014+</t>
  </si>
  <si>
    <t>12cut/Indicolite AB/SS12/Hot/014+</t>
  </si>
  <si>
    <t>12cut/Indicolite AB/SS16/Hot/014+</t>
  </si>
  <si>
    <t>12cut/Indicolite AB/SS20/Hot/014+</t>
  </si>
  <si>
    <t>12cut/Lt. Peridot AB/SS6/Hot/024+</t>
  </si>
  <si>
    <t>12cut/Lt. Peridot AB/SS8/Hot/024+</t>
  </si>
  <si>
    <t>12cut/Lt. Peridot AB/SS10/Hot/024+</t>
  </si>
  <si>
    <t>12cut/Lt. Peridot AB/SS12/Hot/024+</t>
  </si>
  <si>
    <t>12cut/Lt. Peridot AB/SS16/Hot/024+</t>
  </si>
  <si>
    <t>12cut/Lt. Peridot AB/SS20/Hot/024+</t>
  </si>
  <si>
    <t>12cut/Lt. Peridot AB/SS30/Hot/024+</t>
  </si>
  <si>
    <t>12cut/Tanzanite AB/SS16/Hot/028+</t>
  </si>
  <si>
    <t>12cut/Tanzanite AB/SS20/Hot/028+</t>
  </si>
  <si>
    <t>12cut/Tanzanite AB/SS30/Hot/028+</t>
  </si>
  <si>
    <t>12cut/Fuchsia Shimmer/SS6/Hot/062</t>
  </si>
  <si>
    <t>12cut/Fuchsia Shimmer/SS10/Hot/062</t>
  </si>
  <si>
    <t>12cut/Fuchsia Shimmer/SS12/Hot/062</t>
  </si>
  <si>
    <t>12cut/Fuchsia Shimmer/SS20/Hot/062</t>
  </si>
  <si>
    <t>12cut/PRFB/SS20/Hot/255</t>
  </si>
  <si>
    <t>12cut/Crystal TRA HFT/SS3/Hot/110</t>
  </si>
  <si>
    <t>12cut/Crystal TRA HFT/SS4/Hot/110</t>
  </si>
  <si>
    <t>12cut/Neon White AB/SS6/Hot/067+</t>
  </si>
  <si>
    <t>12cut/Neon White AB/SS8/Hot/067+</t>
  </si>
  <si>
    <t>12cut/Neon White AB/SS10/Hot/067+</t>
  </si>
  <si>
    <t>12cut/Neon White AB/SS12/Hot/067+</t>
  </si>
  <si>
    <t>12cut/Neon White AB/SS16/Hot/067+</t>
  </si>
  <si>
    <t>12cut/Neon White AB/SS20/Hot/067+</t>
  </si>
  <si>
    <t>12cut/Neon White AB/SS30/Hot/067+</t>
  </si>
  <si>
    <t>12cut/Neon Pink AB/SS6/Hot/068+</t>
  </si>
  <si>
    <t>12cut/Neon Pink AB/SS8/Hot/068+</t>
  </si>
  <si>
    <t>12cut/Neon Pink AB/SS10/Hot/068+</t>
  </si>
  <si>
    <t>12cut/Neon Pink AB/SS12/Hot/068+</t>
  </si>
  <si>
    <t>12cut/Neon Pink AB/SS16/Hot/068+</t>
  </si>
  <si>
    <t>12cut/Neon Pink AB/SS20/Hot/068+</t>
  </si>
  <si>
    <t>12cut/Neon Pink AB/SS30/Hot/068+</t>
  </si>
  <si>
    <t>12cut/Neon Purple AB/SS6/Hot/073+</t>
  </si>
  <si>
    <t>12cut/Neon Purple AB/SS8/Hot/073+</t>
  </si>
  <si>
    <t>12cut/Neon Purple AB/SS10/Hot/073+</t>
  </si>
  <si>
    <t>12cut/Neon Purple AB/SS12/Hot/073+</t>
  </si>
  <si>
    <t>12cut/Neon Purple AB/SS16/Hot/073+</t>
  </si>
  <si>
    <t>12cut/Neon Purple AB/SS20/Hot/073+</t>
  </si>
  <si>
    <t>NEON BLUE AB</t>
  </si>
  <si>
    <t>12cut/Neon Blue AB/SS6/Hot/070+</t>
  </si>
  <si>
    <t>12cut/Neon Blue AB/SS8/Hot/070+</t>
  </si>
  <si>
    <t>12cut/Neon Blue AB/SS10/Hot/070+</t>
  </si>
  <si>
    <t>12cut/Neon Blue AB/SS12/Hot/070+</t>
  </si>
  <si>
    <t>12cut/Neon Blue AB/SS16/Hot/070+</t>
  </si>
  <si>
    <t>12cut/Neon Blue AB/SS20/Hot/070+</t>
  </si>
  <si>
    <t>12cut/Neon Blue AB/SS30/Hot/070+</t>
  </si>
  <si>
    <t>12cut/Neon Green AB/SS6/Hot/071+</t>
  </si>
  <si>
    <t>12cut/Neon Green AB/SS8/Hot/071+</t>
  </si>
  <si>
    <t>12cut/Neon Green AB/SS10/Hot/071+</t>
  </si>
  <si>
    <t>12cut/Neon Green AB/SS12/Hot/071+</t>
  </si>
  <si>
    <t>12cut/Neon Green AB/SS16/Hot/071+</t>
  </si>
  <si>
    <t>12cut/Neon Green AB/SS20/Hot/071+</t>
  </si>
  <si>
    <t>12cut/Neon Green AB/SS30/Hot/071+</t>
  </si>
  <si>
    <t>12cut/Crystal/SS3/Non/001</t>
  </si>
  <si>
    <t>12cut/NEW AB/mix/Non/112</t>
  </si>
  <si>
    <t>12cut/Lt. Siam/mix/Non/033</t>
  </si>
  <si>
    <t>12cut/Siam/mix/Non/033+</t>
  </si>
  <si>
    <t>12cut/Dark Siam/mix/Non/034</t>
  </si>
  <si>
    <t>12cut/Montana/mix/Non/018</t>
  </si>
  <si>
    <t>12cut/Tanzanite/mix/Non/028</t>
  </si>
  <si>
    <t>12cut/Black Diamond/mix/Non/021</t>
  </si>
  <si>
    <t>12cut/Citrine/mix/Non/035</t>
  </si>
  <si>
    <t>12cut/Hyacinth/mix/Non/031</t>
  </si>
  <si>
    <t>12cut/Green Zircon/mix/Non/015</t>
  </si>
  <si>
    <t>12cut/Sapphire/mix/Non/013</t>
  </si>
  <si>
    <t>12cut/Aquamarine/mix/Non/016</t>
  </si>
  <si>
    <t>12cut/Mocha Yellow/mix/Non/117</t>
  </si>
  <si>
    <t>12cut/Amethyst/mix/Non/023</t>
  </si>
  <si>
    <t>12cut/Blue Moonlight/mix/Non/103</t>
  </si>
  <si>
    <t>12cut/Smoked Topaz/mix/Non/009</t>
  </si>
  <si>
    <t>12cut/Emerald/mix/Non/026</t>
  </si>
  <si>
    <t>12cut/Crystal/mix/Non/001</t>
  </si>
  <si>
    <t>12cut/Rose/mix/Non/036</t>
  </si>
  <si>
    <t>12cut/Citrine Shimmer/mix/Non/066</t>
  </si>
  <si>
    <t>12cut/Jet Black/SS3/Non/002</t>
  </si>
  <si>
    <t>12cut/Jet Black/mix/Non/002</t>
  </si>
  <si>
    <t>12cut/Green Zircon/SS3/Non/015</t>
  </si>
  <si>
    <t>12cut/Sapphire/SS3/Non/013</t>
  </si>
  <si>
    <t>Lt. SAPPHIRE</t>
  </si>
  <si>
    <t>12cut/Lt.Sapphire/SS3/Non/011</t>
  </si>
  <si>
    <t>12cut/Lt.Sapphire/mix/Non/011</t>
  </si>
  <si>
    <t>12cut/Montana/SS3/Non/018</t>
  </si>
  <si>
    <t>12cut/Aquamarine/SS3/Non/016</t>
  </si>
  <si>
    <t>12cut/Tanzanite/SS3/Non/028</t>
  </si>
  <si>
    <t>12cut/Mocha Rose/mix/Non/114</t>
  </si>
  <si>
    <t>12cut/Lt.Rose/SS3/Non/038</t>
  </si>
  <si>
    <t>12cut/Lt.Rose/mix/Non/038</t>
  </si>
  <si>
    <t>12cut/Lt. Peach/SS3/Non/029</t>
  </si>
  <si>
    <t>12cut/Lt. Peach/mix/Non/029</t>
  </si>
  <si>
    <t>12cut/Golden Shadow/SS3/Non/052</t>
  </si>
  <si>
    <t>12cut/Golden Shadow/mix/Non/052</t>
  </si>
  <si>
    <t>12cut/Amethyst/SS3/Non/023</t>
  </si>
  <si>
    <t>12cut/Lt.Colorado Topaz/SS3/Non/010</t>
  </si>
  <si>
    <t>12cut/Lt.Colorado Topaz/mix/Non/010</t>
  </si>
  <si>
    <t>Lt. Colorado Topaz</t>
  </si>
  <si>
    <t>12cut/Blue Moonlight/SS3/Non/103</t>
  </si>
  <si>
    <t>12cut/Topaz/SS3/Non/008</t>
  </si>
  <si>
    <t>12cut/Topaz/SS3/mix/008</t>
  </si>
  <si>
    <t>12cut/Smoked Topaz/SS3/Non/009</t>
  </si>
  <si>
    <t>Lt. Sapphire</t>
  </si>
  <si>
    <t>Lt. Colorado Topaz AB</t>
  </si>
  <si>
    <t>Lt. Sapphire AB</t>
  </si>
  <si>
    <t xml:space="preserve">Lt. Rose AB </t>
  </si>
  <si>
    <t>Hyacinth</t>
  </si>
  <si>
    <t>12cut/Emerald/SS3/Non/026</t>
  </si>
  <si>
    <t>12cut/Crystal HFT/mix/Non/109</t>
  </si>
  <si>
    <t>12cut/Rose/SS3/Non/036</t>
  </si>
  <si>
    <t>12cut/Citrine/SS3/Non/035</t>
  </si>
  <si>
    <t xml:space="preserve">Crystal AB </t>
  </si>
  <si>
    <t>12cut/Сrystal AB/SS3/Non/001+</t>
  </si>
  <si>
    <t>12cut/Сrystal AB/mix/Non/001+</t>
  </si>
  <si>
    <t>12cut/Crystal/SS4/Non/001</t>
  </si>
  <si>
    <t>12cut/Crystal/SS6/Non/001</t>
  </si>
  <si>
    <t>12cut/Crystal/SS8/Non/001</t>
  </si>
  <si>
    <t>12cut/Crystal/SS10/Non/001</t>
  </si>
  <si>
    <t>12cut/Crystal/SS12/Non/001</t>
  </si>
  <si>
    <t>12cut/Crystal/SS16/Non/001</t>
  </si>
  <si>
    <t>12cut/Crystal/SS20/Non/001</t>
  </si>
  <si>
    <t>12cut/Crystal/SS30/Non/001</t>
  </si>
  <si>
    <t>12cut/Crystal/SS34/Non/001</t>
  </si>
  <si>
    <t>12cut/Crystal/SS40/Non/001</t>
  </si>
  <si>
    <t>12cut/Сrystal AB/SS4/Non/001+</t>
  </si>
  <si>
    <t>12cut/Сrystal AB/SS6/Non/001+</t>
  </si>
  <si>
    <t>12cut/Сrystal AB/SS8/Non/001+</t>
  </si>
  <si>
    <t>12cut/Сrystal AB/SS10/Non/001+</t>
  </si>
  <si>
    <t>12cut/Сrystal AB/SS12/Non/001+</t>
  </si>
  <si>
    <t>12cut/Сrystal AB/SS16/Non/001+</t>
  </si>
  <si>
    <t>12cut/Сrystal AB/SS20/Non/001+</t>
  </si>
  <si>
    <t>12cut/Сrystal AB/SS34/Non/001+</t>
  </si>
  <si>
    <t>12cut/New AB/SS3/Non/112</t>
  </si>
  <si>
    <t>12cut/Crystal Labrador/SS3/Non/004</t>
  </si>
  <si>
    <t>12cut/Jet Hematite/SS3/Non/005</t>
  </si>
  <si>
    <t>12cut/Crystal Aurum/SS3/Non/006</t>
  </si>
  <si>
    <t>12cut/Jonquil/SS3/Non/007</t>
  </si>
  <si>
    <t>12cut/Indicolite/SS3/Non/014</t>
  </si>
  <si>
    <t>12cut/Capri Blue/SS3/Non/017</t>
  </si>
  <si>
    <t>12cut/Cobalt/SS16/Non/118</t>
  </si>
  <si>
    <t>12cut/Cobalt/SS20/Non/118</t>
  </si>
  <si>
    <t>12cut/Cobalt/SS30/Non/118</t>
  </si>
  <si>
    <t>12cut/Cobalt/SS34/Non/118</t>
  </si>
  <si>
    <t>12cut/Lt.Black Diamond/SS3/Non/019</t>
  </si>
  <si>
    <t>12cut/Lt. Peridot/SS3/Non/024</t>
  </si>
  <si>
    <t xml:space="preserve">Lt. Peach </t>
  </si>
  <si>
    <t>12cut/Hyacinth/SS3/Non/031</t>
  </si>
  <si>
    <t>12cut/Lt.Siam/SS3/Non/033</t>
  </si>
  <si>
    <t>Garnet</t>
  </si>
  <si>
    <t>12cut/Garnet/SS3/Non/034</t>
  </si>
  <si>
    <t>200</t>
  </si>
  <si>
    <t>12cut/Salmon/SS12/Non/200</t>
  </si>
  <si>
    <t>12cut/Electric Pink/SS8/Non/119</t>
  </si>
  <si>
    <t>12cut/Silver Shadow/SS20/Non/053</t>
  </si>
  <si>
    <t xml:space="preserve">Blue Flare </t>
  </si>
  <si>
    <t>12cut/Crystal Blue Flare/SS3/Non/056</t>
  </si>
  <si>
    <t>12cut/Citrine Shimmer/SS12/Non/066</t>
  </si>
  <si>
    <t>12cut/Citrine Shimmer/SS16/Non/066</t>
  </si>
  <si>
    <t>12cut/Citrine Shimmer/SS20/Non/066</t>
  </si>
  <si>
    <t>12cut/Citrine Shimmer/SS30/Non/066</t>
  </si>
  <si>
    <t>12cut/White Opal/SS3/Non/042</t>
  </si>
  <si>
    <t>12cut/Blue Opal/SS3/Non/043</t>
  </si>
  <si>
    <t>12cut/Pink Opal/SS3/Non/045</t>
  </si>
  <si>
    <t xml:space="preserve">AURORA RED </t>
  </si>
  <si>
    <t>12cut/Amber/SS3/Non/105</t>
  </si>
  <si>
    <t>MOCHA ROSE</t>
  </si>
  <si>
    <t>12cut/New AB/SS4/Non/112</t>
  </si>
  <si>
    <t>12cut/New AB/SS6/Non/112</t>
  </si>
  <si>
    <t>12cut/New AB/SS8/Non/112</t>
  </si>
  <si>
    <t>12cut/New AB/SS10/Non/112</t>
  </si>
  <si>
    <t>12cut/New AB/SS12/Non/112</t>
  </si>
  <si>
    <t>12cut/New AB/SS16/Non/112</t>
  </si>
  <si>
    <t>12cut/New AB/SS20/Non/112</t>
  </si>
  <si>
    <t>12cut/New AB/SS30/Non/112</t>
  </si>
  <si>
    <t>12cut/New AB/SS34/Non/112</t>
  </si>
  <si>
    <t>12cut/New AB/SS40/Non/112</t>
  </si>
  <si>
    <t>12cut/Jet Black/SS4/Non/002</t>
  </si>
  <si>
    <t>12cut/Jet Black/SS6/Non/002</t>
  </si>
  <si>
    <t>12cut/Jet Black/SS8/Non/002</t>
  </si>
  <si>
    <t>12cut/Jet Black/SS10/Non/002</t>
  </si>
  <si>
    <t>12cut/Jet Black/SS12/Non/002</t>
  </si>
  <si>
    <t>12cut/Jet Black/SS16/Non/002</t>
  </si>
  <si>
    <t>12cut/Jet Black/SS20/Non/002</t>
  </si>
  <si>
    <t>12cut/Jet Black/SS30/Non/002</t>
  </si>
  <si>
    <t>12cut/Jet Black/SS34/Non/002</t>
  </si>
  <si>
    <t>12cut/Jet Black/SS40/Non/002</t>
  </si>
  <si>
    <t>12cut/Crystal Labrador/SS4/Non/004</t>
  </si>
  <si>
    <t>12cut/Crystal Labrador/SS6/Non/004</t>
  </si>
  <si>
    <t>12cut/Crystal Labrador/SS8/Non/004</t>
  </si>
  <si>
    <t>12cut/Crystal Labrador/SS10/Non/004</t>
  </si>
  <si>
    <t>12cut/Crystal Labrador/SS12/Non/004</t>
  </si>
  <si>
    <t>12cut/Crystal Labrador/SS16/Non/004</t>
  </si>
  <si>
    <t>12cut/Crystal Labrador/SS20/Non/004</t>
  </si>
  <si>
    <t>12cut/Crystal Labrador/SS30/Non/004</t>
  </si>
  <si>
    <t>12cut/Jet Hematite/SS4/Non/005</t>
  </si>
  <si>
    <t>12cut/Jet Hematite/SS6/Non/005</t>
  </si>
  <si>
    <t>12cut/Jet Hematite/SS8/Non/005</t>
  </si>
  <si>
    <t>12cut/Jet Hematite/SS10/Non/005</t>
  </si>
  <si>
    <t>12cut/Jet Hematite/SS12/Non/005</t>
  </si>
  <si>
    <t>12cut/Jet Hematite/SS16/Non/005</t>
  </si>
  <si>
    <t>12cut/Jet Hematite/SS20/Non/005</t>
  </si>
  <si>
    <t>12cut/Jet Hematite/SS30/Non/005</t>
  </si>
  <si>
    <t>12cut/Jet Hematite/SS34/Non/005</t>
  </si>
  <si>
    <t>12cut/Jet Hematite/SS40/Non/005</t>
  </si>
  <si>
    <t>12cut/Crystal Aurum/SS4/Non/006</t>
  </si>
  <si>
    <t>12cut/Crystal Aurum/SS8/Non/006</t>
  </si>
  <si>
    <t>12cut/Crystal Aurum/SS10/Non/006</t>
  </si>
  <si>
    <t>12cut/Crystal Aurum/SS12/Non/006</t>
  </si>
  <si>
    <t>12cut/Crystal Aurum/SS16/Non/006</t>
  </si>
  <si>
    <t>12cut/Crystal Aurum/SS20/Non/006</t>
  </si>
  <si>
    <t>12cut/Crystal Aurum/SS30/Non/006</t>
  </si>
  <si>
    <t>12cut/Jonquil/SS4/Non/007</t>
  </si>
  <si>
    <t>12cut/Jonquil/SS6/Non/007</t>
  </si>
  <si>
    <t>12cut/Jonquil/SS8/Non/007</t>
  </si>
  <si>
    <t>12cut/Jonquil/SS10/Non/007</t>
  </si>
  <si>
    <t>12cut/Jonquil/SS12/Non/007</t>
  </si>
  <si>
    <t>12cut/Jonquil/SS16/Non/007</t>
  </si>
  <si>
    <t>12cut/Jonquil/SS20/Non/007</t>
  </si>
  <si>
    <t>12cut/Jonquil/SS30/Non/007</t>
  </si>
  <si>
    <t>12cut/Jonquil/SS34/Non/007</t>
  </si>
  <si>
    <t>12cut/Topaz/SS4/Non/008</t>
  </si>
  <si>
    <t>12cut/Topaz/SS6/Non/008</t>
  </si>
  <si>
    <t>12cut/Topaz/SS8/Non/008</t>
  </si>
  <si>
    <t>12cut/Topaz/SS10/Non/008</t>
  </si>
  <si>
    <t>12cut/Topaz/SS12/Non/008</t>
  </si>
  <si>
    <t>12cut/Topaz/SS16/Non/008</t>
  </si>
  <si>
    <t>12cut/Topaz/SS20/Non/008</t>
  </si>
  <si>
    <t>12cut/Topaz/SS30/Non/008</t>
  </si>
  <si>
    <t>12cut/Topaz/SS34/Non/008</t>
  </si>
  <si>
    <t>12cut/Smoked Topaz/SS4/Non/009</t>
  </si>
  <si>
    <t>12cut/Smoked Topaz/SS6/Non/009</t>
  </si>
  <si>
    <t>12cut/Smoked Topaz/SS8/Non/009</t>
  </si>
  <si>
    <t>12cut/Smoked Topaz/SS10/Non/009</t>
  </si>
  <si>
    <t>12cut/Smoked Topaz/SS12/Non/009</t>
  </si>
  <si>
    <t>12cut/Smoked Topaz/SS16/Non/009</t>
  </si>
  <si>
    <t>12cut/Smoked Topaz/SS20/Non/009</t>
  </si>
  <si>
    <t>12cut/Smoked Topaz/SS30/Non/009</t>
  </si>
  <si>
    <t>12cut/Smoked Topaz/SS34/Non/009</t>
  </si>
  <si>
    <t>12cut/Lt.Colorado Topaz/SS4/Non/010</t>
  </si>
  <si>
    <t>12cut/Lt.Colorado Topaz/SS6/Non/010</t>
  </si>
  <si>
    <t>12cut/Lt.Colorado Topaz/SS8/Non/010</t>
  </si>
  <si>
    <t>12cut/Lt.Colorado Topaz/SS10/Non/010</t>
  </si>
  <si>
    <t>12cut/Lt.Colorado Topaz/SS12/Non/010</t>
  </si>
  <si>
    <t>12cut/Lt.Colorado Topaz/SS16/Non/010</t>
  </si>
  <si>
    <t>12cut/Lt.Colorado Topaz/SS20/Non/010</t>
  </si>
  <si>
    <t>12cut/Lt.Colorado Topaz/SS30/Non/010</t>
  </si>
  <si>
    <t>12cut/Lt.Colorado Topaz/SS34/Non/010</t>
  </si>
  <si>
    <t>12cut/Coffee/SS16/Non/012</t>
  </si>
  <si>
    <t>12cut/Coffee/SS20/Non/012</t>
  </si>
  <si>
    <t>12cut/Coffee/SS30/Non/012</t>
  </si>
  <si>
    <t>12cut/Lt.Sapphire/SS4/Non/011</t>
  </si>
  <si>
    <t>12cut/Lt.Sapphire/SS6/Non/011</t>
  </si>
  <si>
    <t>12cut/Lt.Sapphire/SS10/Non/011</t>
  </si>
  <si>
    <t>12cut/Lt.Sapphire/SS12/Non/011</t>
  </si>
  <si>
    <t>12cut/Lt.Sapphire/SS16/Non/011</t>
  </si>
  <si>
    <t>12cut/Lt.Sapphire/SS20/Non/011</t>
  </si>
  <si>
    <t>12cut/Lt.Sapphire/SS30/Non/011</t>
  </si>
  <si>
    <t>12cut/Lt.Sapphire/SS34/Non/011</t>
  </si>
  <si>
    <t>12cut/Sapphire/SS4/Non/013</t>
  </si>
  <si>
    <t>12cut/Sapphire/SS6/Non/013</t>
  </si>
  <si>
    <t>12cut/Sapphire/SS8/Non/013</t>
  </si>
  <si>
    <t>12cut/Sapphire/SS10/Non/013</t>
  </si>
  <si>
    <t>12cut/Sapphire/SS12/Non/013</t>
  </si>
  <si>
    <t>12cut/Sapphire/SS16/Non/013</t>
  </si>
  <si>
    <t>12cut/Sapphire/SS20/Non/013</t>
  </si>
  <si>
    <t>12cut/Sapphire/SS30/Non/013</t>
  </si>
  <si>
    <t>12cut/Sapphire/SS34/Non/013</t>
  </si>
  <si>
    <t>12cut/Indicolite/SS4/Non/014</t>
  </si>
  <si>
    <t>12cut/Indicolite/SS6/Non/014</t>
  </si>
  <si>
    <t>12cut/Indicolite/SS8/Non/014</t>
  </si>
  <si>
    <t>12cut/Indicolite/SS10/Non/014</t>
  </si>
  <si>
    <t>12cut/Indicolite/SS12/Non/014</t>
  </si>
  <si>
    <t>12cut/Indicolite/SS16/Non/014</t>
  </si>
  <si>
    <t>12cut/Indicolite/SS20/Non/014</t>
  </si>
  <si>
    <t>12cut/Indicolite/SS30/Non/014</t>
  </si>
  <si>
    <t>12cut/Indicolite/SS34/Non/014</t>
  </si>
  <si>
    <t>12cut/Indicolite/SS40/Non/014</t>
  </si>
  <si>
    <t>12cut/Aquamarine/SS4/Non/016</t>
  </si>
  <si>
    <t>12cut/Aquamarine/SS6/Non/016</t>
  </si>
  <si>
    <t>12cut/Aquamarine/SS8/Non/016</t>
  </si>
  <si>
    <t>12cut/Aquamarine/SS12/Non/016</t>
  </si>
  <si>
    <t>12cut/Aquamarine/SS16/Non/016</t>
  </si>
  <si>
    <t>12cut/Aquamarine/SS20/Non/016</t>
  </si>
  <si>
    <t>12cut/Aquamarine/SS30/Non/016</t>
  </si>
  <si>
    <t>12cut/Aquamarine/SS34/Non/016</t>
  </si>
  <si>
    <t>12cut/Capri Blue/SS4/Non/017</t>
  </si>
  <si>
    <t>12cut/Capri Blue/SS8/Non/017</t>
  </si>
  <si>
    <t>12cut/Capri Blue/SS10/Non/017</t>
  </si>
  <si>
    <t>12cut/Capri Blue/SS12/Non/017</t>
  </si>
  <si>
    <t>12cut/Capri Blue/SS16/Non/017</t>
  </si>
  <si>
    <t>12cut/Capri Blue/SS20/Non/017</t>
  </si>
  <si>
    <t>12cut/Capri Blue/SS30/Non/017</t>
  </si>
  <si>
    <t>12cut/Green Zircon/SS8/Non/015</t>
  </si>
  <si>
    <t>12cut/Green Zircon/SS10/Non/015</t>
  </si>
  <si>
    <t>12cut/Green Zircon/SS16/Non/015</t>
  </si>
  <si>
    <t>12cut/Green Zircon/SS20/Non/015</t>
  </si>
  <si>
    <t>12cut/Green Zircon/SS30/Non/015</t>
  </si>
  <si>
    <t>12cut/Green Zircon/SS34/Non/015</t>
  </si>
  <si>
    <t>12cut/Montana/SS4/Non/018</t>
  </si>
  <si>
    <t>12cut/Montana/SS6/Non/018</t>
  </si>
  <si>
    <t>12cut/Montana/SS8/Non/018</t>
  </si>
  <si>
    <t>12cut/Montana/SS10/Non/018</t>
  </si>
  <si>
    <t>12cut/Montana/SS12/Non/018</t>
  </si>
  <si>
    <t>12cut/Montana/SS16/Non/018</t>
  </si>
  <si>
    <t>12cut/Montana/SS20/Non/018</t>
  </si>
  <si>
    <t>12cut/Montana/SS30/Non/018</t>
  </si>
  <si>
    <t>12cut/Montana/SS34/Non/018</t>
  </si>
  <si>
    <t>12cut/Lt.Black Diamond/SS4/Non/019</t>
  </si>
  <si>
    <t>12cut/Lt.Black Diamond/SS6/Non/019</t>
  </si>
  <si>
    <t>12cut/Lt.Black Diamond/SS8/Non/019</t>
  </si>
  <si>
    <t>12cut/Lt.Black Diamond/SS10/Non/019</t>
  </si>
  <si>
    <t>12cut/Lt.Black Diamond/SS12/Non/019</t>
  </si>
  <si>
    <t>12cut/Black Diamond/SS6/Non/021</t>
  </si>
  <si>
    <t>12cut/Black Diamond/SS4/Non/021</t>
  </si>
  <si>
    <t>12cut/Black Diamond/SS8/Non/021</t>
  </si>
  <si>
    <t>12cut/Black Diamond/SS10/Non/021</t>
  </si>
  <si>
    <t>12cut/Black Diamond/SS12/Non/021</t>
  </si>
  <si>
    <t>12cut/Black Diamond/SS16/Non/021</t>
  </si>
  <si>
    <t>12cut/Black Diamond/SS20/Non/021</t>
  </si>
  <si>
    <t>12cut/Black Diamond/SS30/Non/021</t>
  </si>
  <si>
    <t>12cut/Black Diamond/SS34/Non/021</t>
  </si>
  <si>
    <t>12cut/Lt. Amethyst/SS4/Non/022</t>
  </si>
  <si>
    <t>12cut/Lt. Amethyst/SS6/Non/022</t>
  </si>
  <si>
    <t>12cut/Lt. Amethyst/SS8/Non/022</t>
  </si>
  <si>
    <t>12cut/Lt. Amethyst/SS10/Non/022</t>
  </si>
  <si>
    <t>12cut/Lt. Amethyst/SS12/Non/022</t>
  </si>
  <si>
    <t>12cut/Lt. Amethyst/SS16/Non/022</t>
  </si>
  <si>
    <t>12cut/Lt. Amethyst/SS20/Non/022</t>
  </si>
  <si>
    <t>12cut/Lt. Amethyst/SS30/Non/022</t>
  </si>
  <si>
    <t>12cut/Lt. Amethyst/SS34/Non/022</t>
  </si>
  <si>
    <t>12cut/Amethyst/SS4/Non/023</t>
  </si>
  <si>
    <t>12cut/Amethyst/SS6/Non/023</t>
  </si>
  <si>
    <t>12cut/Amethyst/SS8/Non/023</t>
  </si>
  <si>
    <t>12cut/Amethyst/SS10/Non/023</t>
  </si>
  <si>
    <t>12cut/Amethyst/SS16/Non/023</t>
  </si>
  <si>
    <t>12cut/Amethyst/SS20/Non/023</t>
  </si>
  <si>
    <t>12cut/Amethyst/SS30/Non/023</t>
  </si>
  <si>
    <t>12cut/Amethyst/SS34/Non/023</t>
  </si>
  <si>
    <t>12cut/Lt. Peridot/SS4/Non/024</t>
  </si>
  <si>
    <t>12cut/Lt. Peridot/SS6/Non/024</t>
  </si>
  <si>
    <t>12cut/Lt. Peridot/SS8/Non/024</t>
  </si>
  <si>
    <t>12cut/Lt. Peridot/SS10/Non/024</t>
  </si>
  <si>
    <t>12cut/Lt. Peridot/SS12/Non/024</t>
  </si>
  <si>
    <t>12cut/Lt. Peridot/SS16/Non/024</t>
  </si>
  <si>
    <t>12cut/Lt. Peridot/SS20/Non/024</t>
  </si>
  <si>
    <t>12cut/Lt. Peridot/SS30/Non/024</t>
  </si>
  <si>
    <t>12cut/Lt. Peridot/SS34/Non/024</t>
  </si>
  <si>
    <t>12cut/Lt. Peridot/SS40/Non/024</t>
  </si>
  <si>
    <t>12cut/Emerald/SS4/Non/026</t>
  </si>
  <si>
    <t>12cut/Emerald/SS6/Non/026</t>
  </si>
  <si>
    <t>12cut/Emerald/SS8/Non/026</t>
  </si>
  <si>
    <t>12cut/Emerald/SS10/Non/026</t>
  </si>
  <si>
    <t>12cut/Emerald/SS12/Non/026</t>
  </si>
  <si>
    <t>12cut/Emerald/SS16/Non/026</t>
  </si>
  <si>
    <t>12cut/Emerald/SS20/Non/026</t>
  </si>
  <si>
    <t>12cut/Emerald/SS30/Non/026</t>
  </si>
  <si>
    <t>12cut/Emerald/SS34/Non/026</t>
  </si>
  <si>
    <t>12cut/Olivine/SS4/Non/027</t>
  </si>
  <si>
    <t>12cut/Olivine/SS6/Non/027</t>
  </si>
  <si>
    <t>12cut/Olivine/SS8/Non/027</t>
  </si>
  <si>
    <t>12cut/Olivine/SS10/Non/027</t>
  </si>
  <si>
    <t>12cut/Olivine/SS12/Non/027</t>
  </si>
  <si>
    <t>12cut/Olivine/SS16/Non/027</t>
  </si>
  <si>
    <t>12cut/Olivine/SS30/Non/027</t>
  </si>
  <si>
    <t>12cut/Tanzanite/SS8/Non/028</t>
  </si>
  <si>
    <t>12cut/Tanzanite/SS10/Non/028</t>
  </si>
  <si>
    <t>12cut/Tanzanite/SS12/Non/028</t>
  </si>
  <si>
    <t>12cut/Tanzanite/SS16/Non/028</t>
  </si>
  <si>
    <t>12cut/Tanzanite/SS20/Non/028</t>
  </si>
  <si>
    <t>12cut/Tanzanite/SS30/Non/028</t>
  </si>
  <si>
    <t>12cut/Tanzanite/SS34/Non/028</t>
  </si>
  <si>
    <t>12cut/Tanzanite/SS40/Non/028</t>
  </si>
  <si>
    <t>12cut/Lt. Peach/SS4/Non/029</t>
  </si>
  <si>
    <t>12cut/Lt. Peach/SS6/Non/029</t>
  </si>
  <si>
    <t>12cut/Lt. Peach/SS8/Non/029</t>
  </si>
  <si>
    <t>12cut/Lt. Peach/SS10/Non/029</t>
  </si>
  <si>
    <t>12cut/Lt. Peach/SS12/Non/029</t>
  </si>
  <si>
    <t>12cut/Lt. Peach/SS16/Non/029</t>
  </si>
  <si>
    <t>12cut/Lt. Peach/SS20/Non/029</t>
  </si>
  <si>
    <t>12cut/Lt. Peach/SS30/Non/029</t>
  </si>
  <si>
    <t>12cut/Lt. Peach/SS34/Non/029</t>
  </si>
  <si>
    <t>12cut/Rainbow/SS4/Non/030</t>
  </si>
  <si>
    <t>12cut/Rainbow/SS6/Non/030</t>
  </si>
  <si>
    <t>12cut/Rainbow/SS8/Non/030</t>
  </si>
  <si>
    <t>12cut/Rainbow/SS10/Non/030</t>
  </si>
  <si>
    <t>12cut/Rainbow/SS12/Non/030</t>
  </si>
  <si>
    <t>12cut/Rainbow/SS16/Non/030</t>
  </si>
  <si>
    <t>12cut/Rainbow/SS20/Non/030</t>
  </si>
  <si>
    <t>12cut/Hyacinth/SS4/Non/031</t>
  </si>
  <si>
    <t>12cut/Hyacinth/SS6/Non/031</t>
  </si>
  <si>
    <t>12cut/Hyacinth/SS8/Non/031</t>
  </si>
  <si>
    <t>12cut/Hyacinth/SS10/Non/031</t>
  </si>
  <si>
    <t>12cut/Hyacinth/SS12/Non/031</t>
  </si>
  <si>
    <t>12cut/Hyacinth/SS16/Non/031</t>
  </si>
  <si>
    <t>12cut/Hyacinth/SS20/Non/031</t>
  </si>
  <si>
    <t>12cut/Hyacinth/SS30/Non/031</t>
  </si>
  <si>
    <t>12cut/Hyacinth/SS34/Non/031</t>
  </si>
  <si>
    <t>12cut/Lt.Siam/SS4/Non/033</t>
  </si>
  <si>
    <t>12cut/Lt.Siam/SS6/Non/033</t>
  </si>
  <si>
    <t>12cut/Lt.Siam/SS8/Non/033</t>
  </si>
  <si>
    <t>12cut/Lt.Siam/SS10/Non/033</t>
  </si>
  <si>
    <t>12cut/Lt.Siam/SS12/Non/033</t>
  </si>
  <si>
    <t>12cut/Lt.Siam/SS16/Non/033</t>
  </si>
  <si>
    <t>12cut/Lt.Siam/SS20/Non/033</t>
  </si>
  <si>
    <t>12cut/Lt.Siam/SS30/Non/033</t>
  </si>
  <si>
    <t>12cut/Lt.Siam/SS40/Non/033</t>
  </si>
  <si>
    <t>12cut/Siam/SS6/Non/033+</t>
  </si>
  <si>
    <t>12cut/Siam/SS8/Non/033+</t>
  </si>
  <si>
    <t>12cut/Siam/SS10/Non/033+</t>
  </si>
  <si>
    <t>12cut/Siam/SS12/Non/033+</t>
  </si>
  <si>
    <t>12cut/Siam/SS16/Non/033+</t>
  </si>
  <si>
    <t>12cut/Siam/SS20/Non/033+</t>
  </si>
  <si>
    <t>12cut/Siam/SS34/Non/033+</t>
  </si>
  <si>
    <t>12cut/Garnet/SS4/Non/034</t>
  </si>
  <si>
    <t>12cut/Garnet/SS6/Non/034</t>
  </si>
  <si>
    <t>12cut/Garnet/SS8/Non/034</t>
  </si>
  <si>
    <t>12cut/Garnet/SS10/Non/034</t>
  </si>
  <si>
    <t>12cut/Garnet/SS12/Non/034</t>
  </si>
  <si>
    <t>12cut/Garnet/SS16/Non/034</t>
  </si>
  <si>
    <t>12cut/Garnet/SS20/Non/034</t>
  </si>
  <si>
    <t>12cut/Garnet/SS30/Non/034</t>
  </si>
  <si>
    <t>12cut/Garnet/SS34/Non/034</t>
  </si>
  <si>
    <t>12cut/Citrine/SS4/Non/035</t>
  </si>
  <si>
    <t>12cut/Citrine/SS6/Non/035</t>
  </si>
  <si>
    <t>12cut/Citrine/SS8/Non/035</t>
  </si>
  <si>
    <t>12cut/Citrine/SS10/Non/035</t>
  </si>
  <si>
    <t>12cut/Citrine/SS12/Non/035</t>
  </si>
  <si>
    <t>12cut/Citrine/SS16/Non/035</t>
  </si>
  <si>
    <t>12cut/Citrine/SS20/Non/035</t>
  </si>
  <si>
    <t>12cut/Citrine/SS30/Non/035</t>
  </si>
  <si>
    <t>12cut/Citrine/SS34/Non/035</t>
  </si>
  <si>
    <t>12cut/Rose/SS4/Non/036</t>
  </si>
  <si>
    <t>12cut/Rose/SS6/Non/036</t>
  </si>
  <si>
    <t>12cut/Rose/SS8/Non/036</t>
  </si>
  <si>
    <t>12cut/Rose/SS10/Non/036</t>
  </si>
  <si>
    <t>12cut/Rose/SS12/Non/036</t>
  </si>
  <si>
    <t>12cut/Rose/SS16/Non/036</t>
  </si>
  <si>
    <t>12cut/Rose/SS20/Non/036</t>
  </si>
  <si>
    <t>12cut/Rose/SS30/Non/036</t>
  </si>
  <si>
    <t>12cut/Rose/SS34/Non/036</t>
  </si>
  <si>
    <t>12cut/Fuchsia/SS4/Non/037</t>
  </si>
  <si>
    <t>12cut/Fuchsia/SS6/Non/037</t>
  </si>
  <si>
    <t>12cut/Fuchsia/SS8/Non/037</t>
  </si>
  <si>
    <t>12cut/Fuchsia/SS10/Non/037</t>
  </si>
  <si>
    <t>12cut/Fuchsia/SS12/Non/037</t>
  </si>
  <si>
    <t>12cut/Fuchsia/SS16/Non/037</t>
  </si>
  <si>
    <t>12cut/Fuchsia/SS20/Non/037</t>
  </si>
  <si>
    <t>12cut/Fuchsia/SS30/Non/037</t>
  </si>
  <si>
    <t>12cut/Lt.Rose/SS4/Non/038</t>
  </si>
  <si>
    <t>12cut/Lt.Rose/SS6/Non/038</t>
  </si>
  <si>
    <t>12cut/Lt.Rose/SS8/Non/038</t>
  </si>
  <si>
    <t>12cut/Lt.Rose/SS10/Non/038</t>
  </si>
  <si>
    <t>12cut/Lt.Rose/SS12/Non/038</t>
  </si>
  <si>
    <t>12cut/Lt.Rose/SS16/Non/038</t>
  </si>
  <si>
    <t>12cut/Lt.Rose/SS20/Non/038</t>
  </si>
  <si>
    <t>12cut/Lt.Rose/SS30/Non/038</t>
  </si>
  <si>
    <t>12cut/Lt.Rose/SS34/Non/038</t>
  </si>
  <si>
    <t>12cut/Salmon/SS16/Non/200</t>
  </si>
  <si>
    <t>12cut/Salmon/SS20/Non/200</t>
  </si>
  <si>
    <t>12cut/Salmon/SS30/Non/200</t>
  </si>
  <si>
    <t>12cut/Salmon/SS34/Non/200</t>
  </si>
  <si>
    <t>12cut/Salmon/SS40/Non/200</t>
  </si>
  <si>
    <t>12cut/Electric Pink/SS10/Non/119</t>
  </si>
  <si>
    <t>12cut/Electric Pink/SS12/Non/119</t>
  </si>
  <si>
    <t>12cut/Electric Pink/SS16/Non/119</t>
  </si>
  <si>
    <t>12cut/Electric Pink/SS20/Non/119</t>
  </si>
  <si>
    <t>12cut/Electric Pink/SS30/Non/119</t>
  </si>
  <si>
    <t>12cut/Electric Pink/SS34/Non/119</t>
  </si>
  <si>
    <t>12cut/Electric Pink/SS40/Non/119</t>
  </si>
  <si>
    <t>12cut/Violet/SS4/Non/040</t>
  </si>
  <si>
    <t>12cut/Violet/SS6/Non/040</t>
  </si>
  <si>
    <t>12cut/Violet/SS8/Non/040</t>
  </si>
  <si>
    <t>12cut/Violet/SS10/Non/040</t>
  </si>
  <si>
    <t>12cut/Violet/SS12/Non/040</t>
  </si>
  <si>
    <t>12cut/Violet/SS16/Non/040</t>
  </si>
  <si>
    <t>12cut/Violet/SS20/Non/040</t>
  </si>
  <si>
    <t>12cut/Violet/SS30/Non/040</t>
  </si>
  <si>
    <t>12cut/Chrysolite/SS6/Non/041</t>
  </si>
  <si>
    <t>12cut/Chrysolite/SS8/Non/041</t>
  </si>
  <si>
    <t>12cut/Chrysolite/SS10/Non/041</t>
  </si>
  <si>
    <t>12cut/Chrysolite/SS16/Non/041</t>
  </si>
  <si>
    <t>12cut/Chrysolite/SS20/Non/041</t>
  </si>
  <si>
    <t>12cut/Crystal HFT/SS4/Non/109</t>
  </si>
  <si>
    <t>12cut/Crystal HFT/SS5/Non/109</t>
  </si>
  <si>
    <t>12cut/Crystal HFT/SS6/Non/109</t>
  </si>
  <si>
    <t>12cut/Crystal HFT/SS8/Non/109</t>
  </si>
  <si>
    <t>12cut/Crystal HFT/SS10/Non/109</t>
  </si>
  <si>
    <t>12cut/Crystal HFT/SS12/Non/109</t>
  </si>
  <si>
    <t>12cut/Crystal HFT/SS16/Non/109</t>
  </si>
  <si>
    <t>12cut/Crystal HFT/SS20/Non/109</t>
  </si>
  <si>
    <t>12cut/Golden Shadow/SS4/Non/052</t>
  </si>
  <si>
    <t>12cut/Golden Shadow/SS6/Non/052</t>
  </si>
  <si>
    <t>12cut/Golden Shadow/SS8/Non/052</t>
  </si>
  <si>
    <t>12cut/Golden Shadow/SS10/Non/052</t>
  </si>
  <si>
    <t>12cut/Golden Shadow/SS12/Non/052</t>
  </si>
  <si>
    <t>12cut/Golden Shadow/SS16/Non/052</t>
  </si>
  <si>
    <t>12cut/Golden Shadow/SS20/Non/052</t>
  </si>
  <si>
    <t>12cut/Golden Shadow/SS30/Non/052</t>
  </si>
  <si>
    <t>12cut/Crystal Blue Flare/SS4/Non/056</t>
  </si>
  <si>
    <t>12cut/Crystal Blue Flare/SS6/Non/056</t>
  </si>
  <si>
    <t>12cut/Crystal Blue Flare/SS8/Non/056</t>
  </si>
  <si>
    <t>12cut/Crystal Blue Flare/SS10/Non/056</t>
  </si>
  <si>
    <t>12cut/Crystal Blue Flare/SS16/Non/056</t>
  </si>
  <si>
    <t>12cut/Crystal Blue Flare/SS20/Non/056</t>
  </si>
  <si>
    <t>12cut/Crystal Blue Flare/SS40/Non/056</t>
  </si>
  <si>
    <t>12cut/Metallic Violet/SS6/Non/060</t>
  </si>
  <si>
    <t>12cut/Metallic Violet/SS8/Non/060</t>
  </si>
  <si>
    <t>12cut/Metallic Violet/SS10/Non/060</t>
  </si>
  <si>
    <t>12cut/Metallic Violet/SS12/Non/060</t>
  </si>
  <si>
    <t>12cut/Metallic Violet/SS16/Non/060</t>
  </si>
  <si>
    <t>12cut/Metallic Violet/SS20/Non/060</t>
  </si>
  <si>
    <t>12cut/White Opal/SS4/Non/042</t>
  </si>
  <si>
    <t>12cut/White Opal/SS6/Non/042</t>
  </si>
  <si>
    <t>12cut/White Opal/SS8/Non/042</t>
  </si>
  <si>
    <t>12cut/White Opal/SS10/Non/042</t>
  </si>
  <si>
    <t>12cut/White Opal/SS16/Non/042</t>
  </si>
  <si>
    <t>12cut/White Opal/SS12/Non/042</t>
  </si>
  <si>
    <t>12cut/White Opal/SS20/Non/042</t>
  </si>
  <si>
    <t>12cut/White Opal/SS30/Non/042</t>
  </si>
  <si>
    <t>12cut/Blue Opal/SS4/Non/043</t>
  </si>
  <si>
    <t>12cut/Blue Opal/SS6/Non/043</t>
  </si>
  <si>
    <t>12cut/Blue Opal/SS10/Non/043</t>
  </si>
  <si>
    <t>12cut/Blue Opal/SS16/Non/043</t>
  </si>
  <si>
    <t>12cut/Blue Opal/SS20/Non/043</t>
  </si>
  <si>
    <t>12cut/Blue Opal/SS30/Non/043</t>
  </si>
  <si>
    <t>12cut/Green Opal/SS4/Non/044</t>
  </si>
  <si>
    <t>12cut/Green Opal/SS6/Non/044</t>
  </si>
  <si>
    <t>12cut/Green Opal/SS8/Non/044</t>
  </si>
  <si>
    <t>12cut/Green Opal/SS10/Non/044</t>
  </si>
  <si>
    <t>12cut/Green Opal/SS12/Non/044</t>
  </si>
  <si>
    <t>12cut/Green Opal/SS16/Non/044</t>
  </si>
  <si>
    <t>12cut/Green Opal/SS20/Non/044</t>
  </si>
  <si>
    <t>12cut/Pink Opal/SS4/Non/045</t>
  </si>
  <si>
    <t>12cut/Pink Opal/SS6/Non/045</t>
  </si>
  <si>
    <t>12cut/Pink Opal/SS8/Non/045</t>
  </si>
  <si>
    <t>12cut/Pink Opal/SS10/Non/045</t>
  </si>
  <si>
    <t>12cut/Pink Opal/SS12/Non/045</t>
  </si>
  <si>
    <t>12cut/Pink Opal/SS16/Non/045</t>
  </si>
  <si>
    <t>12cut/Pink Opal/SS20/Non/045</t>
  </si>
  <si>
    <t>12cut/Blue Moonlight/SS4/Non/103</t>
  </si>
  <si>
    <t>12cut/Blue Moonlight/SS6/Non/103</t>
  </si>
  <si>
    <t>12cut/Blue Moonlight/SS8/Non/103</t>
  </si>
  <si>
    <t>12cut/Blue Moonlight/SS10/Non/103</t>
  </si>
  <si>
    <t>12cut/Blue Moonlight/SS12/Non/103</t>
  </si>
  <si>
    <t>12cut/Blue Moonlight/SS16/Non/103</t>
  </si>
  <si>
    <t>12cut/Blue Moonlight/SS20/Non/103</t>
  </si>
  <si>
    <t>12cut/Blue Moonlight/SS30/Non/103</t>
  </si>
  <si>
    <t>12cut/Shifting Violet/SS6/Non/101</t>
  </si>
  <si>
    <t>12cut/Shifting Violet/SS16/Non/101</t>
  </si>
  <si>
    <t>12cut/Shifting Violet/SS20/Non/101</t>
  </si>
  <si>
    <t>12cut/Aurora Red/SS8/Non/102</t>
  </si>
  <si>
    <t>12cut/Aurora Red/SS10/Non/102</t>
  </si>
  <si>
    <t>12cut/Aurora Red/SS12/Non/102</t>
  </si>
  <si>
    <t>12cut/Aurora Red/SS16/Non/102</t>
  </si>
  <si>
    <t>12cut/Aurora Red/SS20/Non/102</t>
  </si>
  <si>
    <t>12cut/Pure Purple/SS6/Non/104</t>
  </si>
  <si>
    <t>12cut/Pure Purple/SS10/Non/104</t>
  </si>
  <si>
    <t>12cut/Pure Purple/SS12/Non/104</t>
  </si>
  <si>
    <t>12cut/Pure Purple/SS16/Non/104</t>
  </si>
  <si>
    <t>12cut/Pure Purple/SS20/Non/104</t>
  </si>
  <si>
    <t>12cut/Pure Purple/SS30/Non/104</t>
  </si>
  <si>
    <t>12cut/Pure Purple/SS40/Non/104</t>
  </si>
  <si>
    <t>12cut/Amber/SS6/Non/105</t>
  </si>
  <si>
    <t>12cut/Amber/SS10/Non/105</t>
  </si>
  <si>
    <t>12cut/Amber/SS12/Non/105</t>
  </si>
  <si>
    <t>12cut/Amber/SS16/Non/105</t>
  </si>
  <si>
    <t>12cut/Amber/SS20/Non/105</t>
  </si>
  <si>
    <t>12cut/Aurora Green/SS6/Non/108</t>
  </si>
  <si>
    <t>12cut/Aurora Green/SS10/Non/108</t>
  </si>
  <si>
    <t>12cut/Aurora Green/SS12/Non/108</t>
  </si>
  <si>
    <t>12cut/Aurora Green/SS16/Non/108</t>
  </si>
  <si>
    <t>12cut/Aurora Green/SS20/Non/108</t>
  </si>
  <si>
    <t>12cut/Mocha White/SS4/Non/115</t>
  </si>
  <si>
    <t>12cut/Mocha White/SS8/Non/115</t>
  </si>
  <si>
    <t>12cut/Mocha White/SS10/Non/115</t>
  </si>
  <si>
    <t>12cut/Mocha White/SS12/Non/115</t>
  </si>
  <si>
    <t>12cut/Mocha White/SS16/Non/115</t>
  </si>
  <si>
    <t>12cut/Mocha White/SS20/Non/115</t>
  </si>
  <si>
    <t>12cut/Mocha White/SS30/Non/115</t>
  </si>
  <si>
    <t>12cut/Mocha Hyacinth/SS4/Non/116</t>
  </si>
  <si>
    <t>12cut/Mocha Hyacinth/SS6/Non/116</t>
  </si>
  <si>
    <t>12cut/Mocha Hyacinth/SS8/Non/116</t>
  </si>
  <si>
    <t>12cut/Mocha Hyacinth/SS10/Non/116</t>
  </si>
  <si>
    <t>12cut/Mocha Hyacinth/SS12/Non/116</t>
  </si>
  <si>
    <t>12cut/Mocha Hyacinth/SS16/Non/116</t>
  </si>
  <si>
    <t>12cut/Mocha Hyacinth/SS20/Non/116</t>
  </si>
  <si>
    <t>12cut/Mocha Hyacinth/SS30/Non/116</t>
  </si>
  <si>
    <t>12cut/Mocha Yellow/SS4/Non/117</t>
  </si>
  <si>
    <t>12cut/Mocha Yellow/SS6/Non/117</t>
  </si>
  <si>
    <t>12cut/Mocha Yellow/SS8/Non/117</t>
  </si>
  <si>
    <t>12cut/Mocha Yellow/SS10/Non/117</t>
  </si>
  <si>
    <t>12cut/Mocha Yellow/SS12/Non/117</t>
  </si>
  <si>
    <t>12cut/Mocha Yellow/SS16/Non/117</t>
  </si>
  <si>
    <t>12cut/Mocha Yellow/SS20/Non/117</t>
  </si>
  <si>
    <t>12cut/Mocha Yellow/SS30/Non/117</t>
  </si>
  <si>
    <t>12cut/Mocha Orange/SS6/Non/77</t>
  </si>
  <si>
    <t>12cut/Mocha Orange/SS8/Non/77</t>
  </si>
  <si>
    <t>12cut/Mocha Orange/SS10/Non/77</t>
  </si>
  <si>
    <t>12cut/Mocha Orange/SS12/Non/77</t>
  </si>
  <si>
    <t>12cut/Mocha Orange/SS16/Non/77</t>
  </si>
  <si>
    <t>12cut/Mocha Orange/SS30/Non/77</t>
  </si>
  <si>
    <t>Dark Montana</t>
  </si>
  <si>
    <t>Lt. Siam AB</t>
  </si>
  <si>
    <t>Lt. Rose AB</t>
  </si>
  <si>
    <t>Lt. Peach AB</t>
  </si>
  <si>
    <t>12cut/Mocha Rose/SS4/Non/114</t>
  </si>
  <si>
    <t>12cut/Mocha Rose/SS6/Non/114</t>
  </si>
  <si>
    <t>12cut/Mocha Rose/SS8/Non/114</t>
  </si>
  <si>
    <t>12cut/Mocha Rose/SS10/Non/114</t>
  </si>
  <si>
    <t>12cut/Mocha Rose/SS12/Non/114</t>
  </si>
  <si>
    <t>12cut/Mocha Rose/SS16/Non/114</t>
  </si>
  <si>
    <t>12cut/Mocha Rose/SS20/Non/114</t>
  </si>
  <si>
    <t>12cut/Mocha Rose/SS30/Non/114</t>
  </si>
  <si>
    <t>12cut/Mocha Green/SS6/Non/78</t>
  </si>
  <si>
    <t>12cut/Mocha Green/SS8/Non/78</t>
  </si>
  <si>
    <t>12cut/Mocha Green/SS10/Non/78</t>
  </si>
  <si>
    <t>12cut/Mocha Green/SS12/Non/78</t>
  </si>
  <si>
    <t>12cut/Mocha Green/SS16/Non/78</t>
  </si>
  <si>
    <t>12cut/Mocha Green/SS20/Non/78</t>
  </si>
  <si>
    <t>12cut/Mocha Green/SS30/Non/78</t>
  </si>
  <si>
    <t>12cut/Mocha Blue/SS4/Non/79</t>
  </si>
  <si>
    <t>12cut/Mocha Blue/SS6/Non/79</t>
  </si>
  <si>
    <t>12cut/Mocha Blue/SS8/Non/79</t>
  </si>
  <si>
    <t>12cut/Mocha Blue/SS10/Non/79</t>
  </si>
  <si>
    <t>12cut/Mocha Blue/SS12/Non/79</t>
  </si>
  <si>
    <t>12cut/Mocha Blue/SS16/Non/79</t>
  </si>
  <si>
    <t>12cut/Mocha Blue/SS20/Non/79</t>
  </si>
  <si>
    <t>12cut/Mocha Blue/SS30/Non/79</t>
  </si>
  <si>
    <t>12cut/Mocha Amethyst/SS4/Non/113</t>
  </si>
  <si>
    <t>12cut/Mocha Amethyst/SS8/Non/113</t>
  </si>
  <si>
    <t>12cut/Mocha Amethyst/SS10/Non/113</t>
  </si>
  <si>
    <t>12cut/Mocha Amethyst/SS12/Non/113</t>
  </si>
  <si>
    <t>12cut/Mocha Amethyst/SS16/Non/113</t>
  </si>
  <si>
    <t>12cut/Mocha Amethyst/SS20/Non/113</t>
  </si>
  <si>
    <t>12cut/Mocha Amethyst/SS30/Non/113</t>
  </si>
  <si>
    <t>12cut/Mocha Pink/SS4/Non/76</t>
  </si>
  <si>
    <t>12cut/Mocha Pink/SS6/Non/76</t>
  </si>
  <si>
    <t>12cut/Mocha Pink/SS8/Non/76</t>
  </si>
  <si>
    <t>12cut/Mocha Pink/SS10/Non/76</t>
  </si>
  <si>
    <t>12cut/Mocha Pink/SS12/Non/76</t>
  </si>
  <si>
    <t>12cut/Mocha Pink/SS16/Non/76</t>
  </si>
  <si>
    <t>12cut/Mocha Pink/SS20/Non/76</t>
  </si>
  <si>
    <t>12cut/Mocha Pink/SS30/Non/76</t>
  </si>
  <si>
    <t>12cut/Neon Green/SS4/Non/071</t>
  </si>
  <si>
    <t>12cut/Neon Green/SS6/Non/071</t>
  </si>
  <si>
    <t>12cut/Neon Green/SS8/Non/071</t>
  </si>
  <si>
    <t>12cut/Neon Green/SS10/Non/071</t>
  </si>
  <si>
    <t>12cut/Neon Green/SS12/Non/071</t>
  </si>
  <si>
    <t>12cut/Neon Green/SS16/Non/071</t>
  </si>
  <si>
    <t>12cut/Neon Green/SS20/Non/071</t>
  </si>
  <si>
    <t>12cut/Neon Green/SS30/Non/071</t>
  </si>
  <si>
    <t>12cut/Lt. Peridot AB/SS3/Non/024+</t>
  </si>
  <si>
    <t xml:space="preserve">Lt. Peach AB </t>
  </si>
  <si>
    <t>12cut/Lt. Peach AB/SS3/Non/029+</t>
  </si>
  <si>
    <t xml:space="preserve">Lt.Rose AB </t>
  </si>
  <si>
    <t>12cut/Lt. Siam Shimmer/SS3/Non/061</t>
  </si>
  <si>
    <t>032+</t>
  </si>
  <si>
    <t>12cut/Neon Purple AB/SS6/Non/073+</t>
  </si>
  <si>
    <t>12cut/Jet Black AB/SS6/Non/002+</t>
  </si>
  <si>
    <t>12cut/Jet Black AB/SS8/Non/002+</t>
  </si>
  <si>
    <t>12cut/Jet Black AB/SS10/Non/002+</t>
  </si>
  <si>
    <t>12cut/Jet Black AB/SS12/Non/002+</t>
  </si>
  <si>
    <t>12cut/Jet Black AB/SS16/Non/002+</t>
  </si>
  <si>
    <t>12cut/Jet Black AB/SS20/Non/002+</t>
  </si>
  <si>
    <t>12cut/Jet Black AB/SS30/Non/002+</t>
  </si>
  <si>
    <t>12cut/Smoked Topaz AB/SS16/Non/009+</t>
  </si>
  <si>
    <t>12cut/Smoked Topaz AB/SS20/Non/009+</t>
  </si>
  <si>
    <t>12cut/Smoked Topaz AB/SS30/Non/009+</t>
  </si>
  <si>
    <t>12cut/Lt.Colorado Topaz AB/SS6/Non/010+</t>
  </si>
  <si>
    <t>12cut/Lt.Colorado Topaz AB/SS8/Non/010+</t>
  </si>
  <si>
    <t>12cut/Lt.Colorado Topaz AB/SS10/Non/010+</t>
  </si>
  <si>
    <t>12cut/Lt.Colorado Topaz AB/SS12/Non/010+</t>
  </si>
  <si>
    <t>12cut/Lt.Colorado Topaz AB/SS16/Non/010+</t>
  </si>
  <si>
    <t>12cut/Lt.Colorado Topaz AB/SS20/Non/010+</t>
  </si>
  <si>
    <t>12cut/Lt.Colorado Topaz AB/SS30/Non/010+</t>
  </si>
  <si>
    <t>12cut/Sapphire AB/SS6/Non/013+</t>
  </si>
  <si>
    <t>12cut/Sapphire AB/SS8/Non/013+</t>
  </si>
  <si>
    <t>12cut/Sapphire AB/SS10/Non/013+</t>
  </si>
  <si>
    <t>12cut/Sapphire AB/SS12/Non/013+</t>
  </si>
  <si>
    <t>12cut/Sapphire AB/SS16/Non/013+</t>
  </si>
  <si>
    <t>12cut/Sapphire AB/SS20/Non/013+</t>
  </si>
  <si>
    <t>12cut/Sapphire AB/SS30/Non/013+</t>
  </si>
  <si>
    <t>12cut/Sapphire AB/SS34/Non/013+</t>
  </si>
  <si>
    <t>12cut/Aquamarine AB/SS6/Non/016+</t>
  </si>
  <si>
    <t>12cut/Aquamarine AB/SS8/Non/016+</t>
  </si>
  <si>
    <t>12cut/Aquamarine AB/SS10/Non/016+</t>
  </si>
  <si>
    <t>12cut/Aquamarine AB/SS12/Non/016+</t>
  </si>
  <si>
    <t>12cut/Aquamarine AB/SS16/Non/016+</t>
  </si>
  <si>
    <t>12cut/Aquamarine AB/SS20/Non/016+</t>
  </si>
  <si>
    <t>12cut/Aquamarine AB/SS30/Non/016+</t>
  </si>
  <si>
    <t>12cut/Aquamarine AB/SS34/Non/016+</t>
  </si>
  <si>
    <t>12cut/Capri Blue AB/SS6/Non/017+</t>
  </si>
  <si>
    <t>12cut/Capri Blue AB/SS8/Non/017+</t>
  </si>
  <si>
    <t>12cut/Capri Blue AB/SS10/Non/017+</t>
  </si>
  <si>
    <t>12cut/Capri Blue AB/SS12/Non/017+</t>
  </si>
  <si>
    <t>12cut/Capri Blue AB/SS16/Non/017+</t>
  </si>
  <si>
    <t>12cut/Capri Blue AB/SS20/Non/017+</t>
  </si>
  <si>
    <t>12cut/Capri Blue AB/SS30/Non/017+</t>
  </si>
  <si>
    <t>12cut/Montana AB/SS6/Non/018+</t>
  </si>
  <si>
    <t>12cut/Montana AB/SS8/Non/018+</t>
  </si>
  <si>
    <t>12cut/Montana AB/SS10/Non/018+</t>
  </si>
  <si>
    <t>12cut/Montana AB/SS12/Non/018+</t>
  </si>
  <si>
    <t>12cut/Montana AB/SS16/Non/018+</t>
  </si>
  <si>
    <t>12cut/Montana AB/SS20/Non/018+</t>
  </si>
  <si>
    <t>12cut/Montana AB/SS30/Non/018+</t>
  </si>
  <si>
    <t>12cut/Montana AB/SS34/Non/018+</t>
  </si>
  <si>
    <t>12cut/Lt. Peridot AB/SS4/Non/024+</t>
  </si>
  <si>
    <t>12cut/Lt. Peridot AB/SS6/Non/024+</t>
  </si>
  <si>
    <t>12cut/Lt. Peridot AB/SS8/Non/024+</t>
  </si>
  <si>
    <t>12cut/Lt. Peridot AB/SS10/Non/024+</t>
  </si>
  <si>
    <t>12cut/Lt. Peridot AB/SS12/Non/024+</t>
  </si>
  <si>
    <t>12cut/Lt. Peridot AB/SS16/Non/024+</t>
  </si>
  <si>
    <t>12cut/Lt. Peridot AB/SS20/Non/024+</t>
  </si>
  <si>
    <t>12cut/Lt. Peridot AB/SS30/Non/024+</t>
  </si>
  <si>
    <t>12cut/Emerald AB/SS6/Non/026+</t>
  </si>
  <si>
    <t>12cut/Emerald AB/SS8/Non/026+</t>
  </si>
  <si>
    <t>12cut/Emerald AB/SS10/Non/026+</t>
  </si>
  <si>
    <t>12cut/Emerald AB/SS12/Non/026+</t>
  </si>
  <si>
    <t>12cut/Emerald AB/SS16/Non/026+</t>
  </si>
  <si>
    <t>12cut/Emerald AB/SS20/Non/026+</t>
  </si>
  <si>
    <t>12cut/Emerald AB/SS30/Non/026+</t>
  </si>
  <si>
    <t>12cut/Lt. Peach AB/SS4/Non/029+</t>
  </si>
  <si>
    <t>12cut/Lt. Peach AB/SS6/Non/029+</t>
  </si>
  <si>
    <t>12cut/Lt. Peach AB/SS8/Non/029+</t>
  </si>
  <si>
    <t>12cut/Lt. Peach AB/SS10/Non/029+</t>
  </si>
  <si>
    <t>12cut/Lt. Peach AB/SS12/Non/029+</t>
  </si>
  <si>
    <t>12cut/Lt. Peach AB/SS16/Non/029+</t>
  </si>
  <si>
    <t>12cut/Lt. Peach AB/SS20/Non/029+</t>
  </si>
  <si>
    <t>12cut/Lt. Peach AB/SS30/Non/029+</t>
  </si>
  <si>
    <t>12cut/Hyacinth AB/SS8/Non/031+</t>
  </si>
  <si>
    <t>12cut/Hyacinth AB/SS12/Non/031+</t>
  </si>
  <si>
    <t>12cut/Hyacinth AB/SS16/Non/031+</t>
  </si>
  <si>
    <t>12cut/Hyacinth AB/SS20/Non/031+</t>
  </si>
  <si>
    <t>12cut/Hyacinth AB/SS30/Non/031+</t>
  </si>
  <si>
    <t>12cut/Citrine AB/SS6/Non/035+</t>
  </si>
  <si>
    <t>12cut/Citrine AB/SS8/Non/035+</t>
  </si>
  <si>
    <t>12cut/Citrine AB/SS10/Non/035+</t>
  </si>
  <si>
    <t>12cut/Citrine AB/SS12/Non/035+</t>
  </si>
  <si>
    <t>12cut/Citrine AB/SS16/Non/035+</t>
  </si>
  <si>
    <t>12cut/Citrine AB/SS20/Non/035+</t>
  </si>
  <si>
    <t>12cut/Citrine AB/SS30/Non/035+</t>
  </si>
  <si>
    <t>12cut/Lt.Rose AB/SS6/Non/038+</t>
  </si>
  <si>
    <t>12cut/Lt.Rose AB/SS8/Non/038+</t>
  </si>
  <si>
    <t>12cut/Lt.Rose AB/SS10/Non/038+</t>
  </si>
  <si>
    <t>12cut/Lt.Rose AB/SS12/Non/038+</t>
  </si>
  <si>
    <t>12cut/Lt.Rose AB/SS16/Non/038+</t>
  </si>
  <si>
    <t>12cut/Lt.Rose AB/SS20/Non/038+</t>
  </si>
  <si>
    <t>12cut/Lt.Rose AB/SS30/Non/038+</t>
  </si>
  <si>
    <t>12cut/Lt. Siam Shimmer/SS4/Non/061</t>
  </si>
  <si>
    <t>12cut/Lt. Siam Shimmer/SS6/Non/061</t>
  </si>
  <si>
    <t>12cut/Lt. Siam Shimmer/SS8/Non/061</t>
  </si>
  <si>
    <t>12cut/Lt. Siam Shimmer/SS10/Non/061</t>
  </si>
  <si>
    <t>12cut/Lt. Siam Shimmer/SS12/Non/061</t>
  </si>
  <si>
    <t>12cut/Lt. Siam Shimmer/SS16/Non/061</t>
  </si>
  <si>
    <t>12cut/Lt. Siam Shimmer/SS20/Non/061</t>
  </si>
  <si>
    <t>12cut/Lt. Siam Shimmer/SS30/Non/061</t>
  </si>
  <si>
    <t>12cut/Siam AB/SS6/Non/032+</t>
  </si>
  <si>
    <t>12cut/Siam AB/SS8/Non/032+</t>
  </si>
  <si>
    <t>12cut/Siam AB/SS12/Non/032+</t>
  </si>
  <si>
    <t>12cut/Siam AB/SS16/Non/032+</t>
  </si>
  <si>
    <t>12cut/Siam AB/SS20/Non/032+</t>
  </si>
  <si>
    <t>12cut/Garnet AB/SS6/Non/034+</t>
  </si>
  <si>
    <t>12cut/Garnet AB/SS8/Non/034+</t>
  </si>
  <si>
    <t>12cut/Garnet AB/SS10/Non/034+</t>
  </si>
  <si>
    <t>12cut/Garnet AB/SS12/Non/034+</t>
  </si>
  <si>
    <t>12cut/Garnet AB/SS16/Non/034+</t>
  </si>
  <si>
    <t>12cut/Garnet AB/SS20/Non/034+</t>
  </si>
  <si>
    <t>12cut/Garnet AB/SS30/Non/034+</t>
  </si>
  <si>
    <t>12cut/Fuchsia Shimmer/SS6/Non/062</t>
  </si>
  <si>
    <t>12cut/Fuchsia Shimmer/SS8/Non/062</t>
  </si>
  <si>
    <t>12cut/Fuchsia Shimmer/SS10/Non/062</t>
  </si>
  <si>
    <t>12cut/Fuchsia Shimmer/SS12/Non/062</t>
  </si>
  <si>
    <t>12cut/Fuchsia Shimmer/SS16/Non/062</t>
  </si>
  <si>
    <t>12cut/Fuchsia Shimmer/SS20/Non/062</t>
  </si>
  <si>
    <t>16cut/Crystal/SS6/Hot/001</t>
  </si>
  <si>
    <t>16cut/Crystal/SS8/Hot/001</t>
  </si>
  <si>
    <t>16cut/Crystal/SS10/Hot/001</t>
  </si>
  <si>
    <t>16cut/Crystal/SS12/Hot/001</t>
  </si>
  <si>
    <t>16cut/Crystal/SS16/Hot/001</t>
  </si>
  <si>
    <t>16cut/Crystal/SS20/Hot/001</t>
  </si>
  <si>
    <t>16cut/Crystal/SS30/Hot/001</t>
  </si>
  <si>
    <t>16cut/Crystal/SS34/Hot/001</t>
  </si>
  <si>
    <t>16cut/Сrystal AB/SS12/Hot/001+</t>
  </si>
  <si>
    <t>16cut/Сrystal AB/SS16/Hot/001+</t>
  </si>
  <si>
    <t>16cut/Сrystal AB/SS20/Hot/001+</t>
  </si>
  <si>
    <t>16cut/Сrystal AB/SS30/Hot/001+</t>
  </si>
  <si>
    <t>16cut/New AB/SS6/Hot/112</t>
  </si>
  <si>
    <t>16cut/New AB/SS8/Hot/112</t>
  </si>
  <si>
    <t>16cut/New AB/SS10/Hot/112</t>
  </si>
  <si>
    <t>16cut/New AB/SS12/Hot/112</t>
  </si>
  <si>
    <t>16cut/New AB/SS16/Hot/112</t>
  </si>
  <si>
    <t>16cut/New AB/SS20/Hot/112</t>
  </si>
  <si>
    <t>16cut/New AB/SS30/Hot/112</t>
  </si>
  <si>
    <t>16cut/New AB/SS34/Hot/112</t>
  </si>
  <si>
    <t>16cut/New AB/SS40/Hot/112</t>
  </si>
  <si>
    <t>16cut/Jet Black/SS16/Hot/002</t>
  </si>
  <si>
    <t>16cut/Jet Black/SS20/Hot/002</t>
  </si>
  <si>
    <t>16cut/Jet Black/SS30/Hot/002</t>
  </si>
  <si>
    <t>16cut/Lt.Colorado Topaz/SS16/Hot/010</t>
  </si>
  <si>
    <t>16cut/Lt.Colorado Topaz/SS20/Hot/010</t>
  </si>
  <si>
    <t>16cut/Lt.Colorado Topaz/SS30/Hot/010</t>
  </si>
  <si>
    <t>16cut/Lt.Sapphire/SS16/Hot/011</t>
  </si>
  <si>
    <t>16cut/Lt.Sapphire/SS20/Hot/011</t>
  </si>
  <si>
    <t>16cut/Lt.Sapphire/SS30/Hot/011</t>
  </si>
  <si>
    <t>16cut/Sapphire/SS20/Hot/013</t>
  </si>
  <si>
    <t>16cut/Aquamarine/SS16/Hot/016</t>
  </si>
  <si>
    <t>16cut/Aquamarine/SS20/Hot/016</t>
  </si>
  <si>
    <t>16cut/Aquamarine/SS30/Hot/016</t>
  </si>
  <si>
    <t>16cut/Indicolite/SS16/Hot/014</t>
  </si>
  <si>
    <t>16cut/Indicolite/SS20/Hot/014</t>
  </si>
  <si>
    <t>16cut/Indicolite/SS30/Hot/014</t>
  </si>
  <si>
    <t>16cut/Capri Blue/SS16/Hot/017</t>
  </si>
  <si>
    <t>16cut/Capri Blue/SS20/Hot/017</t>
  </si>
  <si>
    <t>16cut/Capri Blue/SS30/Hot/017</t>
  </si>
  <si>
    <t>16cut/Montana/SS16/Hot/018</t>
  </si>
  <si>
    <t>16cut/Montana/SS20/Hot/018</t>
  </si>
  <si>
    <t>16cut/Montana/SS30/Hot/018</t>
  </si>
  <si>
    <t>16cut/Lt. Peridot/SS16/Hot/024</t>
  </si>
  <si>
    <t>16cut/Lt. Peridot/SS20/Hot/024</t>
  </si>
  <si>
    <t>16cut/Lt. Peridot/SS30/Hot/024</t>
  </si>
  <si>
    <t>16cut/Olivine/SS20/Hot/027</t>
  </si>
  <si>
    <t>16cut/Hyacinth/SS16/Hot/031</t>
  </si>
  <si>
    <t>16cut/Hyacinth/SS20/Hot/031</t>
  </si>
  <si>
    <t>16cut/Hyacinth/SS30/Hot/031</t>
  </si>
  <si>
    <t>16cut/Lt.Siam/SS16/Hot/033</t>
  </si>
  <si>
    <t>16cut/Lt.Siam/SS20/Hot/033</t>
  </si>
  <si>
    <t>16cut/Lt.Siam/SS30/Hot/033</t>
  </si>
  <si>
    <t>16cut/Garnet/SS16/Hot/034</t>
  </si>
  <si>
    <t>16cut/Garnet/SS20/Hot/034</t>
  </si>
  <si>
    <t>16cut/Garnet/SS30/Hot/034</t>
  </si>
  <si>
    <t>16cut/Citrine/SS20/Hot/035</t>
  </si>
  <si>
    <t>16cut/Citrine/SS30/Hot/035</t>
  </si>
  <si>
    <t>16cut/Golden Shadow/SS20/Hot/052</t>
  </si>
  <si>
    <t>JET BLACK AB</t>
  </si>
  <si>
    <t>039+</t>
  </si>
  <si>
    <t>16cut/Jet Black AB/SS16/Hot/002+</t>
  </si>
  <si>
    <t>16cut/Jet Black AB/SS20/Hot/002+</t>
  </si>
  <si>
    <t>16cut/Jet Black AB/SS30/Hot/002+</t>
  </si>
  <si>
    <t>16cut/Topaz AB/SS16/Hot/008+</t>
  </si>
  <si>
    <t>16cut/Topaz AB/SS20/Hot/008+</t>
  </si>
  <si>
    <t>16cut/Topaz AB/SS30/Hot/008+</t>
  </si>
  <si>
    <t>16cut/Lt.Sapphire AB/SS16/Hot/011+</t>
  </si>
  <si>
    <t>16cut/Lt.Sapphire AB/SS20/Hot/011+</t>
  </si>
  <si>
    <t>16cut/Lt.Sapphire AB/SS30/Hot/011+</t>
  </si>
  <si>
    <t>16cut/Indicolite AB/SS16/Hot/014+</t>
  </si>
  <si>
    <t>16cut/Indicolite AB/SS20/Hot/014+</t>
  </si>
  <si>
    <t>16cut/Indicolite AB/SS30/Hot/014+</t>
  </si>
  <si>
    <t>16cut/Aquamarine AB/SS16/Hot/016+</t>
  </si>
  <si>
    <t>16cut/Aquamarine AB/SS20/Hot/016+</t>
  </si>
  <si>
    <t>16cut/Aquamarine AB/SS30/Hot/016+</t>
  </si>
  <si>
    <t>16cut/Blue Zircon AB/SS16/Hot/015+</t>
  </si>
  <si>
    <t>16cut/Blue Zircon AB/SS20/Hot/015+</t>
  </si>
  <si>
    <t>16cut/Blue Zircon AB/SS30/Hot/015+</t>
  </si>
  <si>
    <t>16cut/Capri Blue AB/SS16/Hot/017+</t>
  </si>
  <si>
    <t>16cut/Capri Blue AB/SS20/Hot/017+</t>
  </si>
  <si>
    <t>16cut/Capri Blue AB/SS30/Hot/017+</t>
  </si>
  <si>
    <t>16cut/Olivine AB/SS16/Hot/027+</t>
  </si>
  <si>
    <t>16cut/Olivine AB/SS20/Hot/027+</t>
  </si>
  <si>
    <t>16cut/Olivine AB/SS30/Hot/027+</t>
  </si>
  <si>
    <t>16cut/Hyacinth AB/SS16/Hot/031+</t>
  </si>
  <si>
    <t>16cut/Hyacinth AB/SS20/Hot/031+</t>
  </si>
  <si>
    <t>16cut/Hyacinth AB/SS30/Hot/031+</t>
  </si>
  <si>
    <t>16cut/Lt.Siam AB/SS16/Hot/039+</t>
  </si>
  <si>
    <t>16cut/Lt.Siam AB/SS20/Hot/039+</t>
  </si>
  <si>
    <t>16cut/Lt.Siam AB/SS30/Hot/039+</t>
  </si>
  <si>
    <t>16cut/Citrine AB/SS16/Hot/035+</t>
  </si>
  <si>
    <t>16cut/Citrine AB/SS20/Hot/035+</t>
  </si>
  <si>
    <t>16cut/Citrine AB/SS30/Hot/035+</t>
  </si>
  <si>
    <t>16cut/Jet Black AB/SS16/Non/002+</t>
  </si>
  <si>
    <t>16cut/Crystal/SS6/Non/001</t>
  </si>
  <si>
    <t>16cut/Crystal/SS8/Non/001</t>
  </si>
  <si>
    <t>16cut/Crystal/SS10/Non/001</t>
  </si>
  <si>
    <t>16cut/Crystal/SS12/Non/001</t>
  </si>
  <si>
    <t>16cut/Crystal/SS16/Non/001</t>
  </si>
  <si>
    <t>16cut/Crystal/SS20/Non/001</t>
  </si>
  <si>
    <t>16cut/Crystal/SS30/Non/001</t>
  </si>
  <si>
    <t>16cut/Crystal/SS34/Non/001</t>
  </si>
  <si>
    <t>16cut/Crystal/SS40/Non/001</t>
  </si>
  <si>
    <t>16cut/Crystal/SS48/Non/001</t>
  </si>
  <si>
    <t>16cut/Сrystal AB/SS34/Non/001+</t>
  </si>
  <si>
    <t>16cut/New AB/SS6/Non/112</t>
  </si>
  <si>
    <t>16cut/New AB/SS8/Non/112</t>
  </si>
  <si>
    <t>16cut/New AB/SS10/Non/112</t>
  </si>
  <si>
    <t>16cut/New AB/SS12/Non/112</t>
  </si>
  <si>
    <t>16cut/New AB/SS16/Non/112</t>
  </si>
  <si>
    <t>16cut/New AB/SS20/Non/112</t>
  </si>
  <si>
    <t>16cut/New AB/SS30/Non/112</t>
  </si>
  <si>
    <t>16cut/New AB/SS34/Non/112</t>
  </si>
  <si>
    <t>16cut/New AB/SS40/Non/112</t>
  </si>
  <si>
    <t>16cut/Jet Black/SS16/Non/002</t>
  </si>
  <si>
    <t>16cut/Jet Black/SS20/Non/002</t>
  </si>
  <si>
    <t>16cut/Jet Black/SS30/Non/002</t>
  </si>
  <si>
    <t>16cut/Jet Black/SS34/Non/002</t>
  </si>
  <si>
    <t>16cut/Jonquil/SS16/Non/007</t>
  </si>
  <si>
    <t>16cut/Jonquil/SS20/Non/007</t>
  </si>
  <si>
    <t>16cut/Smoked Topaz/SS16/Non/009</t>
  </si>
  <si>
    <t>16cut/Smoked Topaz/SS20/Non/009</t>
  </si>
  <si>
    <t>16cut/Smoked Topaz/SS30/Non/009</t>
  </si>
  <si>
    <t>16cut/Lt.Colorado Topaz/SS16/Non/010</t>
  </si>
  <si>
    <t>16cut/Lt.Colorado Topaz/SS20/Non/010</t>
  </si>
  <si>
    <t>16cut/Lt.Colorado Topaz/SS30/Non/010</t>
  </si>
  <si>
    <t>16cut/Black Diamond/SS16/Non/021</t>
  </si>
  <si>
    <t>16cut/Black Diamond/SS20/Non/021</t>
  </si>
  <si>
    <t>16cut/Black Diamond/SS30/Non/021</t>
  </si>
  <si>
    <t>16cut/Lt.Sapphire/SS16/Non/011</t>
  </si>
  <si>
    <t>16cut/Lt.Sapphire/SS20/Non/011</t>
  </si>
  <si>
    <t>16cut/Lt.Sapphire/SS30/Non/011</t>
  </si>
  <si>
    <t>16cut/Sapphire/SS16/Non/013</t>
  </si>
  <si>
    <t>16cut/Sapphire/SS20/Non/013</t>
  </si>
  <si>
    <t>16cut/Sapphire/SS30/Non/013</t>
  </si>
  <si>
    <t>16cut/Montana/SS16/Non/018</t>
  </si>
  <si>
    <t>16cut/Montana/SS20/Non/018</t>
  </si>
  <si>
    <t>16cut/Montana/SS30/Non/018</t>
  </si>
  <si>
    <t>16cut/Capri Blue/SS16/Non/017</t>
  </si>
  <si>
    <t>16cut/Capri Blue/SS20/Non/017</t>
  </si>
  <si>
    <t>16cut/Capri Blue/SS30/Non/017</t>
  </si>
  <si>
    <t>16cut/Green Zircon/SS16/Non/015</t>
  </si>
  <si>
    <t>16cut/Green Zircon/SS20/Non/015</t>
  </si>
  <si>
    <t>16cut/Green Zircon/SS30/Non/015</t>
  </si>
  <si>
    <t>16cut/Indicolite/SS16/Non/014</t>
  </si>
  <si>
    <t>16cut/Indicolite/SS20/Non/014</t>
  </si>
  <si>
    <t>16cut/Indicolite/SS30/Non/014</t>
  </si>
  <si>
    <t>16cut/Aquamarine/SS16/Non/016</t>
  </si>
  <si>
    <t>16cut/Aquamarine/SS20/Non/016</t>
  </si>
  <si>
    <t>16cut/Aquamarine/SS30/Non/016</t>
  </si>
  <si>
    <t>16cut/Emerald/SS16/Non/026</t>
  </si>
  <si>
    <t>16cut/Emerald/SS20/Non/026</t>
  </si>
  <si>
    <t>16cut/Emerald/SS30/Non/026</t>
  </si>
  <si>
    <t>16cut/Lt. Peridot/SS16/Non/024</t>
  </si>
  <si>
    <t>16cut/Lt. Peridot/SS20/Non/024</t>
  </si>
  <si>
    <t>16cut/Lt. Peridot/SS30/Non/024</t>
  </si>
  <si>
    <t>16cut/Olivine/SS16/Non/027</t>
  </si>
  <si>
    <t>16cut/Olivine/SS20/Non/027</t>
  </si>
  <si>
    <t>16cut/Olivine/SS30/Non/027</t>
  </si>
  <si>
    <t>16cut/Tanzanite/SS16/Non/028</t>
  </si>
  <si>
    <t>16cut/Tanzanite/SS20/Non/028</t>
  </si>
  <si>
    <t>16cut/Tanzanite/SS30/Non/028</t>
  </si>
  <si>
    <t>16cut/Amethyst/SS16/Non/023</t>
  </si>
  <si>
    <t>16cut/Amethyst/SS20/Non/023</t>
  </si>
  <si>
    <t>16cut/Amethyst/SS30/Non/023</t>
  </si>
  <si>
    <t>16cut/Lt. Peach/SS16/Non/029</t>
  </si>
  <si>
    <t>16cut/Lt. Peach/SS20/Non/029</t>
  </si>
  <si>
    <t>16cut/Lt. Peach/SS30/Non/029</t>
  </si>
  <si>
    <t>16cut/Citrine/SS16/Non/035</t>
  </si>
  <si>
    <t>16cut/Citrine/SS20/Non/035</t>
  </si>
  <si>
    <t>16cut/Citrine/SS30/Non/035</t>
  </si>
  <si>
    <t>16cut/Hyacinth/SS16/Non/031</t>
  </si>
  <si>
    <t>16cut/Hyacinth/SS20/Non/031</t>
  </si>
  <si>
    <t>16cut/Hyacinth/SS30/Non/031</t>
  </si>
  <si>
    <t>16cut/Lt.Siam/SS16/Non/033</t>
  </si>
  <si>
    <t>16cut/Lt.Siam/SS20/Non/033</t>
  </si>
  <si>
    <t>16cut/Lt.Siam/SS30/Non/033</t>
  </si>
  <si>
    <t>16cut/Siam/SS16/Non/033+</t>
  </si>
  <si>
    <t>16cut/Siam/SS20/Non/033+</t>
  </si>
  <si>
    <t>16cut/Siam/SS30/Non/033+</t>
  </si>
  <si>
    <t>16cut/Garnet/SS16/Non/034</t>
  </si>
  <si>
    <t>16cut/Garnet/SS20/Non/034</t>
  </si>
  <si>
    <t>16cut/Garnet/SS30/Non/034</t>
  </si>
  <si>
    <t>16cut/Rose/SS16/Non/036</t>
  </si>
  <si>
    <t>16cut/Rose/SS20/Non/036</t>
  </si>
  <si>
    <t>16cut/Rose/SS30/Non/036</t>
  </si>
  <si>
    <t>16cut/Lt.Rose/SS16/Non/038</t>
  </si>
  <si>
    <t>16cut/Lt.Rose/SS20/Non/038</t>
  </si>
  <si>
    <t>16cut/Lt.Rose/SS30/Non/038</t>
  </si>
  <si>
    <t>16cut/Fuchsia/SS16/Non/037</t>
  </si>
  <si>
    <t>16cut/Fuchsia/SS20/Non/037</t>
  </si>
  <si>
    <t>16cut/Fuchsia/SS30/Non/037</t>
  </si>
  <si>
    <t>16cut/Golden Shadow/SS16/Non/052</t>
  </si>
  <si>
    <t>16cut/Golden Shadow/SS20/Non/052</t>
  </si>
  <si>
    <t>16cut/Golden Shadow/SS30/Non/052</t>
  </si>
  <si>
    <t>16cut/Golden Shadow/SS34/Non/052</t>
  </si>
  <si>
    <t>16cut/Fuchsia Shimmer/SS16/Non/062</t>
  </si>
  <si>
    <t>16cut/Fuchsia Shimmer/SS20/Non/062</t>
  </si>
  <si>
    <t>16cut/Fuchsia Shimmer/SS30/Non/062</t>
  </si>
  <si>
    <t>16cut/Fuchsia Shimmer/SS34/Non/062</t>
  </si>
  <si>
    <t>16cut/Topaz AB/SS16/Non/008+</t>
  </si>
  <si>
    <t>16cut/Lt.Colorado Topaz AB/SS16/Non/010+</t>
  </si>
  <si>
    <t>16cut/Lt.Sapphire AB/SS16/Non/011+</t>
  </si>
  <si>
    <t>16cut/Sapphire AB/SS16/Non/013+</t>
  </si>
  <si>
    <t>16cut/Capri Blue AB/SS16/Non/017+</t>
  </si>
  <si>
    <t>16cut/Indicolite AB/SS16/Non/014+</t>
  </si>
  <si>
    <t>16cut/Blue Zircon/SS16/Non/015+</t>
  </si>
  <si>
    <t>16cut/Aquamarine AB/SS16/Non/016+</t>
  </si>
  <si>
    <t>16cut/Lt. Peridot AB/SS16/Non/024+</t>
  </si>
  <si>
    <t>16cut/Emerald AB/SS16/Non/026+</t>
  </si>
  <si>
    <t>16cut/Olivine AB/SS16/Non/027+</t>
  </si>
  <si>
    <t>16cut/Siam AB/SS16/Non/032+</t>
  </si>
  <si>
    <t>16cut/Garnet AB/SS16/Non/034+</t>
  </si>
  <si>
    <t>16cut/Hyacinth AB/SS16/Non/031+</t>
  </si>
  <si>
    <t>16cut/Citrine AB/SS16/Non/035+</t>
  </si>
  <si>
    <t>16cut/Lt.Rose AB/SS16/Non/038+</t>
  </si>
  <si>
    <t>201+</t>
  </si>
  <si>
    <t>16cut/Aqua Silver/SS16/Non/201+</t>
  </si>
  <si>
    <t>16cut/Aqua Silver/SS20/Non/201+</t>
  </si>
  <si>
    <t>16cut/Jet Black AB/SS20/Non/002+</t>
  </si>
  <si>
    <t>16cut/Topaz AB/SS20/Non/008+</t>
  </si>
  <si>
    <t>16cut/Lt.Colorado Topaz AB/SS20/Non/010+</t>
  </si>
  <si>
    <t>16cut/Lt.Sapphire AB/SS20/Non/011+</t>
  </si>
  <si>
    <t>16cut/Sapphire AB/SS20/Non/013+</t>
  </si>
  <si>
    <t>16cut/Capri Blue AB/SS20/Non/017+</t>
  </si>
  <si>
    <t>16cut/Indicolite AB/SS20/Non/014+</t>
  </si>
  <si>
    <t>16cut/Blue Zircon/SS20/Non/015+</t>
  </si>
  <si>
    <t>16cut/Aquamarine AB/SS20/Non/016+</t>
  </si>
  <si>
    <t>16cut/Lt. Peridot AB/SS20/Non/024+</t>
  </si>
  <si>
    <t>16cut/Emerald AB/SS20/Non/026+</t>
  </si>
  <si>
    <t>16cut/Olivine AB/SS20/Non/027+</t>
  </si>
  <si>
    <t>16cut/Siam AB/SS20/Non/032+</t>
  </si>
  <si>
    <t>16cut/Garnet AB/SS20/Non/034+</t>
  </si>
  <si>
    <t>16cut/Hyacinth AB/SS20/Non/031+</t>
  </si>
  <si>
    <t>16cut/Citrine AB/SS20/Non/035+</t>
  </si>
  <si>
    <t>16cut/Lt.Rose AB/SS20/Non/038+</t>
  </si>
  <si>
    <t>16cut/Jet Black AB/SS30/Non/002+</t>
  </si>
  <si>
    <t>16cut/Topaz AB/SS30/Non/008+</t>
  </si>
  <si>
    <t>16cut/Lt.Colorado Topaz AB/SS30/Non/010+</t>
  </si>
  <si>
    <t>16cut/Lt.Sapphire AB/SS30/Non/011+</t>
  </si>
  <si>
    <t>16cut/Sapphire AB/SS30/Non/013+</t>
  </si>
  <si>
    <t>16cut/Capri Blue AB/SS30/Non/017+</t>
  </si>
  <si>
    <t>16cut/Indicolite AB/SS30/Non/014+</t>
  </si>
  <si>
    <t>16cut/Blue Zircon/SS30/Non/015+</t>
  </si>
  <si>
    <t>16cut/Aquamarine AB/SS30/Non/016+</t>
  </si>
  <si>
    <t>16cut/Lt. Peridot AB/SS30/Non/024+</t>
  </si>
  <si>
    <t>16cut/Emerald AB/SS30/Non/026+</t>
  </si>
  <si>
    <t>16cut/Olivine AB/SS30/Non/027+</t>
  </si>
  <si>
    <t>16cut/Siam AB/SS30/Non/032+</t>
  </si>
  <si>
    <t>16cut/Garnet AB/SS30/Non/034+</t>
  </si>
  <si>
    <t>16cut/Hyacinth AB/SS30/Non/031+</t>
  </si>
  <si>
    <t>16cut/Citrine AB/SS30/Non/035+</t>
  </si>
  <si>
    <t>16cut/Aqua Silver/SS30/Non/201+</t>
  </si>
  <si>
    <t>Lt. TOPAZ</t>
  </si>
  <si>
    <t>Lt. TOPAZ AB</t>
  </si>
  <si>
    <t>Lt. VIOLET</t>
  </si>
  <si>
    <t>12cut/Aquamarine/SS10/Non/016</t>
  </si>
  <si>
    <t>12cut/Neon Yellow AB/SS6/Hot/069+</t>
  </si>
  <si>
    <t>12cut/Neon Yellow AB/SS8/Hot/069+</t>
  </si>
  <si>
    <t>12cut/Neon Yellow AB/SS10/Hot/069+</t>
  </si>
  <si>
    <t>12cut/Neon Yellow AB/SS12/Hot/069+</t>
  </si>
  <si>
    <t>12cut/Neon Yellow AB/SS16/Hot/069+</t>
  </si>
  <si>
    <t>12cut/Neon Yellow AB/SS20/Hot/069+</t>
  </si>
  <si>
    <t>12cut/Neon Yellow AB/SS30/Hot/069+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</si>
</sst>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р.&quot;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3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</cellStyleXfs>
  <cellXfs count="4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4" fillId="0" borderId="7" xfId="12" applyFont="1" applyBorder="1" applyAlignment="1">
      <alignment horizontal="center" vertical="center"/>
    </xf>
    <xf numFmtId="0" fontId="4" fillId="0" borderId="1" xfId="12" applyFont="1" applyBorder="1" applyAlignment="1">
      <alignment horizontal="center" vertical="center"/>
    </xf>
    <xf numFmtId="0" fontId="4" fillId="0" borderId="6" xfId="12" applyFont="1" applyBorder="1" applyAlignment="1">
      <alignment horizontal="center" vertical="center"/>
    </xf>
    <xf numFmtId="0" fontId="4" fillId="0" borderId="6" xfId="19" applyFont="1" applyBorder="1" applyAlignment="1">
      <alignment horizontal="center" vertical="center"/>
    </xf>
    <xf numFmtId="0" fontId="4" fillId="0" borderId="4" xfId="20" applyFont="1" applyBorder="1" applyAlignment="1">
      <alignment horizontal="center" vertical="center"/>
    </xf>
    <xf numFmtId="0" fontId="4" fillId="0" borderId="2" xfId="20" applyFont="1" applyBorder="1" applyAlignment="1">
      <alignment horizontal="center" vertical="center"/>
    </xf>
    <xf numFmtId="0" fontId="4" fillId="0" borderId="5" xfId="22" applyFont="1" applyBorder="1" applyAlignment="1">
      <alignment horizontal="center" vertical="center"/>
    </xf>
    <xf numFmtId="0" fontId="4" fillId="0" borderId="2" xfId="22" applyFont="1" applyBorder="1" applyAlignment="1">
      <alignment horizontal="center" vertical="center"/>
    </xf>
    <xf numFmtId="0" fontId="4" fillId="0" borderId="4" xfId="35" applyFont="1" applyBorder="1" applyAlignment="1">
      <alignment horizontal="center" vertical="center"/>
    </xf>
    <xf numFmtId="0" fontId="4" fillId="0" borderId="2" xfId="35" applyFont="1" applyBorder="1" applyAlignment="1">
      <alignment horizontal="center" vertical="center"/>
    </xf>
    <xf numFmtId="0" fontId="4" fillId="0" borderId="5" xfId="26" applyFont="1" applyBorder="1" applyAlignment="1">
      <alignment horizontal="center" vertical="center"/>
    </xf>
    <xf numFmtId="0" fontId="4" fillId="0" borderId="6" xfId="26" applyFont="1" applyBorder="1" applyAlignment="1">
      <alignment horizontal="center" vertical="center"/>
    </xf>
    <xf numFmtId="0" fontId="4" fillId="0" borderId="4" xfId="27" applyFont="1" applyBorder="1" applyAlignment="1">
      <alignment horizontal="center" vertical="center"/>
    </xf>
    <xf numFmtId="0" fontId="4" fillId="0" borderId="2" xfId="29" applyFont="1" applyBorder="1" applyAlignment="1">
      <alignment horizontal="center" vertical="center"/>
    </xf>
    <xf numFmtId="0" fontId="4" fillId="0" borderId="6" xfId="34" applyFont="1" applyBorder="1" applyAlignment="1">
      <alignment horizontal="center" vertical="center"/>
    </xf>
    <xf numFmtId="0" fontId="4" fillId="0" borderId="4" xfId="16" applyFont="1" applyBorder="1" applyAlignment="1">
      <alignment horizontal="center" vertical="center"/>
    </xf>
    <xf numFmtId="0" fontId="4" fillId="2" borderId="6" xfId="15" applyFont="1" applyFill="1" applyBorder="1" applyAlignment="1">
      <alignment horizontal="center" vertical="center"/>
    </xf>
    <xf numFmtId="0" fontId="4" fillId="0" borderId="4" xfId="30" applyFont="1" applyBorder="1" applyAlignment="1">
      <alignment horizontal="center" vertical="center"/>
    </xf>
    <xf numFmtId="0" fontId="4" fillId="0" borderId="5" xfId="29" applyFont="1" applyBorder="1" applyAlignment="1">
      <alignment horizontal="center" vertical="center"/>
    </xf>
    <xf numFmtId="0" fontId="4" fillId="0" borderId="6" xfId="29" applyFont="1" applyBorder="1" applyAlignment="1">
      <alignment horizontal="center" vertical="center"/>
    </xf>
    <xf numFmtId="0" fontId="4" fillId="0" borderId="6" xfId="4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12" applyFont="1" applyBorder="1" applyAlignment="1">
      <alignment horizontal="center" vertical="center"/>
    </xf>
    <xf numFmtId="0" fontId="4" fillId="0" borderId="2" xfId="4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/>
    </xf>
    <xf numFmtId="0" fontId="4" fillId="0" borderId="1" xfId="29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4" fillId="0" borderId="5" xfId="9" applyFont="1" applyBorder="1" applyAlignment="1">
      <alignment horizontal="center" vertical="center"/>
    </xf>
    <xf numFmtId="0" fontId="4" fillId="0" borderId="1" xfId="10" applyFont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4" fillId="0" borderId="7" xfId="8" applyFont="1" applyBorder="1" applyAlignment="1">
      <alignment horizontal="center" vertical="center" wrapText="1"/>
    </xf>
    <xf numFmtId="0" fontId="4" fillId="0" borderId="7" xfId="9" applyFont="1" applyBorder="1" applyAlignment="1">
      <alignment horizontal="center" vertical="center"/>
    </xf>
    <xf numFmtId="0" fontId="4" fillId="0" borderId="6" xfId="9" applyFont="1" applyBorder="1" applyAlignment="1">
      <alignment horizontal="center" vertical="center"/>
    </xf>
    <xf numFmtId="0" fontId="4" fillId="2" borderId="4" xfId="15" applyFont="1" applyFill="1" applyBorder="1" applyAlignment="1">
      <alignment horizontal="center" vertical="center"/>
    </xf>
    <xf numFmtId="0" fontId="4" fillId="0" borderId="4" xfId="9" applyFont="1" applyBorder="1" applyAlignment="1">
      <alignment horizontal="center" vertical="center"/>
    </xf>
    <xf numFmtId="0" fontId="4" fillId="2" borderId="2" xfId="15" applyFont="1" applyFill="1" applyBorder="1" applyAlignment="1">
      <alignment horizontal="center" vertical="center"/>
    </xf>
    <xf numFmtId="0" fontId="4" fillId="2" borderId="1" xfId="15" applyFont="1" applyFill="1" applyBorder="1" applyAlignment="1">
      <alignment horizontal="center" vertical="center"/>
    </xf>
    <xf numFmtId="0" fontId="4" fillId="0" borderId="1" xfId="17" applyFont="1" applyBorder="1" applyAlignment="1">
      <alignment horizontal="center" vertical="center"/>
    </xf>
    <xf numFmtId="0" fontId="4" fillId="0" borderId="1" xfId="20" applyFont="1" applyBorder="1" applyAlignment="1">
      <alignment horizontal="center" vertical="center"/>
    </xf>
    <xf numFmtId="0" fontId="4" fillId="0" borderId="1" xfId="28" applyFont="1" applyBorder="1" applyAlignment="1">
      <alignment horizontal="center" vertical="center"/>
    </xf>
    <xf numFmtId="0" fontId="4" fillId="0" borderId="1" xfId="24" applyFont="1" applyBorder="1" applyAlignment="1">
      <alignment horizontal="center" vertical="center"/>
    </xf>
    <xf numFmtId="0" fontId="4" fillId="0" borderId="1" xfId="35" applyFont="1" applyBorder="1" applyAlignment="1">
      <alignment horizontal="center" vertical="center"/>
    </xf>
    <xf numFmtId="0" fontId="4" fillId="0" borderId="1" xfId="26" applyFont="1" applyBorder="1" applyAlignment="1">
      <alignment horizontal="center" vertical="center"/>
    </xf>
    <xf numFmtId="0" fontId="4" fillId="0" borderId="1" xfId="27" applyFont="1" applyBorder="1" applyAlignment="1">
      <alignment horizontal="center" vertical="center"/>
    </xf>
    <xf numFmtId="0" fontId="4" fillId="0" borderId="1" xfId="32" applyFont="1" applyBorder="1" applyAlignment="1">
      <alignment horizontal="center" vertical="center"/>
    </xf>
    <xf numFmtId="0" fontId="4" fillId="2" borderId="4" xfId="38" applyFont="1" applyFill="1" applyBorder="1" applyAlignment="1">
      <alignment horizontal="center" vertical="center"/>
    </xf>
    <xf numFmtId="0" fontId="4" fillId="2" borderId="1" xfId="39" applyFont="1" applyFill="1" applyBorder="1" applyAlignment="1">
      <alignment horizontal="center" vertical="center"/>
    </xf>
    <xf numFmtId="0" fontId="4" fillId="2" borderId="2" xfId="40" applyFont="1" applyFill="1" applyBorder="1" applyAlignment="1">
      <alignment horizontal="center" vertical="center"/>
    </xf>
    <xf numFmtId="0" fontId="4" fillId="2" borderId="5" xfId="40" applyFont="1" applyFill="1" applyBorder="1" applyAlignment="1">
      <alignment horizontal="center" vertical="center"/>
    </xf>
    <xf numFmtId="0" fontId="4" fillId="0" borderId="5" xfId="42" applyFont="1" applyBorder="1" applyAlignment="1">
      <alignment horizontal="center" vertical="center"/>
    </xf>
    <xf numFmtId="0" fontId="4" fillId="0" borderId="1" xfId="43" applyFont="1" applyBorder="1" applyAlignment="1">
      <alignment horizontal="center" vertical="center"/>
    </xf>
    <xf numFmtId="0" fontId="4" fillId="0" borderId="6" xfId="44" applyFont="1" applyBorder="1" applyAlignment="1">
      <alignment horizontal="center" vertical="center"/>
    </xf>
    <xf numFmtId="0" fontId="4" fillId="0" borderId="5" xfId="44" applyFont="1" applyBorder="1" applyAlignment="1">
      <alignment horizontal="center" vertical="center"/>
    </xf>
    <xf numFmtId="0" fontId="4" fillId="0" borderId="1" xfId="44" applyFont="1" applyBorder="1" applyAlignment="1">
      <alignment horizontal="center" vertical="center"/>
    </xf>
    <xf numFmtId="0" fontId="4" fillId="0" borderId="4" xfId="46" applyFont="1" applyBorder="1" applyAlignment="1">
      <alignment horizontal="center" vertical="center"/>
    </xf>
    <xf numFmtId="0" fontId="4" fillId="0" borderId="1" xfId="47" applyFont="1" applyBorder="1" applyAlignment="1">
      <alignment horizontal="center" vertical="center"/>
    </xf>
    <xf numFmtId="0" fontId="4" fillId="0" borderId="2" xfId="48" applyFont="1" applyBorder="1" applyAlignment="1">
      <alignment horizontal="center" vertical="center"/>
    </xf>
    <xf numFmtId="0" fontId="4" fillId="0" borderId="5" xfId="48" applyFont="1" applyBorder="1" applyAlignment="1">
      <alignment horizontal="center" vertical="center"/>
    </xf>
    <xf numFmtId="0" fontId="4" fillId="0" borderId="1" xfId="48" applyFont="1" applyBorder="1" applyAlignment="1">
      <alignment horizontal="center" vertical="center"/>
    </xf>
    <xf numFmtId="0" fontId="4" fillId="0" borderId="6" xfId="48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5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4" xfId="51" applyFont="1" applyBorder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/>
    </xf>
    <xf numFmtId="0" fontId="4" fillId="0" borderId="1" xfId="53" applyFont="1" applyBorder="1" applyAlignment="1">
      <alignment horizontal="center" vertical="center"/>
    </xf>
    <xf numFmtId="0" fontId="4" fillId="0" borderId="6" xfId="55" applyFont="1" applyBorder="1" applyAlignment="1">
      <alignment horizontal="center" vertical="center"/>
    </xf>
    <xf numFmtId="0" fontId="4" fillId="0" borderId="4" xfId="56" applyFont="1" applyBorder="1" applyAlignment="1">
      <alignment horizontal="center" vertical="center"/>
    </xf>
    <xf numFmtId="0" fontId="4" fillId="0" borderId="1" xfId="56" applyFont="1" applyBorder="1" applyAlignment="1">
      <alignment horizontal="center" vertical="center"/>
    </xf>
    <xf numFmtId="0" fontId="4" fillId="0" borderId="2" xfId="56" applyFont="1" applyBorder="1" applyAlignment="1">
      <alignment horizontal="center" vertical="center"/>
    </xf>
    <xf numFmtId="0" fontId="4" fillId="0" borderId="5" xfId="56" applyFont="1" applyBorder="1" applyAlignment="1">
      <alignment horizontal="center" vertical="center"/>
    </xf>
    <xf numFmtId="0" fontId="4" fillId="0" borderId="6" xfId="56" applyFont="1" applyBorder="1" applyAlignment="1">
      <alignment horizontal="center" vertical="center"/>
    </xf>
    <xf numFmtId="0" fontId="4" fillId="0" borderId="4" xfId="58" applyFont="1" applyBorder="1" applyAlignment="1">
      <alignment horizontal="center" vertical="center"/>
    </xf>
    <xf numFmtId="0" fontId="4" fillId="0" borderId="3" xfId="58" applyFont="1" applyBorder="1" applyAlignment="1">
      <alignment horizontal="center" vertical="center"/>
    </xf>
    <xf numFmtId="0" fontId="4" fillId="0" borderId="1" xfId="61" applyFont="1" applyBorder="1" applyAlignment="1">
      <alignment horizontal="center" vertical="center"/>
    </xf>
    <xf numFmtId="0" fontId="4" fillId="0" borderId="6" xfId="6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62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/>
    </xf>
    <xf numFmtId="0" fontId="4" fillId="0" borderId="4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0" borderId="4" xfId="52" applyFont="1" applyBorder="1" applyAlignment="1">
      <alignment horizontal="center" vertical="center"/>
    </xf>
    <xf numFmtId="0" fontId="4" fillId="0" borderId="4" xfId="6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23" applyFont="1" applyBorder="1" applyAlignment="1">
      <alignment horizontal="center" vertical="center"/>
    </xf>
    <xf numFmtId="0" fontId="4" fillId="0" borderId="6" xfId="23" applyFont="1" applyBorder="1" applyAlignment="1">
      <alignment horizontal="center" vertical="center"/>
    </xf>
    <xf numFmtId="0" fontId="4" fillId="0" borderId="5" xfId="36" applyFont="1" applyBorder="1" applyAlignment="1">
      <alignment horizontal="center" vertical="center"/>
    </xf>
    <xf numFmtId="0" fontId="4" fillId="0" borderId="1" xfId="36" applyFont="1" applyBorder="1" applyAlignment="1">
      <alignment horizontal="center" vertical="center"/>
    </xf>
    <xf numFmtId="0" fontId="4" fillId="0" borderId="6" xfId="36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/>
    <xf numFmtId="0" fontId="5" fillId="0" borderId="11" xfId="0" applyFont="1" applyBorder="1" applyAlignment="1">
      <alignment vertical="center"/>
    </xf>
    <xf numFmtId="0" fontId="4" fillId="0" borderId="5" xfId="20" applyFont="1" applyBorder="1" applyAlignment="1">
      <alignment horizontal="center" vertical="center"/>
    </xf>
    <xf numFmtId="0" fontId="4" fillId="0" borderId="6" xfId="20" applyFont="1" applyBorder="1" applyAlignment="1">
      <alignment horizontal="center" vertical="center"/>
    </xf>
    <xf numFmtId="0" fontId="4" fillId="0" borderId="5" xfId="27" applyFont="1" applyBorder="1" applyAlignment="1">
      <alignment horizontal="center" vertical="center"/>
    </xf>
    <xf numFmtId="0" fontId="4" fillId="0" borderId="5" xfId="46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5" xfId="62" applyFont="1" applyBorder="1" applyAlignment="1">
      <alignment horizontal="center" vertical="center" wrapText="1"/>
    </xf>
    <xf numFmtId="0" fontId="4" fillId="0" borderId="4" xfId="62" applyFont="1" applyBorder="1" applyAlignment="1">
      <alignment horizontal="center" vertical="center" wrapText="1"/>
    </xf>
    <xf numFmtId="0" fontId="4" fillId="0" borderId="2" xfId="62" applyFont="1" applyBorder="1" applyAlignment="1">
      <alignment horizontal="center" vertical="center" wrapText="1"/>
    </xf>
    <xf numFmtId="0" fontId="4" fillId="0" borderId="6" xfId="62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5" xfId="18" applyFont="1" applyBorder="1" applyAlignment="1">
      <alignment horizontal="center" vertical="center"/>
    </xf>
    <xf numFmtId="164" fontId="4" fillId="0" borderId="5" xfId="22" applyNumberFormat="1" applyFont="1" applyBorder="1" applyAlignment="1">
      <alignment horizontal="center" vertical="center"/>
    </xf>
    <xf numFmtId="0" fontId="3" fillId="0" borderId="5" xfId="19" applyFont="1" applyBorder="1" applyAlignment="1">
      <alignment horizontal="center" vertical="center"/>
    </xf>
    <xf numFmtId="0" fontId="3" fillId="0" borderId="1" xfId="18" applyFont="1" applyBorder="1" applyAlignment="1">
      <alignment horizontal="center" vertical="center"/>
    </xf>
    <xf numFmtId="164" fontId="4" fillId="0" borderId="1" xfId="22" applyNumberFormat="1" applyFont="1" applyBorder="1" applyAlignment="1">
      <alignment horizontal="center" vertical="center"/>
    </xf>
    <xf numFmtId="0" fontId="3" fillId="0" borderId="1" xfId="19" applyFont="1" applyBorder="1" applyAlignment="1">
      <alignment horizontal="center" vertical="center"/>
    </xf>
    <xf numFmtId="0" fontId="3" fillId="0" borderId="6" xfId="18" applyFont="1" applyBorder="1" applyAlignment="1">
      <alignment horizontal="center" vertical="center"/>
    </xf>
    <xf numFmtId="164" fontId="4" fillId="0" borderId="6" xfId="22" applyNumberFormat="1" applyFont="1" applyBorder="1" applyAlignment="1">
      <alignment horizontal="center" vertical="center"/>
    </xf>
    <xf numFmtId="0" fontId="3" fillId="0" borderId="6" xfId="19" applyFont="1" applyBorder="1" applyAlignment="1">
      <alignment horizontal="center" vertical="center"/>
    </xf>
    <xf numFmtId="0" fontId="3" fillId="0" borderId="4" xfId="23" applyFont="1" applyBorder="1" applyAlignment="1">
      <alignment horizontal="center" vertical="center"/>
    </xf>
    <xf numFmtId="164" fontId="3" fillId="0" borderId="4" xfId="25" applyNumberFormat="1" applyFont="1" applyBorder="1" applyAlignment="1">
      <alignment horizontal="center" vertical="center"/>
    </xf>
    <xf numFmtId="0" fontId="3" fillId="0" borderId="1" xfId="23" applyFont="1" applyBorder="1" applyAlignment="1">
      <alignment horizontal="center" vertical="center"/>
    </xf>
    <xf numFmtId="164" fontId="3" fillId="0" borderId="1" xfId="25" applyNumberFormat="1" applyFont="1" applyBorder="1" applyAlignment="1">
      <alignment horizontal="center" vertical="center"/>
    </xf>
    <xf numFmtId="0" fontId="3" fillId="0" borderId="2" xfId="23" applyFont="1" applyBorder="1" applyAlignment="1">
      <alignment horizontal="center" vertical="center"/>
    </xf>
    <xf numFmtId="164" fontId="3" fillId="0" borderId="2" xfId="25" applyNumberFormat="1" applyFont="1" applyBorder="1" applyAlignment="1">
      <alignment horizontal="center" vertical="center"/>
    </xf>
    <xf numFmtId="0" fontId="3" fillId="0" borderId="5" xfId="30" applyFont="1" applyBorder="1" applyAlignment="1">
      <alignment horizontal="center" vertical="center"/>
    </xf>
    <xf numFmtId="164" fontId="3" fillId="0" borderId="5" xfId="33" applyNumberFormat="1" applyFont="1" applyBorder="1" applyAlignment="1">
      <alignment horizontal="center" vertical="center"/>
    </xf>
    <xf numFmtId="0" fontId="3" fillId="0" borderId="1" xfId="30" applyFont="1" applyBorder="1" applyAlignment="1">
      <alignment horizontal="center" vertical="center"/>
    </xf>
    <xf numFmtId="164" fontId="3" fillId="0" borderId="1" xfId="33" applyNumberFormat="1" applyFont="1" applyBorder="1" applyAlignment="1">
      <alignment horizontal="center" vertical="center"/>
    </xf>
    <xf numFmtId="0" fontId="3" fillId="0" borderId="6" xfId="30" applyFont="1" applyBorder="1" applyAlignment="1">
      <alignment horizontal="center" vertical="center"/>
    </xf>
    <xf numFmtId="164" fontId="3" fillId="0" borderId="6" xfId="33" applyNumberFormat="1" applyFont="1" applyBorder="1" applyAlignment="1">
      <alignment horizontal="center" vertical="center"/>
    </xf>
    <xf numFmtId="0" fontId="3" fillId="0" borderId="5" xfId="36" applyFont="1" applyBorder="1" applyAlignment="1">
      <alignment horizontal="center" vertical="center"/>
    </xf>
    <xf numFmtId="164" fontId="3" fillId="0" borderId="5" xfId="37" applyNumberFormat="1" applyFont="1" applyBorder="1" applyAlignment="1">
      <alignment horizontal="center" vertical="center"/>
    </xf>
    <xf numFmtId="0" fontId="3" fillId="0" borderId="1" xfId="36" applyFont="1" applyBorder="1" applyAlignment="1">
      <alignment horizontal="center" vertical="center"/>
    </xf>
    <xf numFmtId="164" fontId="3" fillId="0" borderId="1" xfId="37" applyNumberFormat="1" applyFont="1" applyBorder="1" applyAlignment="1">
      <alignment horizontal="center" vertical="center"/>
    </xf>
    <xf numFmtId="0" fontId="3" fillId="0" borderId="6" xfId="36" applyFont="1" applyBorder="1" applyAlignment="1">
      <alignment horizontal="center" vertical="center"/>
    </xf>
    <xf numFmtId="164" fontId="3" fillId="0" borderId="6" xfId="37" applyNumberFormat="1" applyFont="1" applyBorder="1" applyAlignment="1">
      <alignment horizontal="center" vertical="center"/>
    </xf>
    <xf numFmtId="0" fontId="3" fillId="0" borderId="4" xfId="36" applyFont="1" applyBorder="1" applyAlignment="1">
      <alignment horizontal="center" vertical="center"/>
    </xf>
    <xf numFmtId="164" fontId="3" fillId="0" borderId="4" xfId="37" applyNumberFormat="1" applyFont="1" applyBorder="1" applyAlignment="1">
      <alignment horizontal="center" vertical="center"/>
    </xf>
    <xf numFmtId="0" fontId="3" fillId="0" borderId="2" xfId="36" applyFont="1" applyBorder="1" applyAlignment="1">
      <alignment horizontal="center" vertical="center"/>
    </xf>
    <xf numFmtId="164" fontId="3" fillId="0" borderId="2" xfId="37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/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/>
    <xf numFmtId="0" fontId="4" fillId="0" borderId="1" xfId="1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3" fillId="0" borderId="7" xfId="36" applyFont="1" applyBorder="1" applyAlignment="1">
      <alignment horizontal="center" vertical="center"/>
    </xf>
    <xf numFmtId="164" fontId="3" fillId="0" borderId="7" xfId="37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0" fontId="0" fillId="0" borderId="22" xfId="0" applyBorder="1"/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4" fillId="0" borderId="16" xfId="9" applyFont="1" applyBorder="1" applyAlignment="1">
      <alignment horizontal="center" vertical="center"/>
    </xf>
    <xf numFmtId="0" fontId="4" fillId="0" borderId="19" xfId="9" applyFont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15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0" fillId="0" borderId="45" xfId="0" applyBorder="1"/>
    <xf numFmtId="0" fontId="0" fillId="0" borderId="44" xfId="0" applyBorder="1"/>
    <xf numFmtId="0" fontId="0" fillId="0" borderId="34" xfId="0" applyBorder="1"/>
    <xf numFmtId="0" fontId="3" fillId="0" borderId="47" xfId="0" applyFont="1" applyBorder="1" applyAlignment="1">
      <alignment horizontal="center" vertical="center"/>
    </xf>
    <xf numFmtId="0" fontId="0" fillId="0" borderId="48" xfId="0" applyBorder="1"/>
    <xf numFmtId="0" fontId="0" fillId="0" borderId="42" xfId="0" applyBorder="1"/>
    <xf numFmtId="0" fontId="0" fillId="0" borderId="34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right" vertical="center" wrapText="1"/>
    </xf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45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3" xfId="8" applyFont="1" applyBorder="1" applyAlignment="1">
      <alignment horizontal="center" vertical="center"/>
    </xf>
    <xf numFmtId="0" fontId="4" fillId="0" borderId="8" xfId="8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 wrapText="1"/>
    </xf>
    <xf numFmtId="0" fontId="4" fillId="0" borderId="3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23" applyFont="1" applyBorder="1" applyAlignment="1">
      <alignment horizontal="center" vertical="center"/>
    </xf>
    <xf numFmtId="0" fontId="4" fillId="0" borderId="1" xfId="23" applyFont="1" applyBorder="1" applyAlignment="1">
      <alignment horizontal="center" vertical="center"/>
    </xf>
    <xf numFmtId="0" fontId="4" fillId="0" borderId="6" xfId="23" applyFont="1" applyBorder="1" applyAlignment="1">
      <alignment horizontal="center" vertical="center"/>
    </xf>
    <xf numFmtId="0" fontId="4" fillId="0" borderId="4" xfId="23" applyFont="1" applyBorder="1" applyAlignment="1">
      <alignment horizontal="center" vertical="center"/>
    </xf>
    <xf numFmtId="0" fontId="4" fillId="0" borderId="2" xfId="23" applyFont="1" applyBorder="1" applyAlignment="1">
      <alignment horizontal="center" vertical="center"/>
    </xf>
    <xf numFmtId="0" fontId="4" fillId="0" borderId="10" xfId="36" applyFont="1" applyBorder="1" applyAlignment="1">
      <alignment horizontal="center" vertical="center"/>
    </xf>
    <xf numFmtId="0" fontId="4" fillId="0" borderId="3" xfId="36" applyFont="1" applyBorder="1" applyAlignment="1">
      <alignment horizontal="center" vertical="center"/>
    </xf>
    <xf numFmtId="0" fontId="4" fillId="0" borderId="8" xfId="36" applyFont="1" applyBorder="1" applyAlignment="1">
      <alignment horizontal="center" vertical="center"/>
    </xf>
    <xf numFmtId="0" fontId="4" fillId="0" borderId="5" xfId="25" applyFont="1" applyBorder="1" applyAlignment="1">
      <alignment horizontal="center" vertical="center"/>
    </xf>
    <xf numFmtId="0" fontId="4" fillId="0" borderId="1" xfId="25" applyFont="1" applyBorder="1" applyAlignment="1">
      <alignment horizontal="center" vertical="center"/>
    </xf>
    <xf numFmtId="0" fontId="4" fillId="0" borderId="6" xfId="25" applyFont="1" applyBorder="1" applyAlignment="1">
      <alignment horizontal="center" vertical="center"/>
    </xf>
    <xf numFmtId="0" fontId="4" fillId="0" borderId="5" xfId="36" applyFont="1" applyBorder="1" applyAlignment="1">
      <alignment horizontal="center" vertical="center"/>
    </xf>
    <xf numFmtId="0" fontId="4" fillId="0" borderId="1" xfId="36" applyFont="1" applyBorder="1" applyAlignment="1">
      <alignment horizontal="center" vertical="center"/>
    </xf>
    <xf numFmtId="0" fontId="4" fillId="0" borderId="6" xfId="36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57" applyFont="1" applyBorder="1" applyAlignment="1">
      <alignment horizontal="center" vertical="center"/>
    </xf>
    <xf numFmtId="0" fontId="4" fillId="0" borderId="10" xfId="56" applyFont="1" applyBorder="1" applyAlignment="1">
      <alignment horizontal="center" vertical="center"/>
    </xf>
    <xf numFmtId="0" fontId="4" fillId="0" borderId="3" xfId="56" applyFont="1" applyBorder="1" applyAlignment="1">
      <alignment horizontal="center" vertical="center"/>
    </xf>
    <xf numFmtId="0" fontId="4" fillId="0" borderId="8" xfId="56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5" xfId="39" applyFont="1" applyBorder="1" applyAlignment="1">
      <alignment horizontal="center" vertical="center"/>
    </xf>
    <xf numFmtId="0" fontId="4" fillId="0" borderId="1" xfId="39" applyFont="1" applyBorder="1" applyAlignment="1">
      <alignment horizontal="center" vertical="center"/>
    </xf>
    <xf numFmtId="0" fontId="4" fillId="0" borderId="6" xfId="39" applyFont="1" applyBorder="1" applyAlignment="1">
      <alignment horizontal="center" vertical="center"/>
    </xf>
    <xf numFmtId="0" fontId="4" fillId="0" borderId="4" xfId="40" applyFont="1" applyBorder="1" applyAlignment="1">
      <alignment horizontal="center" vertical="center"/>
    </xf>
    <xf numFmtId="0" fontId="4" fillId="0" borderId="1" xfId="40" applyFont="1" applyBorder="1" applyAlignment="1">
      <alignment horizontal="center" vertical="center"/>
    </xf>
    <xf numFmtId="0" fontId="4" fillId="0" borderId="2" xfId="40" applyFont="1" applyBorder="1" applyAlignment="1">
      <alignment horizontal="center" vertical="center"/>
    </xf>
    <xf numFmtId="0" fontId="4" fillId="0" borderId="10" xfId="40" applyFont="1" applyBorder="1" applyAlignment="1">
      <alignment horizontal="center" vertical="center"/>
    </xf>
    <xf numFmtId="0" fontId="4" fillId="0" borderId="3" xfId="40" applyFont="1" applyBorder="1" applyAlignment="1">
      <alignment horizontal="center" vertical="center"/>
    </xf>
    <xf numFmtId="0" fontId="4" fillId="0" borderId="8" xfId="40" applyFont="1" applyBorder="1" applyAlignment="1">
      <alignment horizontal="center" vertical="center"/>
    </xf>
    <xf numFmtId="0" fontId="4" fillId="0" borderId="4" xfId="39" applyFont="1" applyBorder="1" applyAlignment="1">
      <alignment horizontal="center" vertical="center"/>
    </xf>
    <xf numFmtId="0" fontId="4" fillId="0" borderId="2" xfId="39" applyFont="1" applyBorder="1" applyAlignment="1">
      <alignment horizontal="center" vertical="center"/>
    </xf>
    <xf numFmtId="0" fontId="4" fillId="0" borderId="5" xfId="40" applyFont="1" applyBorder="1" applyAlignment="1">
      <alignment horizontal="center" vertical="center"/>
    </xf>
    <xf numFmtId="0" fontId="4" fillId="0" borderId="6" xfId="4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5" xfId="36" applyFont="1" applyBorder="1" applyAlignment="1">
      <alignment horizontal="center" vertical="center"/>
    </xf>
    <xf numFmtId="0" fontId="3" fillId="0" borderId="1" xfId="36" applyFont="1" applyBorder="1" applyAlignment="1">
      <alignment horizontal="center" vertical="center"/>
    </xf>
    <xf numFmtId="0" fontId="3" fillId="0" borderId="5" xfId="30" applyFont="1" applyBorder="1" applyAlignment="1">
      <alignment horizontal="center" vertical="center"/>
    </xf>
    <xf numFmtId="0" fontId="3" fillId="0" borderId="1" xfId="30" applyFont="1" applyBorder="1" applyAlignment="1">
      <alignment horizontal="center" vertical="center"/>
    </xf>
    <xf numFmtId="0" fontId="3" fillId="0" borderId="1" xfId="18" applyFont="1" applyBorder="1" applyAlignment="1">
      <alignment horizontal="center" vertical="center"/>
    </xf>
    <xf numFmtId="0" fontId="3" fillId="0" borderId="6" xfId="18" applyFont="1" applyBorder="1" applyAlignment="1">
      <alignment horizontal="center" vertical="center"/>
    </xf>
    <xf numFmtId="0" fontId="3" fillId="0" borderId="4" xfId="23" applyFont="1" applyBorder="1" applyAlignment="1">
      <alignment horizontal="center" vertical="center"/>
    </xf>
    <xf numFmtId="0" fontId="3" fillId="0" borderId="1" xfId="23" applyFont="1" applyBorder="1" applyAlignment="1">
      <alignment horizontal="center" vertical="center"/>
    </xf>
    <xf numFmtId="0" fontId="3" fillId="0" borderId="6" xfId="36" applyFont="1" applyBorder="1" applyAlignment="1">
      <alignment horizontal="center" vertical="center"/>
    </xf>
    <xf numFmtId="0" fontId="3" fillId="0" borderId="6" xfId="30" applyFont="1" applyBorder="1" applyAlignment="1">
      <alignment horizontal="center" vertical="center"/>
    </xf>
    <xf numFmtId="0" fontId="3" fillId="0" borderId="5" xfId="18" applyFont="1" applyBorder="1" applyAlignment="1">
      <alignment horizontal="center" vertical="center"/>
    </xf>
    <xf numFmtId="0" fontId="3" fillId="0" borderId="2" xfId="23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63">
    <cellStyle name="Обычный" xfId="0" builtinId="0"/>
    <cellStyle name="Обычный 10" xfId="9" xr:uid="{00000000-0005-0000-0000-000001000000}"/>
    <cellStyle name="Обычный 11" xfId="10" xr:uid="{00000000-0005-0000-0000-000002000000}"/>
    <cellStyle name="Обычный 12" xfId="11" xr:uid="{00000000-0005-0000-0000-000003000000}"/>
    <cellStyle name="Обычный 13" xfId="12" xr:uid="{00000000-0005-0000-0000-000004000000}"/>
    <cellStyle name="Обычный 14" xfId="13" xr:uid="{00000000-0005-0000-0000-000005000000}"/>
    <cellStyle name="Обычный 15" xfId="14" xr:uid="{00000000-0005-0000-0000-000006000000}"/>
    <cellStyle name="Обычный 16" xfId="15" xr:uid="{00000000-0005-0000-0000-000007000000}"/>
    <cellStyle name="Обычный 17" xfId="16" xr:uid="{00000000-0005-0000-0000-000008000000}"/>
    <cellStyle name="Обычный 18" xfId="17" xr:uid="{00000000-0005-0000-0000-000009000000}"/>
    <cellStyle name="Обычный 19" xfId="18" xr:uid="{00000000-0005-0000-0000-00000A000000}"/>
    <cellStyle name="Обычный 2" xfId="1" xr:uid="{00000000-0005-0000-0000-00000B000000}"/>
    <cellStyle name="Обычный 20" xfId="19" xr:uid="{00000000-0005-0000-0000-00000C000000}"/>
    <cellStyle name="Обычный 21" xfId="20" xr:uid="{00000000-0005-0000-0000-00000D000000}"/>
    <cellStyle name="Обычный 22" xfId="21" xr:uid="{00000000-0005-0000-0000-00000E000000}"/>
    <cellStyle name="Обычный 23" xfId="22" xr:uid="{00000000-0005-0000-0000-00000F000000}"/>
    <cellStyle name="Обычный 24" xfId="23" xr:uid="{00000000-0005-0000-0000-000010000000}"/>
    <cellStyle name="Обычный 25" xfId="24" xr:uid="{00000000-0005-0000-0000-000011000000}"/>
    <cellStyle name="Обычный 26" xfId="25" xr:uid="{00000000-0005-0000-0000-000012000000}"/>
    <cellStyle name="Обычный 27" xfId="26" xr:uid="{00000000-0005-0000-0000-000013000000}"/>
    <cellStyle name="Обычный 28" xfId="27" xr:uid="{00000000-0005-0000-0000-000014000000}"/>
    <cellStyle name="Обычный 29" xfId="28" xr:uid="{00000000-0005-0000-0000-000015000000}"/>
    <cellStyle name="Обычный 3" xfId="2" xr:uid="{00000000-0005-0000-0000-000016000000}"/>
    <cellStyle name="Обычный 30" xfId="29" xr:uid="{00000000-0005-0000-0000-000017000000}"/>
    <cellStyle name="Обычный 31" xfId="30" xr:uid="{00000000-0005-0000-0000-000018000000}"/>
    <cellStyle name="Обычный 32" xfId="31" xr:uid="{00000000-0005-0000-0000-000019000000}"/>
    <cellStyle name="Обычный 33" xfId="32" xr:uid="{00000000-0005-0000-0000-00001A000000}"/>
    <cellStyle name="Обычный 34" xfId="33" xr:uid="{00000000-0005-0000-0000-00001B000000}"/>
    <cellStyle name="Обычный 35" xfId="34" xr:uid="{00000000-0005-0000-0000-00001C000000}"/>
    <cellStyle name="Обычный 36" xfId="35" xr:uid="{00000000-0005-0000-0000-00001D000000}"/>
    <cellStyle name="Обычный 37" xfId="36" xr:uid="{00000000-0005-0000-0000-00001E000000}"/>
    <cellStyle name="Обычный 38" xfId="37" xr:uid="{00000000-0005-0000-0000-00001F000000}"/>
    <cellStyle name="Обычный 39" xfId="38" xr:uid="{00000000-0005-0000-0000-000020000000}"/>
    <cellStyle name="Обычный 4" xfId="3" xr:uid="{00000000-0005-0000-0000-000021000000}"/>
    <cellStyle name="Обычный 40" xfId="39" xr:uid="{00000000-0005-0000-0000-000022000000}"/>
    <cellStyle name="Обычный 41" xfId="40" xr:uid="{00000000-0005-0000-0000-000023000000}"/>
    <cellStyle name="Обычный 42" xfId="41" xr:uid="{00000000-0005-0000-0000-000024000000}"/>
    <cellStyle name="Обычный 43" xfId="42" xr:uid="{00000000-0005-0000-0000-000025000000}"/>
    <cellStyle name="Обычный 44" xfId="43" xr:uid="{00000000-0005-0000-0000-000026000000}"/>
    <cellStyle name="Обычный 45" xfId="44" xr:uid="{00000000-0005-0000-0000-000027000000}"/>
    <cellStyle name="Обычный 46" xfId="45" xr:uid="{00000000-0005-0000-0000-000028000000}"/>
    <cellStyle name="Обычный 47" xfId="46" xr:uid="{00000000-0005-0000-0000-000029000000}"/>
    <cellStyle name="Обычный 48" xfId="47" xr:uid="{00000000-0005-0000-0000-00002A000000}"/>
    <cellStyle name="Обычный 49" xfId="48" xr:uid="{00000000-0005-0000-0000-00002B000000}"/>
    <cellStyle name="Обычный 5" xfId="4" xr:uid="{00000000-0005-0000-0000-00002C000000}"/>
    <cellStyle name="Обычный 50" xfId="49" xr:uid="{00000000-0005-0000-0000-00002D000000}"/>
    <cellStyle name="Обычный 51" xfId="50" xr:uid="{00000000-0005-0000-0000-00002E000000}"/>
    <cellStyle name="Обычный 52" xfId="51" xr:uid="{00000000-0005-0000-0000-00002F000000}"/>
    <cellStyle name="Обычный 53" xfId="52" xr:uid="{00000000-0005-0000-0000-000030000000}"/>
    <cellStyle name="Обычный 54" xfId="53" xr:uid="{00000000-0005-0000-0000-000031000000}"/>
    <cellStyle name="Обычный 55" xfId="54" xr:uid="{00000000-0005-0000-0000-000032000000}"/>
    <cellStyle name="Обычный 56" xfId="55" xr:uid="{00000000-0005-0000-0000-000033000000}"/>
    <cellStyle name="Обычный 57" xfId="56" xr:uid="{00000000-0005-0000-0000-000034000000}"/>
    <cellStyle name="Обычный 58" xfId="57" xr:uid="{00000000-0005-0000-0000-000035000000}"/>
    <cellStyle name="Обычный 59" xfId="58" xr:uid="{00000000-0005-0000-0000-000036000000}"/>
    <cellStyle name="Обычный 6" xfId="5" xr:uid="{00000000-0005-0000-0000-000037000000}"/>
    <cellStyle name="Обычный 60" xfId="59" xr:uid="{00000000-0005-0000-0000-000038000000}"/>
    <cellStyle name="Обычный 61" xfId="60" xr:uid="{00000000-0005-0000-0000-000039000000}"/>
    <cellStyle name="Обычный 62" xfId="61" xr:uid="{00000000-0005-0000-0000-00003A000000}"/>
    <cellStyle name="Обычный 63" xfId="62" xr:uid="{00000000-0005-0000-0000-00003B000000}"/>
    <cellStyle name="Обычный 7" xfId="6" xr:uid="{00000000-0005-0000-0000-00003C000000}"/>
    <cellStyle name="Обычный 8" xfId="7" xr:uid="{00000000-0005-0000-0000-00003D000000}"/>
    <cellStyle name="Обычный 9" xfId="8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3"/>
  <sheetViews>
    <sheetView topLeftCell="A2" workbookViewId="0">
      <selection activeCell="H21" sqref="H21"/>
    </sheetView>
  </sheetViews>
  <sheetFormatPr defaultRowHeight="15" x14ac:dyDescent="0.25"/>
  <cols>
    <col min="1" max="1" width="22.85546875" customWidth="1"/>
    <col min="3" max="3" width="10.140625" customWidth="1"/>
    <col min="8" max="8" width="35" style="282" customWidth="1"/>
  </cols>
  <sheetData>
    <row r="1" spans="1:9" ht="21" hidden="1" customHeight="1" x14ac:dyDescent="0.25"/>
    <row r="2" spans="1:9" ht="21" customHeight="1" x14ac:dyDescent="0.25">
      <c r="A2" s="303" t="s">
        <v>136</v>
      </c>
      <c r="B2" s="303"/>
      <c r="C2" s="303"/>
      <c r="D2" s="303"/>
      <c r="E2" s="162"/>
      <c r="F2" s="162"/>
      <c r="G2" s="162"/>
      <c r="I2" s="161"/>
    </row>
    <row r="3" spans="1:9" ht="43.5" thickBot="1" x14ac:dyDescent="0.3">
      <c r="A3" s="25" t="s">
        <v>16</v>
      </c>
      <c r="B3" s="25" t="s">
        <v>17</v>
      </c>
      <c r="C3" s="25" t="s">
        <v>101</v>
      </c>
      <c r="D3" s="25" t="s">
        <v>100</v>
      </c>
      <c r="E3" s="25" t="s">
        <v>106</v>
      </c>
      <c r="F3" s="25" t="s">
        <v>87</v>
      </c>
      <c r="G3" s="25" t="s">
        <v>88</v>
      </c>
      <c r="H3" s="283" t="s">
        <v>1096</v>
      </c>
      <c r="I3" s="25" t="s">
        <v>329</v>
      </c>
    </row>
    <row r="4" spans="1:9" ht="16.5" thickTop="1" thickBot="1" x14ac:dyDescent="0.3">
      <c r="A4" s="307" t="s">
        <v>4</v>
      </c>
      <c r="B4" s="151" t="s">
        <v>21</v>
      </c>
      <c r="C4" s="112">
        <v>1440</v>
      </c>
      <c r="D4" s="133">
        <v>590</v>
      </c>
      <c r="E4" s="112">
        <f>50+8</f>
        <v>58</v>
      </c>
      <c r="F4" s="112">
        <f>5+3+3</f>
        <v>11</v>
      </c>
      <c r="G4" s="263">
        <f>E4-F4</f>
        <v>47</v>
      </c>
      <c r="H4" s="284" t="s">
        <v>1885</v>
      </c>
      <c r="I4" s="302" t="s">
        <v>330</v>
      </c>
    </row>
    <row r="5" spans="1:9" ht="16.5" thickTop="1" thickBot="1" x14ac:dyDescent="0.3">
      <c r="A5" s="308"/>
      <c r="B5" s="152" t="s">
        <v>22</v>
      </c>
      <c r="C5" s="152">
        <v>1440</v>
      </c>
      <c r="D5" s="134">
        <v>701</v>
      </c>
      <c r="E5" s="152">
        <v>31</v>
      </c>
      <c r="F5" s="152">
        <f>4+1</f>
        <v>5</v>
      </c>
      <c r="G5" s="245">
        <f>E5-F5</f>
        <v>26</v>
      </c>
      <c r="H5" s="285" t="s">
        <v>1886</v>
      </c>
      <c r="I5" s="301"/>
    </row>
    <row r="6" spans="1:9" ht="16.5" thickTop="1" thickBot="1" x14ac:dyDescent="0.3">
      <c r="A6" s="308"/>
      <c r="B6" s="152" t="s">
        <v>18</v>
      </c>
      <c r="C6" s="152">
        <v>1440</v>
      </c>
      <c r="D6" s="134">
        <v>755</v>
      </c>
      <c r="E6" s="152">
        <v>18</v>
      </c>
      <c r="F6" s="152">
        <v>1</v>
      </c>
      <c r="G6" s="245">
        <f t="shared" ref="G6:G7" si="0">E6-F6</f>
        <v>17</v>
      </c>
      <c r="H6" s="285" t="s">
        <v>1887</v>
      </c>
      <c r="I6" s="301"/>
    </row>
    <row r="7" spans="1:9" ht="16.5" thickTop="1" thickBot="1" x14ac:dyDescent="0.3">
      <c r="A7" s="308"/>
      <c r="B7" s="154" t="s">
        <v>19</v>
      </c>
      <c r="C7" s="154">
        <v>1440</v>
      </c>
      <c r="D7" s="138">
        <v>866</v>
      </c>
      <c r="E7" s="154">
        <v>32</v>
      </c>
      <c r="F7" s="154">
        <f>1+1+1</f>
        <v>3</v>
      </c>
      <c r="G7" s="247">
        <f t="shared" si="0"/>
        <v>29</v>
      </c>
      <c r="H7" s="285" t="s">
        <v>1888</v>
      </c>
      <c r="I7" s="301"/>
    </row>
    <row r="8" spans="1:9" ht="16.5" thickTop="1" thickBot="1" x14ac:dyDescent="0.3">
      <c r="A8" s="308"/>
      <c r="B8" s="50" t="s">
        <v>0</v>
      </c>
      <c r="C8" s="50">
        <v>1440</v>
      </c>
      <c r="D8" s="134">
        <v>866.1875</v>
      </c>
      <c r="E8" s="114">
        <v>55</v>
      </c>
      <c r="F8" s="114">
        <f>1+1</f>
        <v>2</v>
      </c>
      <c r="G8" s="264">
        <f>E8-F8</f>
        <v>53</v>
      </c>
      <c r="H8" s="285" t="s">
        <v>1889</v>
      </c>
      <c r="I8" s="301"/>
    </row>
    <row r="9" spans="1:9" ht="16.5" thickTop="1" thickBot="1" x14ac:dyDescent="0.3">
      <c r="A9" s="308"/>
      <c r="B9" s="49" t="s">
        <v>1</v>
      </c>
      <c r="C9" s="49">
        <v>1440</v>
      </c>
      <c r="D9" s="134">
        <v>1417.6249999999998</v>
      </c>
      <c r="E9" s="114">
        <v>76</v>
      </c>
      <c r="F9" s="114">
        <v>1</v>
      </c>
      <c r="G9" s="264">
        <f t="shared" ref="G9:G11" si="1">E9-F9</f>
        <v>75</v>
      </c>
      <c r="H9" s="285" t="s">
        <v>1890</v>
      </c>
      <c r="I9" s="301"/>
    </row>
    <row r="10" spans="1:9" ht="16.5" thickTop="1" thickBot="1" x14ac:dyDescent="0.3">
      <c r="A10" s="308"/>
      <c r="B10" s="51" t="s">
        <v>2</v>
      </c>
      <c r="C10" s="51">
        <v>288</v>
      </c>
      <c r="D10" s="134">
        <v>866.1875</v>
      </c>
      <c r="E10" s="114">
        <v>58</v>
      </c>
      <c r="F10" s="114"/>
      <c r="G10" s="264">
        <f t="shared" si="1"/>
        <v>58</v>
      </c>
      <c r="H10" s="285" t="s">
        <v>1891</v>
      </c>
      <c r="I10" s="301"/>
    </row>
    <row r="11" spans="1:9" ht="16.5" thickTop="1" thickBot="1" x14ac:dyDescent="0.3">
      <c r="A11" s="309"/>
      <c r="B11" s="6" t="s">
        <v>5</v>
      </c>
      <c r="C11" s="6">
        <v>144</v>
      </c>
      <c r="D11" s="135">
        <v>1528.125</v>
      </c>
      <c r="E11" s="116">
        <v>60</v>
      </c>
      <c r="F11" s="116">
        <v>1</v>
      </c>
      <c r="G11" s="265">
        <f t="shared" si="1"/>
        <v>59</v>
      </c>
      <c r="H11" s="286" t="s">
        <v>1892</v>
      </c>
      <c r="I11" s="301"/>
    </row>
    <row r="12" spans="1:9" ht="17.25" customHeight="1" thickTop="1" thickBot="1" x14ac:dyDescent="0.3">
      <c r="A12" s="313" t="s">
        <v>572</v>
      </c>
      <c r="B12" s="151" t="s">
        <v>19</v>
      </c>
      <c r="C12" s="151">
        <v>1440</v>
      </c>
      <c r="D12" s="133">
        <v>857</v>
      </c>
      <c r="E12" s="151">
        <v>2</v>
      </c>
      <c r="F12" s="151"/>
      <c r="G12" s="243">
        <f>E12-F12</f>
        <v>2</v>
      </c>
      <c r="H12" s="284" t="s">
        <v>1893</v>
      </c>
      <c r="I12" s="301" t="s">
        <v>331</v>
      </c>
    </row>
    <row r="13" spans="1:9" ht="16.5" thickTop="1" thickBot="1" x14ac:dyDescent="0.3">
      <c r="A13" s="314"/>
      <c r="B13" s="152" t="s">
        <v>0</v>
      </c>
      <c r="C13" s="152">
        <v>1440</v>
      </c>
      <c r="D13" s="134">
        <v>845</v>
      </c>
      <c r="E13" s="152">
        <v>16</v>
      </c>
      <c r="F13" s="152"/>
      <c r="G13" s="245">
        <f t="shared" ref="G13:G56" si="2">E13-F13</f>
        <v>16</v>
      </c>
      <c r="H13" s="285" t="s">
        <v>1894</v>
      </c>
      <c r="I13" s="301"/>
    </row>
    <row r="14" spans="1:9" ht="16.5" thickTop="1" thickBot="1" x14ac:dyDescent="0.3">
      <c r="A14" s="314"/>
      <c r="B14" s="152" t="s">
        <v>1</v>
      </c>
      <c r="C14" s="152">
        <v>1440</v>
      </c>
      <c r="D14" s="134">
        <v>1113</v>
      </c>
      <c r="E14" s="152">
        <v>11</v>
      </c>
      <c r="F14" s="152"/>
      <c r="G14" s="245">
        <f t="shared" si="2"/>
        <v>11</v>
      </c>
      <c r="H14" s="285" t="s">
        <v>1895</v>
      </c>
      <c r="I14" s="301"/>
    </row>
    <row r="15" spans="1:9" ht="16.5" thickTop="1" thickBot="1" x14ac:dyDescent="0.3">
      <c r="A15" s="315"/>
      <c r="B15" s="126" t="s">
        <v>2</v>
      </c>
      <c r="C15" s="126">
        <v>288</v>
      </c>
      <c r="D15" s="135">
        <v>845</v>
      </c>
      <c r="E15" s="126">
        <v>4</v>
      </c>
      <c r="F15" s="126"/>
      <c r="G15" s="246">
        <f t="shared" si="2"/>
        <v>4</v>
      </c>
      <c r="H15" s="287" t="s">
        <v>1896</v>
      </c>
      <c r="I15" s="301"/>
    </row>
    <row r="16" spans="1:9" ht="16.5" thickTop="1" thickBot="1" x14ac:dyDescent="0.3">
      <c r="A16" s="307" t="s">
        <v>62</v>
      </c>
      <c r="B16" s="151" t="s">
        <v>21</v>
      </c>
      <c r="C16" s="151">
        <v>1440</v>
      </c>
      <c r="D16" s="133">
        <v>855</v>
      </c>
      <c r="E16" s="151">
        <v>110</v>
      </c>
      <c r="F16" s="151">
        <f>1+3+1+2</f>
        <v>7</v>
      </c>
      <c r="G16" s="243">
        <f t="shared" si="2"/>
        <v>103</v>
      </c>
      <c r="H16" s="284" t="s">
        <v>1897</v>
      </c>
      <c r="I16" s="301" t="s">
        <v>332</v>
      </c>
    </row>
    <row r="17" spans="1:9" ht="16.5" thickTop="1" thickBot="1" x14ac:dyDescent="0.3">
      <c r="A17" s="308"/>
      <c r="B17" s="152" t="s">
        <v>22</v>
      </c>
      <c r="C17" s="152">
        <v>1440</v>
      </c>
      <c r="D17" s="134">
        <v>1076</v>
      </c>
      <c r="E17" s="152">
        <v>117</v>
      </c>
      <c r="F17" s="152">
        <f>1+1</f>
        <v>2</v>
      </c>
      <c r="G17" s="245">
        <f t="shared" si="2"/>
        <v>115</v>
      </c>
      <c r="H17" s="285" t="s">
        <v>1898</v>
      </c>
      <c r="I17" s="301"/>
    </row>
    <row r="18" spans="1:9" ht="16.5" thickTop="1" thickBot="1" x14ac:dyDescent="0.3">
      <c r="A18" s="308"/>
      <c r="B18" s="152" t="s">
        <v>18</v>
      </c>
      <c r="C18" s="152">
        <v>1440</v>
      </c>
      <c r="D18" s="134">
        <v>1076</v>
      </c>
      <c r="E18" s="152">
        <v>105</v>
      </c>
      <c r="F18" s="152">
        <f>1+1+1</f>
        <v>3</v>
      </c>
      <c r="G18" s="245">
        <f t="shared" si="2"/>
        <v>102</v>
      </c>
      <c r="H18" s="285" t="s">
        <v>1899</v>
      </c>
      <c r="I18" s="301"/>
    </row>
    <row r="19" spans="1:9" ht="16.5" thickTop="1" thickBot="1" x14ac:dyDescent="0.3">
      <c r="A19" s="308"/>
      <c r="B19" s="83" t="s">
        <v>19</v>
      </c>
      <c r="C19" s="152">
        <v>1440</v>
      </c>
      <c r="D19" s="134">
        <v>1296</v>
      </c>
      <c r="E19" s="152">
        <v>204</v>
      </c>
      <c r="F19" s="152">
        <f>1+1+1</f>
        <v>3</v>
      </c>
      <c r="G19" s="245">
        <f t="shared" si="2"/>
        <v>201</v>
      </c>
      <c r="H19" s="285" t="s">
        <v>1900</v>
      </c>
      <c r="I19" s="301"/>
    </row>
    <row r="20" spans="1:9" ht="16.5" thickTop="1" thickBot="1" x14ac:dyDescent="0.3">
      <c r="A20" s="308"/>
      <c r="B20" s="83" t="s">
        <v>0</v>
      </c>
      <c r="C20" s="152">
        <v>1440</v>
      </c>
      <c r="D20" s="134">
        <v>1241</v>
      </c>
      <c r="E20" s="152">
        <v>196</v>
      </c>
      <c r="F20" s="152">
        <f>1+1+1+1+1+1</f>
        <v>6</v>
      </c>
      <c r="G20" s="245">
        <f t="shared" si="2"/>
        <v>190</v>
      </c>
      <c r="H20" s="285" t="s">
        <v>1901</v>
      </c>
      <c r="I20" s="301"/>
    </row>
    <row r="21" spans="1:9" ht="16.5" thickTop="1" thickBot="1" x14ac:dyDescent="0.3">
      <c r="A21" s="308"/>
      <c r="B21" s="83" t="s">
        <v>1</v>
      </c>
      <c r="C21" s="152">
        <v>1440</v>
      </c>
      <c r="D21" s="134">
        <v>1793</v>
      </c>
      <c r="E21" s="152">
        <v>197</v>
      </c>
      <c r="F21" s="152">
        <f>1+1+1+1+1+1</f>
        <v>6</v>
      </c>
      <c r="G21" s="245">
        <f t="shared" si="2"/>
        <v>191</v>
      </c>
      <c r="H21" s="285" t="s">
        <v>1902</v>
      </c>
      <c r="I21" s="301"/>
    </row>
    <row r="22" spans="1:9" ht="16.5" thickTop="1" thickBot="1" x14ac:dyDescent="0.3">
      <c r="A22" s="308"/>
      <c r="B22" s="83" t="s">
        <v>2</v>
      </c>
      <c r="C22" s="152">
        <v>288</v>
      </c>
      <c r="D22" s="134">
        <v>1241</v>
      </c>
      <c r="E22" s="152">
        <v>174</v>
      </c>
      <c r="F22" s="152">
        <f>5+1+1</f>
        <v>7</v>
      </c>
      <c r="G22" s="245">
        <f t="shared" si="2"/>
        <v>167</v>
      </c>
      <c r="H22" s="285" t="s">
        <v>1903</v>
      </c>
      <c r="I22" s="301"/>
    </row>
    <row r="23" spans="1:9" ht="16.5" thickTop="1" thickBot="1" x14ac:dyDescent="0.3">
      <c r="A23" s="308"/>
      <c r="B23" s="83" t="s">
        <v>5</v>
      </c>
      <c r="C23" s="152">
        <v>144</v>
      </c>
      <c r="D23" s="134">
        <v>1572</v>
      </c>
      <c r="E23" s="152">
        <v>128</v>
      </c>
      <c r="F23" s="152"/>
      <c r="G23" s="245">
        <f t="shared" si="2"/>
        <v>128</v>
      </c>
      <c r="H23" s="285" t="s">
        <v>1904</v>
      </c>
      <c r="I23" s="301"/>
    </row>
    <row r="24" spans="1:9" ht="16.5" thickTop="1" thickBot="1" x14ac:dyDescent="0.3">
      <c r="A24" s="309"/>
      <c r="B24" s="46" t="s">
        <v>20</v>
      </c>
      <c r="C24" s="126">
        <v>144</v>
      </c>
      <c r="D24" s="135">
        <v>1572</v>
      </c>
      <c r="E24" s="126">
        <v>97</v>
      </c>
      <c r="F24" s="126">
        <v>5</v>
      </c>
      <c r="G24" s="246">
        <f t="shared" si="2"/>
        <v>92</v>
      </c>
      <c r="H24" s="287" t="s">
        <v>1905</v>
      </c>
      <c r="I24" s="301"/>
    </row>
    <row r="25" spans="1:9" ht="16.5" thickTop="1" thickBot="1" x14ac:dyDescent="0.3">
      <c r="A25" s="310" t="s">
        <v>609</v>
      </c>
      <c r="B25" s="151" t="s">
        <v>0</v>
      </c>
      <c r="C25" s="151">
        <v>1440</v>
      </c>
      <c r="D25" s="133">
        <v>1113.75</v>
      </c>
      <c r="E25" s="151">
        <v>59</v>
      </c>
      <c r="F25" s="151">
        <v>2</v>
      </c>
      <c r="G25" s="243">
        <f t="shared" si="2"/>
        <v>57</v>
      </c>
      <c r="H25" s="284" t="s">
        <v>1906</v>
      </c>
      <c r="I25" s="301" t="s">
        <v>333</v>
      </c>
    </row>
    <row r="26" spans="1:9" ht="16.5" thickTop="1" thickBot="1" x14ac:dyDescent="0.3">
      <c r="A26" s="311"/>
      <c r="B26" s="152" t="s">
        <v>1</v>
      </c>
      <c r="C26" s="152">
        <v>1440</v>
      </c>
      <c r="D26" s="134">
        <v>1638.625</v>
      </c>
      <c r="E26" s="152">
        <v>59</v>
      </c>
      <c r="F26" s="152"/>
      <c r="G26" s="245">
        <f t="shared" si="2"/>
        <v>59</v>
      </c>
      <c r="H26" s="285" t="s">
        <v>1907</v>
      </c>
      <c r="I26" s="301"/>
    </row>
    <row r="27" spans="1:9" ht="16.5" thickTop="1" thickBot="1" x14ac:dyDescent="0.3">
      <c r="A27" s="312"/>
      <c r="B27" s="126" t="s">
        <v>2</v>
      </c>
      <c r="C27" s="126">
        <v>288</v>
      </c>
      <c r="D27" s="135">
        <v>1113.75</v>
      </c>
      <c r="E27" s="126">
        <v>60</v>
      </c>
      <c r="F27" s="126"/>
      <c r="G27" s="246">
        <f t="shared" si="2"/>
        <v>60</v>
      </c>
      <c r="H27" s="287" t="s">
        <v>1908</v>
      </c>
      <c r="I27" s="301"/>
    </row>
    <row r="28" spans="1:9" ht="16.5" thickTop="1" thickBot="1" x14ac:dyDescent="0.3">
      <c r="A28" s="304" t="s">
        <v>1208</v>
      </c>
      <c r="B28" s="151" t="s">
        <v>0</v>
      </c>
      <c r="C28" s="151">
        <v>1440</v>
      </c>
      <c r="D28" s="133">
        <v>1169</v>
      </c>
      <c r="E28" s="151">
        <v>20</v>
      </c>
      <c r="F28" s="151"/>
      <c r="G28" s="243">
        <f t="shared" si="2"/>
        <v>20</v>
      </c>
      <c r="H28" s="284" t="s">
        <v>1909</v>
      </c>
      <c r="I28" s="301" t="s">
        <v>341</v>
      </c>
    </row>
    <row r="29" spans="1:9" ht="16.5" thickTop="1" thickBot="1" x14ac:dyDescent="0.3">
      <c r="A29" s="305"/>
      <c r="B29" s="152" t="s">
        <v>1</v>
      </c>
      <c r="C29" s="152">
        <v>1440</v>
      </c>
      <c r="D29" s="134">
        <v>1749</v>
      </c>
      <c r="E29" s="152">
        <v>20</v>
      </c>
      <c r="F29" s="152"/>
      <c r="G29" s="245">
        <f t="shared" si="2"/>
        <v>20</v>
      </c>
      <c r="H29" s="285" t="s">
        <v>1910</v>
      </c>
      <c r="I29" s="301"/>
    </row>
    <row r="30" spans="1:9" ht="16.5" thickTop="1" thickBot="1" x14ac:dyDescent="0.3">
      <c r="A30" s="306"/>
      <c r="B30" s="126" t="s">
        <v>2</v>
      </c>
      <c r="C30" s="126">
        <v>288</v>
      </c>
      <c r="D30" s="135">
        <v>1169</v>
      </c>
      <c r="E30" s="126">
        <v>20</v>
      </c>
      <c r="F30" s="126"/>
      <c r="G30" s="246">
        <f t="shared" si="2"/>
        <v>20</v>
      </c>
      <c r="H30" s="287" t="s">
        <v>1911</v>
      </c>
      <c r="I30" s="301"/>
    </row>
    <row r="31" spans="1:9" ht="16.5" thickTop="1" thickBot="1" x14ac:dyDescent="0.3">
      <c r="A31" s="304" t="s">
        <v>1213</v>
      </c>
      <c r="B31" s="163" t="s">
        <v>0</v>
      </c>
      <c r="C31" s="163">
        <v>1440</v>
      </c>
      <c r="D31" s="133">
        <v>1169</v>
      </c>
      <c r="E31" s="151">
        <v>20</v>
      </c>
      <c r="F31" s="151">
        <f>2+2</f>
        <v>4</v>
      </c>
      <c r="G31" s="243">
        <f t="shared" si="2"/>
        <v>16</v>
      </c>
      <c r="H31" s="284" t="s">
        <v>1912</v>
      </c>
      <c r="I31" s="301" t="s">
        <v>343</v>
      </c>
    </row>
    <row r="32" spans="1:9" ht="16.5" thickTop="1" thickBot="1" x14ac:dyDescent="0.3">
      <c r="A32" s="305"/>
      <c r="B32" s="61" t="s">
        <v>1</v>
      </c>
      <c r="C32" s="61">
        <v>1440</v>
      </c>
      <c r="D32" s="134">
        <v>1749.125</v>
      </c>
      <c r="E32" s="152">
        <v>20</v>
      </c>
      <c r="F32" s="152">
        <v>2</v>
      </c>
      <c r="G32" s="245">
        <f t="shared" si="2"/>
        <v>18</v>
      </c>
      <c r="H32" s="285" t="s">
        <v>1913</v>
      </c>
      <c r="I32" s="301"/>
    </row>
    <row r="33" spans="1:9" ht="16.5" thickTop="1" thickBot="1" x14ac:dyDescent="0.3">
      <c r="A33" s="306"/>
      <c r="B33" s="164" t="s">
        <v>2</v>
      </c>
      <c r="C33" s="164">
        <v>288</v>
      </c>
      <c r="D33" s="135">
        <v>1169</v>
      </c>
      <c r="E33" s="126">
        <v>20</v>
      </c>
      <c r="F33" s="126">
        <v>2</v>
      </c>
      <c r="G33" s="246">
        <f t="shared" si="2"/>
        <v>18</v>
      </c>
      <c r="H33" s="287" t="s">
        <v>1914</v>
      </c>
      <c r="I33" s="301"/>
    </row>
    <row r="34" spans="1:9" ht="16.5" thickTop="1" thickBot="1" x14ac:dyDescent="0.3">
      <c r="A34" s="148" t="s">
        <v>76</v>
      </c>
      <c r="B34" s="152" t="s">
        <v>1</v>
      </c>
      <c r="C34" s="152">
        <v>1440</v>
      </c>
      <c r="D34" s="134">
        <v>1749.125</v>
      </c>
      <c r="E34" s="152">
        <v>5</v>
      </c>
      <c r="F34" s="152">
        <f>1+2</f>
        <v>3</v>
      </c>
      <c r="G34" s="245">
        <f t="shared" si="2"/>
        <v>2</v>
      </c>
      <c r="H34" s="288" t="s">
        <v>1915</v>
      </c>
      <c r="I34" s="250" t="s">
        <v>344</v>
      </c>
    </row>
    <row r="35" spans="1:9" ht="16.5" thickTop="1" thickBot="1" x14ac:dyDescent="0.3">
      <c r="A35" s="304" t="s">
        <v>9</v>
      </c>
      <c r="B35" s="165" t="s">
        <v>0</v>
      </c>
      <c r="C35" s="165">
        <v>1440</v>
      </c>
      <c r="D35" s="133">
        <v>1169</v>
      </c>
      <c r="E35" s="151">
        <v>20</v>
      </c>
      <c r="F35" s="151">
        <v>2</v>
      </c>
      <c r="G35" s="243">
        <f t="shared" si="2"/>
        <v>18</v>
      </c>
      <c r="H35" s="284" t="s">
        <v>1916</v>
      </c>
      <c r="I35" s="301" t="s">
        <v>346</v>
      </c>
    </row>
    <row r="36" spans="1:9" ht="16.5" thickTop="1" thickBot="1" x14ac:dyDescent="0.3">
      <c r="A36" s="305"/>
      <c r="B36" s="66" t="s">
        <v>1</v>
      </c>
      <c r="C36" s="66">
        <v>1440</v>
      </c>
      <c r="D36" s="134">
        <v>1749.125</v>
      </c>
      <c r="E36" s="152">
        <v>20</v>
      </c>
      <c r="F36" s="152">
        <v>2</v>
      </c>
      <c r="G36" s="245">
        <f t="shared" si="2"/>
        <v>18</v>
      </c>
      <c r="H36" s="285" t="s">
        <v>1917</v>
      </c>
      <c r="I36" s="301"/>
    </row>
    <row r="37" spans="1:9" ht="16.5" thickTop="1" thickBot="1" x14ac:dyDescent="0.3">
      <c r="A37" s="306"/>
      <c r="B37" s="23" t="s">
        <v>2</v>
      </c>
      <c r="C37" s="23">
        <v>288</v>
      </c>
      <c r="D37" s="135">
        <v>1169</v>
      </c>
      <c r="E37" s="126">
        <v>20</v>
      </c>
      <c r="F37" s="126">
        <v>2</v>
      </c>
      <c r="G37" s="246">
        <f t="shared" si="2"/>
        <v>18</v>
      </c>
      <c r="H37" s="287" t="s">
        <v>1918</v>
      </c>
      <c r="I37" s="301"/>
    </row>
    <row r="38" spans="1:9" ht="16.5" thickTop="1" thickBot="1" x14ac:dyDescent="0.3">
      <c r="A38" s="304" t="s">
        <v>8</v>
      </c>
      <c r="B38" s="14" t="s">
        <v>0</v>
      </c>
      <c r="C38" s="14">
        <v>1440</v>
      </c>
      <c r="D38" s="133">
        <v>1169</v>
      </c>
      <c r="E38" s="151">
        <v>20</v>
      </c>
      <c r="F38" s="151"/>
      <c r="G38" s="243">
        <f t="shared" si="2"/>
        <v>20</v>
      </c>
      <c r="H38" s="284" t="s">
        <v>1919</v>
      </c>
      <c r="I38" s="301" t="s">
        <v>345</v>
      </c>
    </row>
    <row r="39" spans="1:9" ht="16.5" thickTop="1" thickBot="1" x14ac:dyDescent="0.3">
      <c r="A39" s="305"/>
      <c r="B39" s="65" t="s">
        <v>1</v>
      </c>
      <c r="C39" s="65">
        <v>1440</v>
      </c>
      <c r="D39" s="134">
        <v>1749.125</v>
      </c>
      <c r="E39" s="152">
        <v>20</v>
      </c>
      <c r="F39" s="152"/>
      <c r="G39" s="245">
        <f t="shared" si="2"/>
        <v>20</v>
      </c>
      <c r="H39" s="285" t="s">
        <v>1920</v>
      </c>
      <c r="I39" s="301"/>
    </row>
    <row r="40" spans="1:9" ht="16.5" thickTop="1" thickBot="1" x14ac:dyDescent="0.3">
      <c r="A40" s="306"/>
      <c r="B40" s="15" t="s">
        <v>2</v>
      </c>
      <c r="C40" s="15">
        <v>288</v>
      </c>
      <c r="D40" s="135">
        <v>1169</v>
      </c>
      <c r="E40" s="126">
        <v>20</v>
      </c>
      <c r="F40" s="126"/>
      <c r="G40" s="246">
        <f t="shared" si="2"/>
        <v>20</v>
      </c>
      <c r="H40" s="287" t="s">
        <v>1921</v>
      </c>
      <c r="I40" s="301"/>
    </row>
    <row r="41" spans="1:9" ht="16.5" thickTop="1" thickBot="1" x14ac:dyDescent="0.3">
      <c r="A41" s="304" t="s">
        <v>10</v>
      </c>
      <c r="B41" s="151" t="s">
        <v>0</v>
      </c>
      <c r="C41" s="151">
        <v>1440</v>
      </c>
      <c r="D41" s="133">
        <v>1169</v>
      </c>
      <c r="E41" s="151">
        <v>20</v>
      </c>
      <c r="F41" s="151"/>
      <c r="G41" s="243">
        <f t="shared" si="2"/>
        <v>20</v>
      </c>
      <c r="H41" s="284" t="s">
        <v>1922</v>
      </c>
      <c r="I41" s="301" t="s">
        <v>347</v>
      </c>
    </row>
    <row r="42" spans="1:9" ht="16.5" thickTop="1" thickBot="1" x14ac:dyDescent="0.3">
      <c r="A42" s="305"/>
      <c r="B42" s="152" t="s">
        <v>1</v>
      </c>
      <c r="C42" s="152">
        <v>1440</v>
      </c>
      <c r="D42" s="134">
        <v>1749.125</v>
      </c>
      <c r="E42" s="152">
        <v>20</v>
      </c>
      <c r="F42" s="152"/>
      <c r="G42" s="245">
        <f t="shared" si="2"/>
        <v>20</v>
      </c>
      <c r="H42" s="285" t="s">
        <v>1923</v>
      </c>
      <c r="I42" s="301"/>
    </row>
    <row r="43" spans="1:9" ht="16.5" thickTop="1" thickBot="1" x14ac:dyDescent="0.3">
      <c r="A43" s="306"/>
      <c r="B43" s="126" t="s">
        <v>2</v>
      </c>
      <c r="C43" s="126">
        <v>288</v>
      </c>
      <c r="D43" s="135">
        <v>1169</v>
      </c>
      <c r="E43" s="126">
        <v>20</v>
      </c>
      <c r="F43" s="126"/>
      <c r="G43" s="246">
        <f t="shared" si="2"/>
        <v>20</v>
      </c>
      <c r="H43" s="287" t="s">
        <v>1924</v>
      </c>
      <c r="I43" s="301"/>
    </row>
    <row r="44" spans="1:9" ht="16.5" thickTop="1" thickBot="1" x14ac:dyDescent="0.3">
      <c r="A44" s="310" t="s">
        <v>7</v>
      </c>
      <c r="B44" s="151" t="s">
        <v>0</v>
      </c>
      <c r="C44" s="151">
        <v>1440</v>
      </c>
      <c r="D44" s="133">
        <v>1169</v>
      </c>
      <c r="E44" s="151">
        <v>20</v>
      </c>
      <c r="F44" s="151">
        <f>2+2</f>
        <v>4</v>
      </c>
      <c r="G44" s="243">
        <f t="shared" si="2"/>
        <v>16</v>
      </c>
      <c r="H44" s="284" t="s">
        <v>1925</v>
      </c>
      <c r="I44" s="301" t="s">
        <v>349</v>
      </c>
    </row>
    <row r="45" spans="1:9" ht="16.5" thickTop="1" thickBot="1" x14ac:dyDescent="0.3">
      <c r="A45" s="311"/>
      <c r="B45" s="152" t="s">
        <v>1</v>
      </c>
      <c r="C45" s="152">
        <v>1440</v>
      </c>
      <c r="D45" s="134">
        <v>1749.125</v>
      </c>
      <c r="E45" s="152">
        <v>20</v>
      </c>
      <c r="F45" s="152">
        <v>2</v>
      </c>
      <c r="G45" s="245">
        <f t="shared" si="2"/>
        <v>18</v>
      </c>
      <c r="H45" s="285" t="s">
        <v>1926</v>
      </c>
      <c r="I45" s="301"/>
    </row>
    <row r="46" spans="1:9" ht="17.25" customHeight="1" thickTop="1" thickBot="1" x14ac:dyDescent="0.3">
      <c r="A46" s="312"/>
      <c r="B46" s="126" t="s">
        <v>2</v>
      </c>
      <c r="C46" s="126">
        <v>288</v>
      </c>
      <c r="D46" s="135">
        <v>1169</v>
      </c>
      <c r="E46" s="126">
        <v>20</v>
      </c>
      <c r="F46" s="126">
        <v>2</v>
      </c>
      <c r="G46" s="246">
        <f t="shared" si="2"/>
        <v>18</v>
      </c>
      <c r="H46" s="287" t="s">
        <v>1927</v>
      </c>
      <c r="I46" s="301"/>
    </row>
    <row r="47" spans="1:9" ht="16.5" thickTop="1" thickBot="1" x14ac:dyDescent="0.3">
      <c r="A47" s="310" t="s">
        <v>580</v>
      </c>
      <c r="B47" s="151" t="s">
        <v>0</v>
      </c>
      <c r="C47" s="151">
        <v>1440</v>
      </c>
      <c r="D47" s="133">
        <v>1169</v>
      </c>
      <c r="E47" s="151">
        <v>20</v>
      </c>
      <c r="F47" s="151"/>
      <c r="G47" s="242">
        <f t="shared" si="2"/>
        <v>20</v>
      </c>
      <c r="H47" s="284" t="s">
        <v>1928</v>
      </c>
      <c r="I47" s="301" t="s">
        <v>354</v>
      </c>
    </row>
    <row r="48" spans="1:9" ht="16.5" thickTop="1" thickBot="1" x14ac:dyDescent="0.3">
      <c r="A48" s="311"/>
      <c r="B48" s="152" t="s">
        <v>1</v>
      </c>
      <c r="C48" s="152">
        <v>1440</v>
      </c>
      <c r="D48" s="134">
        <v>1749</v>
      </c>
      <c r="E48" s="152">
        <v>20</v>
      </c>
      <c r="F48" s="152"/>
      <c r="G48" s="247">
        <f t="shared" si="2"/>
        <v>20</v>
      </c>
      <c r="H48" s="285" t="s">
        <v>1929</v>
      </c>
      <c r="I48" s="301"/>
    </row>
    <row r="49" spans="1:9" ht="16.5" thickTop="1" thickBot="1" x14ac:dyDescent="0.3">
      <c r="A49" s="312"/>
      <c r="B49" s="126" t="s">
        <v>2</v>
      </c>
      <c r="C49" s="126">
        <v>288</v>
      </c>
      <c r="D49" s="135">
        <v>1169</v>
      </c>
      <c r="E49" s="126">
        <v>20</v>
      </c>
      <c r="F49" s="126"/>
      <c r="G49" s="247">
        <f t="shared" si="2"/>
        <v>20</v>
      </c>
      <c r="H49" s="287" t="s">
        <v>1930</v>
      </c>
      <c r="I49" s="301"/>
    </row>
    <row r="50" spans="1:9" ht="16.5" thickTop="1" thickBot="1" x14ac:dyDescent="0.3">
      <c r="A50" s="152" t="s">
        <v>11</v>
      </c>
      <c r="B50" s="158" t="s">
        <v>1</v>
      </c>
      <c r="C50" s="158">
        <v>1440</v>
      </c>
      <c r="D50" s="134">
        <v>1749.125</v>
      </c>
      <c r="E50" s="152">
        <v>20</v>
      </c>
      <c r="F50" s="152"/>
      <c r="G50" s="256">
        <f t="shared" si="2"/>
        <v>20</v>
      </c>
      <c r="H50" s="288" t="s">
        <v>1931</v>
      </c>
      <c r="I50" s="250" t="s">
        <v>356</v>
      </c>
    </row>
    <row r="51" spans="1:9" ht="16.5" thickTop="1" thickBot="1" x14ac:dyDescent="0.3">
      <c r="A51" s="304" t="s">
        <v>128</v>
      </c>
      <c r="B51" s="151" t="s">
        <v>0</v>
      </c>
      <c r="C51" s="151">
        <v>1440</v>
      </c>
      <c r="D51" s="133">
        <v>1224</v>
      </c>
      <c r="E51" s="151">
        <v>20</v>
      </c>
      <c r="F51" s="151"/>
      <c r="G51" s="243">
        <f t="shared" si="2"/>
        <v>20</v>
      </c>
      <c r="H51" s="284" t="s">
        <v>1932</v>
      </c>
      <c r="I51" s="301" t="s">
        <v>363</v>
      </c>
    </row>
    <row r="52" spans="1:9" ht="16.5" thickTop="1" thickBot="1" x14ac:dyDescent="0.3">
      <c r="A52" s="305"/>
      <c r="B52" s="152" t="s">
        <v>1</v>
      </c>
      <c r="C52" s="152">
        <v>1440</v>
      </c>
      <c r="D52" s="134">
        <v>1803</v>
      </c>
      <c r="E52" s="152">
        <v>20</v>
      </c>
      <c r="F52" s="152"/>
      <c r="G52" s="245">
        <f>E52-F52</f>
        <v>20</v>
      </c>
      <c r="H52" s="285" t="s">
        <v>1933</v>
      </c>
      <c r="I52" s="301"/>
    </row>
    <row r="53" spans="1:9" ht="16.5" thickTop="1" thickBot="1" x14ac:dyDescent="0.3">
      <c r="A53" s="306"/>
      <c r="B53" s="126" t="s">
        <v>2</v>
      </c>
      <c r="C53" s="126">
        <v>288</v>
      </c>
      <c r="D53" s="135">
        <v>1224</v>
      </c>
      <c r="E53" s="126">
        <v>20</v>
      </c>
      <c r="F53" s="126"/>
      <c r="G53" s="245">
        <f>E53-F53</f>
        <v>20</v>
      </c>
      <c r="H53" s="287" t="s">
        <v>1934</v>
      </c>
      <c r="I53" s="301"/>
    </row>
    <row r="54" spans="1:9" ht="16.5" thickTop="1" thickBot="1" x14ac:dyDescent="0.3">
      <c r="A54" s="310" t="s">
        <v>582</v>
      </c>
      <c r="B54" s="151" t="s">
        <v>0</v>
      </c>
      <c r="C54" s="151">
        <v>1440</v>
      </c>
      <c r="D54" s="133">
        <v>1224.25</v>
      </c>
      <c r="E54" s="151">
        <v>39</v>
      </c>
      <c r="F54" s="32">
        <v>2</v>
      </c>
      <c r="G54" s="243">
        <f t="shared" si="2"/>
        <v>37</v>
      </c>
      <c r="H54" s="284" t="s">
        <v>1935</v>
      </c>
      <c r="I54" s="301" t="s">
        <v>360</v>
      </c>
    </row>
    <row r="55" spans="1:9" ht="16.5" thickTop="1" thickBot="1" x14ac:dyDescent="0.3">
      <c r="A55" s="305"/>
      <c r="B55" s="154" t="s">
        <v>1</v>
      </c>
      <c r="C55" s="154">
        <v>1440</v>
      </c>
      <c r="D55" s="138">
        <v>1803.3125</v>
      </c>
      <c r="E55" s="154">
        <v>39</v>
      </c>
      <c r="F55" s="84"/>
      <c r="G55" s="247">
        <f t="shared" ref="G55" si="3">E55-F55</f>
        <v>39</v>
      </c>
      <c r="H55" s="285" t="s">
        <v>1936</v>
      </c>
      <c r="I55" s="301"/>
    </row>
    <row r="56" spans="1:9" ht="16.5" thickTop="1" thickBot="1" x14ac:dyDescent="0.3">
      <c r="A56" s="312"/>
      <c r="B56" s="126" t="s">
        <v>2</v>
      </c>
      <c r="C56" s="126">
        <v>288</v>
      </c>
      <c r="D56" s="135">
        <v>1224</v>
      </c>
      <c r="E56" s="126">
        <v>40</v>
      </c>
      <c r="F56" s="33"/>
      <c r="G56" s="246">
        <f t="shared" si="2"/>
        <v>40</v>
      </c>
      <c r="H56" s="287" t="s">
        <v>1937</v>
      </c>
      <c r="I56" s="301"/>
    </row>
    <row r="57" spans="1:9" ht="16.5" thickTop="1" thickBot="1" x14ac:dyDescent="0.3">
      <c r="A57" s="304" t="s">
        <v>146</v>
      </c>
      <c r="B57" s="166" t="s">
        <v>0</v>
      </c>
      <c r="C57" s="166">
        <v>1440</v>
      </c>
      <c r="D57" s="133">
        <v>1224.25</v>
      </c>
      <c r="E57" s="151">
        <v>20</v>
      </c>
      <c r="F57" s="32">
        <v>2</v>
      </c>
      <c r="G57" s="243">
        <f>E57-F57</f>
        <v>18</v>
      </c>
      <c r="H57" s="284" t="s">
        <v>1938</v>
      </c>
      <c r="I57" s="301" t="s">
        <v>361</v>
      </c>
    </row>
    <row r="58" spans="1:9" ht="16.5" thickTop="1" thickBot="1" x14ac:dyDescent="0.3">
      <c r="A58" s="305"/>
      <c r="B58" s="78" t="s">
        <v>1</v>
      </c>
      <c r="C58" s="78">
        <v>1440</v>
      </c>
      <c r="D58" s="134">
        <v>1803.3125</v>
      </c>
      <c r="E58" s="152">
        <v>20</v>
      </c>
      <c r="F58" s="34"/>
      <c r="G58" s="245">
        <f t="shared" ref="G58:G62" si="4">E58-F58</f>
        <v>20</v>
      </c>
      <c r="H58" s="285" t="s">
        <v>1939</v>
      </c>
      <c r="I58" s="301"/>
    </row>
    <row r="59" spans="1:9" ht="16.5" thickTop="1" thickBot="1" x14ac:dyDescent="0.3">
      <c r="A59" s="306"/>
      <c r="B59" s="82" t="s">
        <v>2</v>
      </c>
      <c r="C59" s="82">
        <v>288</v>
      </c>
      <c r="D59" s="135">
        <v>1224.25</v>
      </c>
      <c r="E59" s="126">
        <v>20</v>
      </c>
      <c r="F59" s="33"/>
      <c r="G59" s="246">
        <f t="shared" si="4"/>
        <v>20</v>
      </c>
      <c r="H59" s="287" t="s">
        <v>1940</v>
      </c>
      <c r="I59" s="301"/>
    </row>
    <row r="60" spans="1:9" ht="16.5" thickTop="1" thickBot="1" x14ac:dyDescent="0.3">
      <c r="A60" s="311" t="s">
        <v>3</v>
      </c>
      <c r="B60" s="152" t="s">
        <v>1</v>
      </c>
      <c r="C60" s="152">
        <v>1440</v>
      </c>
      <c r="D60" s="134">
        <v>1803.3125</v>
      </c>
      <c r="E60" s="152">
        <v>20</v>
      </c>
      <c r="F60" s="34"/>
      <c r="G60" s="245">
        <f t="shared" si="4"/>
        <v>20</v>
      </c>
      <c r="H60" s="284" t="s">
        <v>1941</v>
      </c>
      <c r="I60" s="301" t="s">
        <v>362</v>
      </c>
    </row>
    <row r="61" spans="1:9" ht="16.5" thickTop="1" thickBot="1" x14ac:dyDescent="0.3">
      <c r="A61" s="312"/>
      <c r="B61" s="126" t="s">
        <v>2</v>
      </c>
      <c r="C61" s="126">
        <v>288</v>
      </c>
      <c r="D61" s="135">
        <v>1224.25</v>
      </c>
      <c r="E61" s="126">
        <v>20</v>
      </c>
      <c r="F61" s="33"/>
      <c r="G61" s="246">
        <f t="shared" si="4"/>
        <v>20</v>
      </c>
      <c r="H61" s="287" t="s">
        <v>1942</v>
      </c>
      <c r="I61" s="301"/>
    </row>
    <row r="62" spans="1:9" ht="16.5" thickTop="1" thickBot="1" x14ac:dyDescent="0.3">
      <c r="A62" s="31" t="s">
        <v>137</v>
      </c>
      <c r="B62" s="31" t="s">
        <v>1</v>
      </c>
      <c r="C62" s="31">
        <v>1440</v>
      </c>
      <c r="D62" s="136">
        <v>1638</v>
      </c>
      <c r="E62" s="31">
        <v>5</v>
      </c>
      <c r="F62" s="31"/>
      <c r="G62" s="256">
        <f t="shared" si="4"/>
        <v>5</v>
      </c>
      <c r="H62" s="288" t="s">
        <v>1943</v>
      </c>
      <c r="I62" s="251" t="s">
        <v>373</v>
      </c>
    </row>
    <row r="63" spans="1:9" ht="15.75" thickTop="1" x14ac:dyDescent="0.25">
      <c r="A63" s="161"/>
      <c r="B63" s="161"/>
      <c r="C63" s="161"/>
      <c r="D63" s="161"/>
      <c r="E63" s="161"/>
      <c r="F63" s="161"/>
      <c r="G63" s="161"/>
      <c r="I63" s="161"/>
    </row>
  </sheetData>
  <mergeCells count="31">
    <mergeCell ref="A60:A61"/>
    <mergeCell ref="A44:A46"/>
    <mergeCell ref="A38:A40"/>
    <mergeCell ref="A57:A59"/>
    <mergeCell ref="A35:A37"/>
    <mergeCell ref="A54:A56"/>
    <mergeCell ref="A51:A53"/>
    <mergeCell ref="A2:D2"/>
    <mergeCell ref="A31:A33"/>
    <mergeCell ref="A16:A24"/>
    <mergeCell ref="A4:A11"/>
    <mergeCell ref="A47:A49"/>
    <mergeCell ref="A12:A15"/>
    <mergeCell ref="A25:A27"/>
    <mergeCell ref="A28:A30"/>
    <mergeCell ref="A41:A43"/>
    <mergeCell ref="I4:I11"/>
    <mergeCell ref="I12:I15"/>
    <mergeCell ref="I16:I24"/>
    <mergeCell ref="I25:I27"/>
    <mergeCell ref="I28:I30"/>
    <mergeCell ref="I31:I33"/>
    <mergeCell ref="I35:I37"/>
    <mergeCell ref="I38:I40"/>
    <mergeCell ref="I41:I43"/>
    <mergeCell ref="I44:I46"/>
    <mergeCell ref="I47:I49"/>
    <mergeCell ref="I51:I53"/>
    <mergeCell ref="I54:I56"/>
    <mergeCell ref="I57:I59"/>
    <mergeCell ref="I60:I61"/>
  </mergeCells>
  <pageMargins left="0.70866141732283472" right="0.70866141732283472" top="0.74803149606299213" bottom="0.74803149606299213" header="0.31496062992125984" footer="0.31496062992125984"/>
  <pageSetup paperSize="9" scale="96" fitToHeight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6"/>
  <sheetViews>
    <sheetView workbookViewId="0">
      <selection activeCell="E33" sqref="E33"/>
    </sheetView>
  </sheetViews>
  <sheetFormatPr defaultRowHeight="15" x14ac:dyDescent="0.25"/>
  <cols>
    <col min="1" max="1" width="19.85546875" customWidth="1"/>
    <col min="2" max="2" width="10.28515625" customWidth="1"/>
    <col min="3" max="3" width="11.140625" customWidth="1"/>
    <col min="4" max="4" width="10.7109375" customWidth="1"/>
    <col min="5" max="5" width="10.140625" customWidth="1"/>
    <col min="6" max="6" width="9.85546875" customWidth="1"/>
    <col min="7" max="7" width="10.42578125" customWidth="1"/>
    <col min="8" max="8" width="35.85546875" style="282" customWidth="1"/>
  </cols>
  <sheetData>
    <row r="1" spans="1:9" ht="15.75" x14ac:dyDescent="0.25">
      <c r="A1" s="318" t="s">
        <v>170</v>
      </c>
      <c r="B1" s="318"/>
      <c r="C1" s="318"/>
      <c r="D1" s="318"/>
    </row>
    <row r="2" spans="1:9" ht="43.5" thickBot="1" x14ac:dyDescent="0.3">
      <c r="A2" s="37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83" t="s">
        <v>1096</v>
      </c>
      <c r="I2" s="25" t="s">
        <v>329</v>
      </c>
    </row>
    <row r="3" spans="1:9" ht="16.5" thickTop="1" thickBot="1" x14ac:dyDescent="0.3">
      <c r="A3" s="310" t="s">
        <v>1944</v>
      </c>
      <c r="B3" s="151" t="s">
        <v>0</v>
      </c>
      <c r="C3" s="151">
        <v>1440</v>
      </c>
      <c r="D3" s="85">
        <v>1485</v>
      </c>
      <c r="E3" s="151">
        <v>20</v>
      </c>
      <c r="F3" s="151"/>
      <c r="G3" s="243">
        <f>E3-F3</f>
        <v>20</v>
      </c>
      <c r="H3" s="284" t="s">
        <v>1946</v>
      </c>
      <c r="I3" s="316" t="s">
        <v>452</v>
      </c>
    </row>
    <row r="4" spans="1:9" ht="16.5" thickTop="1" thickBot="1" x14ac:dyDescent="0.3">
      <c r="A4" s="311"/>
      <c r="B4" s="152" t="s">
        <v>1</v>
      </c>
      <c r="C4" s="152">
        <v>1440</v>
      </c>
      <c r="D4" s="86">
        <v>1972</v>
      </c>
      <c r="E4" s="152">
        <f>15+8-3</f>
        <v>20</v>
      </c>
      <c r="F4" s="152"/>
      <c r="G4" s="245">
        <f t="shared" ref="G4:G35" si="0">E4-F4</f>
        <v>20</v>
      </c>
      <c r="H4" s="289" t="s">
        <v>1947</v>
      </c>
      <c r="I4" s="316"/>
    </row>
    <row r="5" spans="1:9" ht="16.5" thickTop="1" thickBot="1" x14ac:dyDescent="0.3">
      <c r="A5" s="312"/>
      <c r="B5" s="126" t="s">
        <v>2</v>
      </c>
      <c r="C5" s="126">
        <v>288</v>
      </c>
      <c r="D5" s="88">
        <v>1485</v>
      </c>
      <c r="E5" s="126">
        <v>20</v>
      </c>
      <c r="F5" s="126"/>
      <c r="G5" s="246">
        <f t="shared" si="0"/>
        <v>20</v>
      </c>
      <c r="H5" s="287" t="s">
        <v>1948</v>
      </c>
      <c r="I5" s="316"/>
    </row>
    <row r="6" spans="1:9" ht="16.5" thickTop="1" thickBot="1" x14ac:dyDescent="0.3">
      <c r="A6" s="319" t="s">
        <v>15</v>
      </c>
      <c r="B6" s="153" t="s">
        <v>0</v>
      </c>
      <c r="C6" s="153">
        <v>1440</v>
      </c>
      <c r="D6" s="140">
        <v>1647</v>
      </c>
      <c r="E6" s="153">
        <v>20</v>
      </c>
      <c r="F6" s="153"/>
      <c r="G6" s="244">
        <f t="shared" si="0"/>
        <v>20</v>
      </c>
      <c r="H6" s="284" t="s">
        <v>1949</v>
      </c>
      <c r="I6" s="316" t="s">
        <v>402</v>
      </c>
    </row>
    <row r="7" spans="1:9" ht="16.5" thickTop="1" thickBot="1" x14ac:dyDescent="0.3">
      <c r="A7" s="311"/>
      <c r="B7" s="152" t="s">
        <v>1</v>
      </c>
      <c r="C7" s="152">
        <v>1440</v>
      </c>
      <c r="D7" s="86">
        <v>2133</v>
      </c>
      <c r="E7" s="152">
        <f>5+15</f>
        <v>20</v>
      </c>
      <c r="F7" s="152"/>
      <c r="G7" s="245">
        <f t="shared" si="0"/>
        <v>20</v>
      </c>
      <c r="H7" s="285" t="s">
        <v>1950</v>
      </c>
      <c r="I7" s="316"/>
    </row>
    <row r="8" spans="1:9" ht="16.5" thickTop="1" thickBot="1" x14ac:dyDescent="0.3">
      <c r="A8" s="320"/>
      <c r="B8" s="154" t="s">
        <v>2</v>
      </c>
      <c r="C8" s="154">
        <v>288</v>
      </c>
      <c r="D8" s="87">
        <v>1647</v>
      </c>
      <c r="E8" s="154">
        <v>20</v>
      </c>
      <c r="F8" s="154"/>
      <c r="G8" s="246">
        <f t="shared" si="0"/>
        <v>20</v>
      </c>
      <c r="H8" s="287" t="s">
        <v>1951</v>
      </c>
      <c r="I8" s="316"/>
    </row>
    <row r="9" spans="1:9" ht="16.5" thickTop="1" thickBot="1" x14ac:dyDescent="0.3">
      <c r="A9" s="310" t="s">
        <v>1215</v>
      </c>
      <c r="B9" s="151" t="s">
        <v>0</v>
      </c>
      <c r="C9" s="151">
        <v>1440</v>
      </c>
      <c r="D9" s="85">
        <v>1647</v>
      </c>
      <c r="E9" s="45">
        <v>20</v>
      </c>
      <c r="F9" s="151">
        <f>1+1</f>
        <v>2</v>
      </c>
      <c r="G9" s="244">
        <f t="shared" si="0"/>
        <v>18</v>
      </c>
      <c r="H9" s="284" t="s">
        <v>1952</v>
      </c>
      <c r="I9" s="316" t="s">
        <v>499</v>
      </c>
    </row>
    <row r="10" spans="1:9" ht="16.5" thickTop="1" thickBot="1" x14ac:dyDescent="0.3">
      <c r="A10" s="311"/>
      <c r="B10" s="152" t="s">
        <v>1</v>
      </c>
      <c r="C10" s="152">
        <v>1440</v>
      </c>
      <c r="D10" s="86">
        <v>2133</v>
      </c>
      <c r="E10" s="83">
        <f>5+15</f>
        <v>20</v>
      </c>
      <c r="F10" s="152">
        <v>1</v>
      </c>
      <c r="G10" s="245">
        <f t="shared" si="0"/>
        <v>19</v>
      </c>
      <c r="H10" s="285" t="s">
        <v>1953</v>
      </c>
      <c r="I10" s="316"/>
    </row>
    <row r="11" spans="1:9" ht="16.5" thickTop="1" thickBot="1" x14ac:dyDescent="0.3">
      <c r="A11" s="312"/>
      <c r="B11" s="126" t="s">
        <v>2</v>
      </c>
      <c r="C11" s="126">
        <v>288</v>
      </c>
      <c r="D11" s="88">
        <v>1647</v>
      </c>
      <c r="E11" s="46">
        <v>20</v>
      </c>
      <c r="F11" s="126">
        <v>1</v>
      </c>
      <c r="G11" s="246">
        <f t="shared" si="0"/>
        <v>19</v>
      </c>
      <c r="H11" s="287" t="s">
        <v>1954</v>
      </c>
      <c r="I11" s="316"/>
    </row>
    <row r="12" spans="1:9" ht="16.5" thickTop="1" thickBot="1" x14ac:dyDescent="0.3">
      <c r="A12" s="319" t="s">
        <v>13</v>
      </c>
      <c r="B12" s="153" t="s">
        <v>0</v>
      </c>
      <c r="C12" s="153">
        <v>1440</v>
      </c>
      <c r="D12" s="140">
        <v>1647</v>
      </c>
      <c r="E12" s="160">
        <v>20</v>
      </c>
      <c r="F12" s="153"/>
      <c r="G12" s="244">
        <f t="shared" si="0"/>
        <v>20</v>
      </c>
      <c r="H12" s="284" t="s">
        <v>1955</v>
      </c>
      <c r="I12" s="316" t="s">
        <v>406</v>
      </c>
    </row>
    <row r="13" spans="1:9" ht="16.5" thickTop="1" thickBot="1" x14ac:dyDescent="0.3">
      <c r="A13" s="311"/>
      <c r="B13" s="152" t="s">
        <v>1</v>
      </c>
      <c r="C13" s="152">
        <v>1440</v>
      </c>
      <c r="D13" s="86">
        <v>2133</v>
      </c>
      <c r="E13" s="83">
        <f>5+15</f>
        <v>20</v>
      </c>
      <c r="F13" s="152"/>
      <c r="G13" s="245">
        <f t="shared" si="0"/>
        <v>20</v>
      </c>
      <c r="H13" s="285" t="s">
        <v>1956</v>
      </c>
      <c r="I13" s="316"/>
    </row>
    <row r="14" spans="1:9" ht="16.5" thickTop="1" thickBot="1" x14ac:dyDescent="0.3">
      <c r="A14" s="320"/>
      <c r="B14" s="154" t="s">
        <v>2</v>
      </c>
      <c r="C14" s="154">
        <v>288</v>
      </c>
      <c r="D14" s="87">
        <v>1647</v>
      </c>
      <c r="E14" s="127">
        <v>20</v>
      </c>
      <c r="F14" s="154"/>
      <c r="G14" s="246">
        <f t="shared" si="0"/>
        <v>20</v>
      </c>
      <c r="H14" s="287" t="s">
        <v>1957</v>
      </c>
      <c r="I14" s="316"/>
    </row>
    <row r="15" spans="1:9" ht="16.5" thickTop="1" thickBot="1" x14ac:dyDescent="0.3">
      <c r="A15" s="310" t="s">
        <v>104</v>
      </c>
      <c r="B15" s="151" t="s">
        <v>0</v>
      </c>
      <c r="C15" s="151">
        <v>1440</v>
      </c>
      <c r="D15" s="85">
        <v>1252</v>
      </c>
      <c r="E15" s="45">
        <v>20</v>
      </c>
      <c r="F15" s="151">
        <v>1</v>
      </c>
      <c r="G15" s="244">
        <f t="shared" si="0"/>
        <v>19</v>
      </c>
      <c r="H15" s="284" t="s">
        <v>1958</v>
      </c>
      <c r="I15" s="316" t="s">
        <v>455</v>
      </c>
    </row>
    <row r="16" spans="1:9" ht="16.5" thickTop="1" thickBot="1" x14ac:dyDescent="0.3">
      <c r="A16" s="311"/>
      <c r="B16" s="152" t="s">
        <v>1</v>
      </c>
      <c r="C16" s="152">
        <v>1440</v>
      </c>
      <c r="D16" s="86">
        <v>1858</v>
      </c>
      <c r="E16" s="83">
        <f>5+15</f>
        <v>20</v>
      </c>
      <c r="F16" s="152"/>
      <c r="G16" s="245">
        <f t="shared" si="0"/>
        <v>20</v>
      </c>
      <c r="H16" s="285" t="s">
        <v>1959</v>
      </c>
      <c r="I16" s="316"/>
    </row>
    <row r="17" spans="1:9" ht="16.5" thickTop="1" thickBot="1" x14ac:dyDescent="0.3">
      <c r="A17" s="312"/>
      <c r="B17" s="126" t="s">
        <v>2</v>
      </c>
      <c r="C17" s="126">
        <v>288</v>
      </c>
      <c r="D17" s="88">
        <v>1252</v>
      </c>
      <c r="E17" s="46">
        <v>20</v>
      </c>
      <c r="F17" s="126"/>
      <c r="G17" s="246">
        <f t="shared" si="0"/>
        <v>20</v>
      </c>
      <c r="H17" s="287" t="s">
        <v>1960</v>
      </c>
      <c r="I17" s="316"/>
    </row>
    <row r="18" spans="1:9" ht="16.5" thickTop="1" thickBot="1" x14ac:dyDescent="0.3">
      <c r="A18" s="319" t="s">
        <v>169</v>
      </c>
      <c r="B18" s="153" t="s">
        <v>0</v>
      </c>
      <c r="C18" s="153">
        <v>1440</v>
      </c>
      <c r="D18" s="140">
        <v>1647</v>
      </c>
      <c r="E18" s="160">
        <v>20</v>
      </c>
      <c r="F18" s="153">
        <v>1</v>
      </c>
      <c r="G18" s="244">
        <f t="shared" si="0"/>
        <v>19</v>
      </c>
      <c r="H18" s="284" t="s">
        <v>1961</v>
      </c>
      <c r="I18" s="316" t="s">
        <v>500</v>
      </c>
    </row>
    <row r="19" spans="1:9" ht="16.5" thickTop="1" thickBot="1" x14ac:dyDescent="0.3">
      <c r="A19" s="311"/>
      <c r="B19" s="152" t="s">
        <v>1</v>
      </c>
      <c r="C19" s="152">
        <v>1440</v>
      </c>
      <c r="D19" s="86">
        <v>2133</v>
      </c>
      <c r="E19" s="83">
        <f>5+15</f>
        <v>20</v>
      </c>
      <c r="F19" s="152"/>
      <c r="G19" s="245">
        <f t="shared" si="0"/>
        <v>20</v>
      </c>
      <c r="H19" s="285" t="s">
        <v>1962</v>
      </c>
      <c r="I19" s="316"/>
    </row>
    <row r="20" spans="1:9" ht="16.5" thickTop="1" thickBot="1" x14ac:dyDescent="0.3">
      <c r="A20" s="320"/>
      <c r="B20" s="154" t="s">
        <v>2</v>
      </c>
      <c r="C20" s="154">
        <v>288</v>
      </c>
      <c r="D20" s="87">
        <v>1647</v>
      </c>
      <c r="E20" s="127">
        <v>20</v>
      </c>
      <c r="F20" s="154"/>
      <c r="G20" s="246">
        <f t="shared" si="0"/>
        <v>20</v>
      </c>
      <c r="H20" s="287" t="s">
        <v>1963</v>
      </c>
      <c r="I20" s="316"/>
    </row>
    <row r="21" spans="1:9" ht="16.5" thickTop="1" thickBot="1" x14ac:dyDescent="0.3">
      <c r="A21" s="310" t="s">
        <v>12</v>
      </c>
      <c r="B21" s="151" t="s">
        <v>0</v>
      </c>
      <c r="C21" s="151">
        <v>1440</v>
      </c>
      <c r="D21" s="85">
        <v>1647</v>
      </c>
      <c r="E21" s="45">
        <v>20</v>
      </c>
      <c r="F21" s="151">
        <v>1</v>
      </c>
      <c r="G21" s="244">
        <f t="shared" si="0"/>
        <v>19</v>
      </c>
      <c r="H21" s="284" t="s">
        <v>1964</v>
      </c>
      <c r="I21" s="316" t="s">
        <v>456</v>
      </c>
    </row>
    <row r="22" spans="1:9" ht="16.5" thickTop="1" thickBot="1" x14ac:dyDescent="0.3">
      <c r="A22" s="311"/>
      <c r="B22" s="152" t="s">
        <v>1</v>
      </c>
      <c r="C22" s="152">
        <v>1440</v>
      </c>
      <c r="D22" s="86">
        <v>2133</v>
      </c>
      <c r="E22" s="83">
        <f>5+15</f>
        <v>20</v>
      </c>
      <c r="F22" s="152">
        <v>1</v>
      </c>
      <c r="G22" s="245">
        <f t="shared" si="0"/>
        <v>19</v>
      </c>
      <c r="H22" s="285" t="s">
        <v>1965</v>
      </c>
      <c r="I22" s="316"/>
    </row>
    <row r="23" spans="1:9" ht="16.5" thickTop="1" thickBot="1" x14ac:dyDescent="0.3">
      <c r="A23" s="312"/>
      <c r="B23" s="126" t="s">
        <v>2</v>
      </c>
      <c r="C23" s="126">
        <v>288</v>
      </c>
      <c r="D23" s="88">
        <v>1647</v>
      </c>
      <c r="E23" s="46">
        <v>20</v>
      </c>
      <c r="F23" s="126"/>
      <c r="G23" s="246">
        <f t="shared" si="0"/>
        <v>20</v>
      </c>
      <c r="H23" s="287" t="s">
        <v>1966</v>
      </c>
      <c r="I23" s="316"/>
    </row>
    <row r="24" spans="1:9" ht="16.5" thickTop="1" thickBot="1" x14ac:dyDescent="0.3">
      <c r="A24" s="319" t="s">
        <v>14</v>
      </c>
      <c r="B24" s="153" t="s">
        <v>0</v>
      </c>
      <c r="C24" s="153">
        <v>1440</v>
      </c>
      <c r="D24" s="140">
        <v>1647</v>
      </c>
      <c r="E24" s="160">
        <v>20</v>
      </c>
      <c r="F24" s="153"/>
      <c r="G24" s="244">
        <f t="shared" si="0"/>
        <v>20</v>
      </c>
      <c r="H24" s="284" t="s">
        <v>1967</v>
      </c>
      <c r="I24" s="316" t="s">
        <v>501</v>
      </c>
    </row>
    <row r="25" spans="1:9" ht="16.5" thickTop="1" thickBot="1" x14ac:dyDescent="0.3">
      <c r="A25" s="311"/>
      <c r="B25" s="152" t="s">
        <v>1</v>
      </c>
      <c r="C25" s="152">
        <v>1440</v>
      </c>
      <c r="D25" s="86">
        <v>2133</v>
      </c>
      <c r="E25" s="83">
        <f>5+15</f>
        <v>20</v>
      </c>
      <c r="F25" s="152"/>
      <c r="G25" s="245">
        <f t="shared" si="0"/>
        <v>20</v>
      </c>
      <c r="H25" s="285" t="s">
        <v>1968</v>
      </c>
      <c r="I25" s="316"/>
    </row>
    <row r="26" spans="1:9" ht="16.5" thickTop="1" thickBot="1" x14ac:dyDescent="0.3">
      <c r="A26" s="320"/>
      <c r="B26" s="154" t="s">
        <v>2</v>
      </c>
      <c r="C26" s="154">
        <v>288</v>
      </c>
      <c r="D26" s="87">
        <v>1647</v>
      </c>
      <c r="E26" s="127">
        <v>20</v>
      </c>
      <c r="F26" s="154"/>
      <c r="G26" s="246">
        <f t="shared" si="0"/>
        <v>20</v>
      </c>
      <c r="H26" s="287" t="s">
        <v>1969</v>
      </c>
      <c r="I26" s="316"/>
    </row>
    <row r="27" spans="1:9" ht="16.5" thickTop="1" thickBot="1" x14ac:dyDescent="0.3">
      <c r="A27" s="310" t="s">
        <v>171</v>
      </c>
      <c r="B27" s="151" t="s">
        <v>0</v>
      </c>
      <c r="C27" s="151">
        <v>1440</v>
      </c>
      <c r="D27" s="85">
        <v>1679</v>
      </c>
      <c r="E27" s="45">
        <v>20</v>
      </c>
      <c r="F27" s="151"/>
      <c r="G27" s="244">
        <f t="shared" si="0"/>
        <v>20</v>
      </c>
      <c r="H27" s="284" t="s">
        <v>1970</v>
      </c>
      <c r="I27" s="316" t="s">
        <v>461</v>
      </c>
    </row>
    <row r="28" spans="1:9" ht="16.5" thickTop="1" thickBot="1" x14ac:dyDescent="0.3">
      <c r="A28" s="311"/>
      <c r="B28" s="152" t="s">
        <v>1</v>
      </c>
      <c r="C28" s="152">
        <v>1440</v>
      </c>
      <c r="D28" s="86">
        <v>2166</v>
      </c>
      <c r="E28" s="83">
        <f>5+15</f>
        <v>20</v>
      </c>
      <c r="F28" s="152"/>
      <c r="G28" s="245">
        <f t="shared" si="0"/>
        <v>20</v>
      </c>
      <c r="H28" s="285" t="s">
        <v>1971</v>
      </c>
      <c r="I28" s="316"/>
    </row>
    <row r="29" spans="1:9" ht="16.5" thickTop="1" thickBot="1" x14ac:dyDescent="0.3">
      <c r="A29" s="312"/>
      <c r="B29" s="126" t="s">
        <v>2</v>
      </c>
      <c r="C29" s="126">
        <v>288</v>
      </c>
      <c r="D29" s="88">
        <v>1679</v>
      </c>
      <c r="E29" s="46">
        <v>20</v>
      </c>
      <c r="F29" s="126"/>
      <c r="G29" s="246">
        <f t="shared" si="0"/>
        <v>20</v>
      </c>
      <c r="H29" s="287" t="s">
        <v>1972</v>
      </c>
      <c r="I29" s="316"/>
    </row>
    <row r="30" spans="1:9" ht="16.5" thickTop="1" thickBot="1" x14ac:dyDescent="0.3">
      <c r="A30" s="319" t="s">
        <v>1713</v>
      </c>
      <c r="B30" s="153" t="s">
        <v>0</v>
      </c>
      <c r="C30" s="153">
        <v>1440</v>
      </c>
      <c r="D30" s="140">
        <v>1809</v>
      </c>
      <c r="E30" s="160">
        <v>20</v>
      </c>
      <c r="F30" s="153">
        <v>1</v>
      </c>
      <c r="G30" s="244">
        <f t="shared" si="0"/>
        <v>19</v>
      </c>
      <c r="H30" s="284" t="s">
        <v>1973</v>
      </c>
      <c r="I30" s="317" t="s">
        <v>1945</v>
      </c>
    </row>
    <row r="31" spans="1:9" ht="16.5" thickTop="1" thickBot="1" x14ac:dyDescent="0.3">
      <c r="A31" s="311"/>
      <c r="B31" s="152" t="s">
        <v>1</v>
      </c>
      <c r="C31" s="152">
        <v>1440</v>
      </c>
      <c r="D31" s="86">
        <v>2133</v>
      </c>
      <c r="E31" s="83">
        <v>20</v>
      </c>
      <c r="F31" s="152">
        <v>1</v>
      </c>
      <c r="G31" s="245">
        <f t="shared" si="0"/>
        <v>19</v>
      </c>
      <c r="H31" s="285" t="s">
        <v>1974</v>
      </c>
      <c r="I31" s="317"/>
    </row>
    <row r="32" spans="1:9" ht="16.5" thickTop="1" thickBot="1" x14ac:dyDescent="0.3">
      <c r="A32" s="320"/>
      <c r="B32" s="154" t="s">
        <v>2</v>
      </c>
      <c r="C32" s="154">
        <v>288</v>
      </c>
      <c r="D32" s="87">
        <v>1809</v>
      </c>
      <c r="E32" s="127">
        <v>20</v>
      </c>
      <c r="F32" s="154">
        <v>1</v>
      </c>
      <c r="G32" s="246">
        <f t="shared" si="0"/>
        <v>19</v>
      </c>
      <c r="H32" s="287" t="s">
        <v>1975</v>
      </c>
      <c r="I32" s="317"/>
    </row>
    <row r="33" spans="1:9" ht="16.5" thickTop="1" thickBot="1" x14ac:dyDescent="0.3">
      <c r="A33" s="310" t="s">
        <v>105</v>
      </c>
      <c r="B33" s="151" t="s">
        <v>0</v>
      </c>
      <c r="C33" s="151">
        <v>1440</v>
      </c>
      <c r="D33" s="85">
        <v>1809</v>
      </c>
      <c r="E33" s="45">
        <v>20</v>
      </c>
      <c r="F33" s="151">
        <v>1</v>
      </c>
      <c r="G33" s="244">
        <f t="shared" si="0"/>
        <v>19</v>
      </c>
      <c r="H33" s="284" t="s">
        <v>1976</v>
      </c>
      <c r="I33" s="316" t="s">
        <v>463</v>
      </c>
    </row>
    <row r="34" spans="1:9" ht="16.5" thickTop="1" thickBot="1" x14ac:dyDescent="0.3">
      <c r="A34" s="311"/>
      <c r="B34" s="152" t="s">
        <v>1</v>
      </c>
      <c r="C34" s="152">
        <v>1440</v>
      </c>
      <c r="D34" s="86">
        <v>2133</v>
      </c>
      <c r="E34" s="152">
        <f>15+5</f>
        <v>20</v>
      </c>
      <c r="F34" s="152"/>
      <c r="G34" s="245">
        <f t="shared" si="0"/>
        <v>20</v>
      </c>
      <c r="H34" s="285" t="s">
        <v>1977</v>
      </c>
      <c r="I34" s="316"/>
    </row>
    <row r="35" spans="1:9" ht="16.5" thickTop="1" thickBot="1" x14ac:dyDescent="0.3">
      <c r="A35" s="312"/>
      <c r="B35" s="126" t="s">
        <v>2</v>
      </c>
      <c r="C35" s="126">
        <v>288</v>
      </c>
      <c r="D35" s="88">
        <v>1809</v>
      </c>
      <c r="E35" s="46">
        <v>20</v>
      </c>
      <c r="F35" s="126"/>
      <c r="G35" s="246">
        <f t="shared" si="0"/>
        <v>20</v>
      </c>
      <c r="H35" s="287" t="s">
        <v>1978</v>
      </c>
      <c r="I35" s="316"/>
    </row>
    <row r="36" spans="1:9" ht="15.75" thickTop="1" x14ac:dyDescent="0.25"/>
  </sheetData>
  <mergeCells count="23">
    <mergeCell ref="A1:D1"/>
    <mergeCell ref="A33:A35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I3:I5"/>
    <mergeCell ref="I6:I8"/>
    <mergeCell ref="I9:I11"/>
    <mergeCell ref="I12:I14"/>
    <mergeCell ref="I15:I17"/>
    <mergeCell ref="I33:I35"/>
    <mergeCell ref="I18:I20"/>
    <mergeCell ref="I21:I23"/>
    <mergeCell ref="I24:I26"/>
    <mergeCell ref="I27:I29"/>
    <mergeCell ref="I30:I32"/>
  </mergeCells>
  <pageMargins left="0.70866141732283472" right="0.70866141732283472" top="0.74803149606299213" bottom="0.74803149606299213" header="0.31496062992125984" footer="0.31496062992125984"/>
  <pageSetup paperSize="9" scale="9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12"/>
  <sheetViews>
    <sheetView workbookViewId="0">
      <selection activeCell="F22" sqref="F22"/>
    </sheetView>
  </sheetViews>
  <sheetFormatPr defaultRowHeight="15" x14ac:dyDescent="0.25"/>
  <cols>
    <col min="1" max="1" width="23.5703125" customWidth="1"/>
    <col min="2" max="3" width="7.85546875" customWidth="1"/>
    <col min="4" max="4" width="9.5703125" customWidth="1"/>
    <col min="5" max="5" width="14" customWidth="1"/>
    <col min="6" max="6" width="9.7109375" customWidth="1"/>
    <col min="7" max="7" width="11.5703125" customWidth="1"/>
    <col min="8" max="8" width="35.7109375" style="297" customWidth="1"/>
    <col min="9" max="9" width="11" customWidth="1"/>
    <col min="10" max="12" width="11.28515625" customWidth="1"/>
    <col min="13" max="13" width="9.85546875" customWidth="1"/>
  </cols>
  <sheetData>
    <row r="1" spans="1:12" ht="18.75" customHeight="1" x14ac:dyDescent="0.25">
      <c r="A1" s="325" t="s">
        <v>99</v>
      </c>
      <c r="B1" s="325"/>
      <c r="C1" s="325"/>
      <c r="D1" s="325"/>
      <c r="E1" s="162"/>
      <c r="F1" s="162"/>
      <c r="G1" s="162"/>
      <c r="H1" s="290"/>
      <c r="I1" s="167"/>
      <c r="J1" s="2"/>
      <c r="K1" s="2"/>
      <c r="L1" s="2"/>
    </row>
    <row r="2" spans="1:12" ht="53.25" customHeight="1" thickBot="1" x14ac:dyDescent="0.3">
      <c r="A2" s="146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83" t="s">
        <v>1096</v>
      </c>
      <c r="I2" s="25" t="s">
        <v>329</v>
      </c>
    </row>
    <row r="3" spans="1:12" ht="17.25" customHeight="1" thickTop="1" thickBot="1" x14ac:dyDescent="0.3">
      <c r="A3" s="322" t="s">
        <v>4</v>
      </c>
      <c r="B3" s="45" t="s">
        <v>21</v>
      </c>
      <c r="C3" s="151">
        <v>1440</v>
      </c>
      <c r="D3" s="30">
        <v>590</v>
      </c>
      <c r="E3" s="112">
        <f>25+2+30</f>
        <v>57</v>
      </c>
      <c r="F3" s="112">
        <f>1+1</f>
        <v>2</v>
      </c>
      <c r="G3" s="263">
        <f>E3-F3</f>
        <v>55</v>
      </c>
      <c r="H3" s="291" t="s">
        <v>1980</v>
      </c>
      <c r="I3" s="302" t="s">
        <v>330</v>
      </c>
    </row>
    <row r="4" spans="1:12" ht="17.25" customHeight="1" thickTop="1" thickBot="1" x14ac:dyDescent="0.3">
      <c r="A4" s="323"/>
      <c r="B4" s="152" t="s">
        <v>22</v>
      </c>
      <c r="C4" s="152">
        <v>1440</v>
      </c>
      <c r="D4" s="27">
        <v>701</v>
      </c>
      <c r="E4" s="114">
        <f>25+12+28</f>
        <v>65</v>
      </c>
      <c r="F4" s="114">
        <f>1+1+1</f>
        <v>3</v>
      </c>
      <c r="G4" s="264">
        <f t="shared" ref="G4:G12" si="0">E4-F4</f>
        <v>62</v>
      </c>
      <c r="H4" s="292" t="s">
        <v>1981</v>
      </c>
      <c r="I4" s="301"/>
    </row>
    <row r="5" spans="1:12" ht="17.25" customHeight="1" thickTop="1" thickBot="1" x14ac:dyDescent="0.3">
      <c r="A5" s="323"/>
      <c r="B5" s="83" t="s">
        <v>18</v>
      </c>
      <c r="C5" s="152">
        <v>1440</v>
      </c>
      <c r="D5" s="27">
        <v>755</v>
      </c>
      <c r="E5" s="114">
        <f>25+9</f>
        <v>34</v>
      </c>
      <c r="F5" s="114">
        <f>1+5+1</f>
        <v>7</v>
      </c>
      <c r="G5" s="264">
        <f t="shared" si="0"/>
        <v>27</v>
      </c>
      <c r="H5" s="292" t="s">
        <v>1982</v>
      </c>
      <c r="I5" s="301"/>
    </row>
    <row r="6" spans="1:12" ht="17.25" customHeight="1" thickTop="1" thickBot="1" x14ac:dyDescent="0.3">
      <c r="A6" s="323"/>
      <c r="B6" s="5" t="s">
        <v>19</v>
      </c>
      <c r="C6" s="5">
        <v>1440</v>
      </c>
      <c r="D6" s="27">
        <v>866</v>
      </c>
      <c r="E6" s="114">
        <f>25+2+28</f>
        <v>55</v>
      </c>
      <c r="F6" s="114">
        <f>6+1+1</f>
        <v>8</v>
      </c>
      <c r="G6" s="264">
        <f t="shared" si="0"/>
        <v>47</v>
      </c>
      <c r="H6" s="292" t="s">
        <v>1983</v>
      </c>
      <c r="I6" s="301"/>
    </row>
    <row r="7" spans="1:12" ht="16.5" customHeight="1" thickTop="1" thickBot="1" x14ac:dyDescent="0.3">
      <c r="A7" s="323"/>
      <c r="B7" s="50" t="s">
        <v>0</v>
      </c>
      <c r="C7" s="50">
        <v>1440</v>
      </c>
      <c r="D7" s="27">
        <v>866.1875</v>
      </c>
      <c r="E7" s="50">
        <f>17+19+60+100</f>
        <v>196</v>
      </c>
      <c r="F7" s="50">
        <f>1+1+1+1+19+3+2+3+1+6+7+4+1+1</f>
        <v>51</v>
      </c>
      <c r="G7" s="264">
        <f t="shared" si="0"/>
        <v>145</v>
      </c>
      <c r="H7" s="292" t="s">
        <v>1984</v>
      </c>
      <c r="I7" s="301"/>
    </row>
    <row r="8" spans="1:12" ht="16.5" thickTop="1" thickBot="1" x14ac:dyDescent="0.3">
      <c r="A8" s="323"/>
      <c r="B8" s="49" t="s">
        <v>1</v>
      </c>
      <c r="C8" s="49">
        <v>1440</v>
      </c>
      <c r="D8" s="27">
        <v>1417.6249999999998</v>
      </c>
      <c r="E8" s="50">
        <f>66+85+90</f>
        <v>241</v>
      </c>
      <c r="F8" s="50">
        <f>2+6+1+3+2+1+1+7+3+3+1</f>
        <v>30</v>
      </c>
      <c r="G8" s="264">
        <f t="shared" si="0"/>
        <v>211</v>
      </c>
      <c r="H8" s="292" t="s">
        <v>1985</v>
      </c>
      <c r="I8" s="301"/>
    </row>
    <row r="9" spans="1:12" ht="16.5" thickTop="1" thickBot="1" x14ac:dyDescent="0.3">
      <c r="A9" s="323"/>
      <c r="B9" s="51" t="s">
        <v>2</v>
      </c>
      <c r="C9" s="51">
        <v>288</v>
      </c>
      <c r="D9" s="27">
        <v>866.1875</v>
      </c>
      <c r="E9" s="50">
        <f>38+44+40+100</f>
        <v>222</v>
      </c>
      <c r="F9" s="50">
        <f>10+10+1+15+20+3+2+1+1</f>
        <v>63</v>
      </c>
      <c r="G9" s="264">
        <f t="shared" si="0"/>
        <v>159</v>
      </c>
      <c r="H9" s="292" t="s">
        <v>1986</v>
      </c>
      <c r="I9" s="301"/>
    </row>
    <row r="10" spans="1:12" ht="16.5" thickTop="1" thickBot="1" x14ac:dyDescent="0.3">
      <c r="A10" s="323"/>
      <c r="B10" s="5" t="s">
        <v>5</v>
      </c>
      <c r="C10" s="5">
        <v>144</v>
      </c>
      <c r="D10" s="27">
        <v>1528.125</v>
      </c>
      <c r="E10" s="50">
        <f>88+60</f>
        <v>148</v>
      </c>
      <c r="F10" s="50"/>
      <c r="G10" s="264">
        <f t="shared" si="0"/>
        <v>148</v>
      </c>
      <c r="H10" s="292" t="s">
        <v>1987</v>
      </c>
      <c r="I10" s="301"/>
    </row>
    <row r="11" spans="1:12" ht="16.5" thickTop="1" thickBot="1" x14ac:dyDescent="0.3">
      <c r="A11" s="323"/>
      <c r="B11" s="5" t="s">
        <v>20</v>
      </c>
      <c r="C11" s="5">
        <v>144</v>
      </c>
      <c r="D11" s="27">
        <v>1087</v>
      </c>
      <c r="E11" s="50">
        <v>6</v>
      </c>
      <c r="F11" s="50"/>
      <c r="G11" s="264">
        <f t="shared" si="0"/>
        <v>6</v>
      </c>
      <c r="H11" s="292" t="s">
        <v>1988</v>
      </c>
      <c r="I11" s="301"/>
    </row>
    <row r="12" spans="1:12" ht="16.5" thickTop="1" thickBot="1" x14ac:dyDescent="0.3">
      <c r="A12" s="324"/>
      <c r="B12" s="6" t="s">
        <v>222</v>
      </c>
      <c r="C12" s="6">
        <v>144</v>
      </c>
      <c r="D12" s="28">
        <v>1638</v>
      </c>
      <c r="E12" s="55">
        <v>14</v>
      </c>
      <c r="F12" s="55"/>
      <c r="G12" s="265">
        <f t="shared" si="0"/>
        <v>14</v>
      </c>
      <c r="H12" s="293" t="s">
        <v>1989</v>
      </c>
      <c r="I12" s="301"/>
    </row>
    <row r="13" spans="1:12" ht="16.5" thickTop="1" thickBot="1" x14ac:dyDescent="0.3">
      <c r="A13" s="53" t="s">
        <v>572</v>
      </c>
      <c r="B13" s="4" t="s">
        <v>5</v>
      </c>
      <c r="C13" s="4">
        <v>144</v>
      </c>
      <c r="D13" s="139">
        <v>1149</v>
      </c>
      <c r="E13" s="54">
        <v>6</v>
      </c>
      <c r="F13" s="54"/>
      <c r="G13" s="267">
        <f t="shared" ref="G13:G90" si="1">E13-F13</f>
        <v>6</v>
      </c>
      <c r="H13" s="294" t="s">
        <v>1990</v>
      </c>
      <c r="I13" s="250" t="s">
        <v>331</v>
      </c>
    </row>
    <row r="14" spans="1:12" ht="16.5" thickTop="1" thickBot="1" x14ac:dyDescent="0.3">
      <c r="A14" s="326" t="s">
        <v>62</v>
      </c>
      <c r="B14" s="45" t="s">
        <v>21</v>
      </c>
      <c r="C14" s="151">
        <v>1440</v>
      </c>
      <c r="D14" s="30">
        <v>855</v>
      </c>
      <c r="E14" s="48">
        <f>35+30</f>
        <v>65</v>
      </c>
      <c r="F14" s="48">
        <v>1</v>
      </c>
      <c r="G14" s="268">
        <f t="shared" si="1"/>
        <v>64</v>
      </c>
      <c r="H14" s="291" t="s">
        <v>1991</v>
      </c>
      <c r="I14" s="301" t="s">
        <v>332</v>
      </c>
    </row>
    <row r="15" spans="1:12" ht="16.5" thickTop="1" thickBot="1" x14ac:dyDescent="0.3">
      <c r="A15" s="327"/>
      <c r="B15" s="152" t="s">
        <v>22</v>
      </c>
      <c r="C15" s="152">
        <v>1440</v>
      </c>
      <c r="D15" s="27">
        <v>1076</v>
      </c>
      <c r="E15" s="50">
        <f>34+30</f>
        <v>64</v>
      </c>
      <c r="F15" s="50">
        <v>1</v>
      </c>
      <c r="G15" s="269">
        <f t="shared" si="1"/>
        <v>63</v>
      </c>
      <c r="H15" s="292" t="s">
        <v>1992</v>
      </c>
      <c r="I15" s="301"/>
    </row>
    <row r="16" spans="1:12" ht="16.5" thickTop="1" thickBot="1" x14ac:dyDescent="0.3">
      <c r="A16" s="327"/>
      <c r="B16" s="83" t="s">
        <v>18</v>
      </c>
      <c r="C16" s="152">
        <v>1440</v>
      </c>
      <c r="D16" s="27">
        <v>1076</v>
      </c>
      <c r="E16" s="50">
        <f>25+7+106</f>
        <v>138</v>
      </c>
      <c r="F16" s="50">
        <v>1</v>
      </c>
      <c r="G16" s="269">
        <f t="shared" si="1"/>
        <v>137</v>
      </c>
      <c r="H16" s="292" t="s">
        <v>1993</v>
      </c>
      <c r="I16" s="301"/>
    </row>
    <row r="17" spans="1:9" ht="16.5" customHeight="1" thickTop="1" thickBot="1" x14ac:dyDescent="0.3">
      <c r="A17" s="327"/>
      <c r="B17" s="39" t="s">
        <v>19</v>
      </c>
      <c r="C17" s="39">
        <v>1440</v>
      </c>
      <c r="D17" s="27">
        <v>1296</v>
      </c>
      <c r="E17" s="50">
        <f>28+27+18+15+60+46</f>
        <v>194</v>
      </c>
      <c r="F17" s="50">
        <f>1+1+1</f>
        <v>3</v>
      </c>
      <c r="G17" s="269">
        <f t="shared" si="1"/>
        <v>191</v>
      </c>
      <c r="H17" s="292" t="s">
        <v>1994</v>
      </c>
      <c r="I17" s="301"/>
    </row>
    <row r="18" spans="1:9" ht="15.75" customHeight="1" thickTop="1" thickBot="1" x14ac:dyDescent="0.3">
      <c r="A18" s="327"/>
      <c r="B18" s="5" t="s">
        <v>0</v>
      </c>
      <c r="C18" s="5">
        <v>1440</v>
      </c>
      <c r="D18" s="27">
        <v>1241</v>
      </c>
      <c r="E18" s="50">
        <f>81+31+20+50</f>
        <v>182</v>
      </c>
      <c r="F18" s="50">
        <f>2+1+1+1+2+1+2+1+1+2+2+3+2+1+1+1+1+2+1</f>
        <v>28</v>
      </c>
      <c r="G18" s="269">
        <f t="shared" si="1"/>
        <v>154</v>
      </c>
      <c r="H18" s="292" t="s">
        <v>1995</v>
      </c>
      <c r="I18" s="301"/>
    </row>
    <row r="19" spans="1:9" ht="15.75" customHeight="1" thickTop="1" thickBot="1" x14ac:dyDescent="0.3">
      <c r="A19" s="327"/>
      <c r="B19" s="5" t="s">
        <v>1</v>
      </c>
      <c r="C19" s="5">
        <v>1440</v>
      </c>
      <c r="D19" s="27">
        <v>1793</v>
      </c>
      <c r="E19" s="50">
        <f>103+7+45+210</f>
        <v>365</v>
      </c>
      <c r="F19" s="50">
        <f>1+3+3+1+1+3+1+5+1+3+1+2+20+4+15+2+1+1+1+6+2+1+4+1+2+1</f>
        <v>86</v>
      </c>
      <c r="G19" s="269">
        <f t="shared" si="1"/>
        <v>279</v>
      </c>
      <c r="H19" s="292" t="s">
        <v>1996</v>
      </c>
      <c r="I19" s="301"/>
    </row>
    <row r="20" spans="1:9" ht="15.75" customHeight="1" thickTop="1" thickBot="1" x14ac:dyDescent="0.3">
      <c r="A20" s="327"/>
      <c r="B20" s="5" t="s">
        <v>2</v>
      </c>
      <c r="C20" s="5">
        <v>288</v>
      </c>
      <c r="D20" s="27">
        <v>1241</v>
      </c>
      <c r="E20" s="50">
        <f>127+36+50+150</f>
        <v>363</v>
      </c>
      <c r="F20" s="50">
        <f>2+10+1+10+1+1+1+2+1+2+2+20+3+2+1+1+2+2+2+1</f>
        <v>67</v>
      </c>
      <c r="G20" s="269">
        <f t="shared" si="1"/>
        <v>296</v>
      </c>
      <c r="H20" s="292" t="s">
        <v>1997</v>
      </c>
      <c r="I20" s="301"/>
    </row>
    <row r="21" spans="1:9" ht="15.75" customHeight="1" thickTop="1" thickBot="1" x14ac:dyDescent="0.3">
      <c r="A21" s="327"/>
      <c r="B21" s="5" t="s">
        <v>5</v>
      </c>
      <c r="C21" s="5">
        <v>144</v>
      </c>
      <c r="D21" s="27">
        <v>1572</v>
      </c>
      <c r="E21" s="50">
        <f>41+137+2</f>
        <v>180</v>
      </c>
      <c r="F21" s="50">
        <f>1+15+2+1+1</f>
        <v>20</v>
      </c>
      <c r="G21" s="269">
        <f t="shared" si="1"/>
        <v>160</v>
      </c>
      <c r="H21" s="295" t="s">
        <v>1998</v>
      </c>
      <c r="I21" s="301"/>
    </row>
    <row r="22" spans="1:9" ht="15.75" customHeight="1" thickTop="1" thickBot="1" x14ac:dyDescent="0.3">
      <c r="A22" s="328"/>
      <c r="B22" s="6" t="s">
        <v>20</v>
      </c>
      <c r="C22" s="6">
        <v>144</v>
      </c>
      <c r="D22" s="28">
        <v>1572</v>
      </c>
      <c r="E22" s="55">
        <f>18+71+3</f>
        <v>92</v>
      </c>
      <c r="F22" s="55">
        <v>15</v>
      </c>
      <c r="G22" s="270">
        <f t="shared" si="1"/>
        <v>77</v>
      </c>
      <c r="H22" s="296" t="s">
        <v>1999</v>
      </c>
      <c r="I22" s="301"/>
    </row>
    <row r="23" spans="1:9" ht="16.5" thickTop="1" thickBot="1" x14ac:dyDescent="0.3">
      <c r="A23" s="304" t="s">
        <v>609</v>
      </c>
      <c r="B23" s="56" t="s">
        <v>0</v>
      </c>
      <c r="C23" s="56">
        <v>1440</v>
      </c>
      <c r="D23" s="26">
        <v>1113.75</v>
      </c>
      <c r="E23" s="57">
        <v>86</v>
      </c>
      <c r="F23" s="57">
        <f>4+3+2+1+5+3+2+4+1+1</f>
        <v>26</v>
      </c>
      <c r="G23" s="271">
        <f t="shared" si="1"/>
        <v>60</v>
      </c>
      <c r="H23" s="291" t="s">
        <v>2000</v>
      </c>
      <c r="I23" s="301" t="s">
        <v>333</v>
      </c>
    </row>
    <row r="24" spans="1:9" ht="16.5" thickTop="1" thickBot="1" x14ac:dyDescent="0.3">
      <c r="A24" s="305"/>
      <c r="B24" s="58" t="s">
        <v>1</v>
      </c>
      <c r="C24" s="58">
        <v>1440</v>
      </c>
      <c r="D24" s="29">
        <v>1638.625</v>
      </c>
      <c r="E24" s="52">
        <f>92+14</f>
        <v>106</v>
      </c>
      <c r="F24" s="52">
        <f>4+3+2+5+4+3+6+1+3+3+4</f>
        <v>38</v>
      </c>
      <c r="G24" s="272">
        <f t="shared" si="1"/>
        <v>68</v>
      </c>
      <c r="H24" s="292" t="s">
        <v>2001</v>
      </c>
      <c r="I24" s="301"/>
    </row>
    <row r="25" spans="1:9" ht="16.5" thickTop="1" thickBot="1" x14ac:dyDescent="0.3">
      <c r="A25" s="305"/>
      <c r="B25" s="59" t="s">
        <v>2</v>
      </c>
      <c r="C25" s="59">
        <v>288</v>
      </c>
      <c r="D25" s="27">
        <v>1113.75</v>
      </c>
      <c r="E25" s="50">
        <f>9+72</f>
        <v>81</v>
      </c>
      <c r="F25" s="50">
        <f>2+1+5+2+2+1+1+2</f>
        <v>16</v>
      </c>
      <c r="G25" s="269">
        <f t="shared" si="1"/>
        <v>65</v>
      </c>
      <c r="H25" s="292" t="s">
        <v>2002</v>
      </c>
      <c r="I25" s="301"/>
    </row>
    <row r="26" spans="1:9" ht="16.5" thickTop="1" thickBot="1" x14ac:dyDescent="0.3">
      <c r="A26" s="306"/>
      <c r="B26" s="20" t="s">
        <v>5</v>
      </c>
      <c r="C26" s="20">
        <v>144</v>
      </c>
      <c r="D26" s="28">
        <v>1636</v>
      </c>
      <c r="E26" s="55">
        <v>119</v>
      </c>
      <c r="F26" s="55"/>
      <c r="G26" s="270">
        <f t="shared" si="1"/>
        <v>119</v>
      </c>
      <c r="H26" s="295" t="s">
        <v>2003</v>
      </c>
      <c r="I26" s="301"/>
    </row>
    <row r="27" spans="1:9" ht="16.5" thickTop="1" thickBot="1" x14ac:dyDescent="0.3">
      <c r="A27" s="310" t="s">
        <v>135</v>
      </c>
      <c r="B27" s="45" t="s">
        <v>0</v>
      </c>
      <c r="C27" s="151">
        <v>1440</v>
      </c>
      <c r="D27" s="30">
        <v>1169</v>
      </c>
      <c r="E27" s="151">
        <f>15+25+25</f>
        <v>65</v>
      </c>
      <c r="F27" s="151"/>
      <c r="G27" s="243">
        <f t="shared" si="1"/>
        <v>65</v>
      </c>
      <c r="H27" s="291" t="s">
        <v>2004</v>
      </c>
      <c r="I27" s="301" t="s">
        <v>338</v>
      </c>
    </row>
    <row r="28" spans="1:9" ht="16.5" thickTop="1" thickBot="1" x14ac:dyDescent="0.3">
      <c r="A28" s="312"/>
      <c r="B28" s="46" t="s">
        <v>1</v>
      </c>
      <c r="C28" s="126">
        <v>1440</v>
      </c>
      <c r="D28" s="28">
        <v>1749</v>
      </c>
      <c r="E28" s="126">
        <f>15+5+15+15</f>
        <v>50</v>
      </c>
      <c r="F28" s="126"/>
      <c r="G28" s="246">
        <f t="shared" si="1"/>
        <v>50</v>
      </c>
      <c r="H28" s="295" t="s">
        <v>2005</v>
      </c>
      <c r="I28" s="301"/>
    </row>
    <row r="29" spans="1:9" ht="16.5" thickTop="1" thickBot="1" x14ac:dyDescent="0.3">
      <c r="A29" s="319" t="s">
        <v>24</v>
      </c>
      <c r="B29" s="160" t="s">
        <v>0</v>
      </c>
      <c r="C29" s="153">
        <v>1440</v>
      </c>
      <c r="D29" s="26">
        <v>1169</v>
      </c>
      <c r="E29" s="153">
        <f>5+25+25+25</f>
        <v>80</v>
      </c>
      <c r="F29" s="153">
        <v>2</v>
      </c>
      <c r="G29" s="244">
        <f t="shared" si="1"/>
        <v>78</v>
      </c>
      <c r="H29" s="291" t="s">
        <v>2006</v>
      </c>
      <c r="I29" s="301" t="s">
        <v>340</v>
      </c>
    </row>
    <row r="30" spans="1:9" ht="16.5" thickTop="1" thickBot="1" x14ac:dyDescent="0.3">
      <c r="A30" s="311"/>
      <c r="B30" s="83" t="s">
        <v>1</v>
      </c>
      <c r="C30" s="152">
        <v>1440</v>
      </c>
      <c r="D30" s="27">
        <v>1749</v>
      </c>
      <c r="E30" s="152">
        <v>104</v>
      </c>
      <c r="F30" s="152">
        <f>2+1</f>
        <v>3</v>
      </c>
      <c r="G30" s="245">
        <f t="shared" si="1"/>
        <v>101</v>
      </c>
      <c r="H30" s="292" t="s">
        <v>2007</v>
      </c>
      <c r="I30" s="301"/>
    </row>
    <row r="31" spans="1:9" ht="16.5" thickTop="1" thickBot="1" x14ac:dyDescent="0.3">
      <c r="A31" s="320"/>
      <c r="B31" s="127" t="s">
        <v>2</v>
      </c>
      <c r="C31" s="154">
        <v>288</v>
      </c>
      <c r="D31" s="29">
        <v>1169</v>
      </c>
      <c r="E31" s="154">
        <v>80</v>
      </c>
      <c r="F31" s="154">
        <v>2</v>
      </c>
      <c r="G31" s="247">
        <f t="shared" si="1"/>
        <v>78</v>
      </c>
      <c r="H31" s="295" t="s">
        <v>2008</v>
      </c>
      <c r="I31" s="301"/>
    </row>
    <row r="32" spans="1:9" ht="16.5" thickTop="1" thickBot="1" x14ac:dyDescent="0.3">
      <c r="A32" s="329" t="s">
        <v>1208</v>
      </c>
      <c r="B32" s="45" t="s">
        <v>0</v>
      </c>
      <c r="C32" s="151">
        <v>1440</v>
      </c>
      <c r="D32" s="30">
        <v>1169</v>
      </c>
      <c r="E32" s="151">
        <v>84</v>
      </c>
      <c r="F32" s="151"/>
      <c r="G32" s="243">
        <f t="shared" si="1"/>
        <v>84</v>
      </c>
      <c r="H32" s="291" t="s">
        <v>2009</v>
      </c>
      <c r="I32" s="301" t="s">
        <v>341</v>
      </c>
    </row>
    <row r="33" spans="1:9" ht="16.5" thickTop="1" thickBot="1" x14ac:dyDescent="0.3">
      <c r="A33" s="330"/>
      <c r="B33" s="83" t="s">
        <v>1</v>
      </c>
      <c r="C33" s="152">
        <v>1440</v>
      </c>
      <c r="D33" s="27">
        <v>1749</v>
      </c>
      <c r="E33" s="152">
        <v>102</v>
      </c>
      <c r="F33" s="152"/>
      <c r="G33" s="245">
        <f t="shared" si="1"/>
        <v>102</v>
      </c>
      <c r="H33" s="292" t="s">
        <v>2010</v>
      </c>
      <c r="I33" s="301"/>
    </row>
    <row r="34" spans="1:9" ht="16.5" thickTop="1" thickBot="1" x14ac:dyDescent="0.3">
      <c r="A34" s="331"/>
      <c r="B34" s="46" t="s">
        <v>2</v>
      </c>
      <c r="C34" s="126">
        <v>288</v>
      </c>
      <c r="D34" s="28">
        <v>1169</v>
      </c>
      <c r="E34" s="126">
        <v>151</v>
      </c>
      <c r="F34" s="126"/>
      <c r="G34" s="247">
        <f t="shared" si="1"/>
        <v>151</v>
      </c>
      <c r="H34" s="295" t="s">
        <v>2011</v>
      </c>
      <c r="I34" s="301"/>
    </row>
    <row r="35" spans="1:9" ht="16.5" thickTop="1" thickBot="1" x14ac:dyDescent="0.3">
      <c r="A35" s="310" t="s">
        <v>6</v>
      </c>
      <c r="B35" s="19" t="s">
        <v>0</v>
      </c>
      <c r="C35" s="19">
        <v>1440</v>
      </c>
      <c r="D35" s="26">
        <v>1169</v>
      </c>
      <c r="E35" s="57">
        <v>77</v>
      </c>
      <c r="F35" s="57"/>
      <c r="G35" s="268">
        <f t="shared" si="1"/>
        <v>77</v>
      </c>
      <c r="H35" s="291" t="s">
        <v>2012</v>
      </c>
      <c r="I35" s="301" t="s">
        <v>351</v>
      </c>
    </row>
    <row r="36" spans="1:9" ht="16.5" thickTop="1" thickBot="1" x14ac:dyDescent="0.3">
      <c r="A36" s="311"/>
      <c r="B36" s="60" t="s">
        <v>1</v>
      </c>
      <c r="C36" s="60">
        <v>1440</v>
      </c>
      <c r="D36" s="27">
        <v>1749.125</v>
      </c>
      <c r="E36" s="50">
        <v>99</v>
      </c>
      <c r="F36" s="50"/>
      <c r="G36" s="269">
        <f t="shared" si="1"/>
        <v>99</v>
      </c>
      <c r="H36" s="292" t="s">
        <v>2013</v>
      </c>
      <c r="I36" s="301"/>
    </row>
    <row r="37" spans="1:9" ht="16.5" thickTop="1" thickBot="1" x14ac:dyDescent="0.3">
      <c r="A37" s="312"/>
      <c r="B37" s="7" t="s">
        <v>2</v>
      </c>
      <c r="C37" s="7">
        <v>288</v>
      </c>
      <c r="D37" s="28">
        <v>1169</v>
      </c>
      <c r="E37" s="55">
        <v>80</v>
      </c>
      <c r="F37" s="52"/>
      <c r="G37" s="270">
        <f t="shared" si="1"/>
        <v>80</v>
      </c>
      <c r="H37" s="295" t="s">
        <v>2014</v>
      </c>
      <c r="I37" s="301"/>
    </row>
    <row r="38" spans="1:9" ht="16.5" thickTop="1" thickBot="1" x14ac:dyDescent="0.3">
      <c r="A38" s="319" t="s">
        <v>1213</v>
      </c>
      <c r="B38" s="8" t="s">
        <v>0</v>
      </c>
      <c r="C38" s="8">
        <v>1440</v>
      </c>
      <c r="D38" s="26">
        <v>1169</v>
      </c>
      <c r="E38" s="57">
        <v>38</v>
      </c>
      <c r="F38" s="48"/>
      <c r="G38" s="268">
        <f t="shared" si="1"/>
        <v>38</v>
      </c>
      <c r="H38" s="291" t="s">
        <v>2015</v>
      </c>
      <c r="I38" s="301" t="s">
        <v>343</v>
      </c>
    </row>
    <row r="39" spans="1:9" ht="16.5" thickTop="1" thickBot="1" x14ac:dyDescent="0.3">
      <c r="A39" s="311"/>
      <c r="B39" s="61" t="s">
        <v>1</v>
      </c>
      <c r="C39" s="61">
        <v>1440</v>
      </c>
      <c r="D39" s="27">
        <v>1749.125</v>
      </c>
      <c r="E39" s="50">
        <v>45</v>
      </c>
      <c r="F39" s="50"/>
      <c r="G39" s="269">
        <f t="shared" si="1"/>
        <v>45</v>
      </c>
      <c r="H39" s="292" t="s">
        <v>2016</v>
      </c>
      <c r="I39" s="301"/>
    </row>
    <row r="40" spans="1:9" ht="16.5" thickTop="1" thickBot="1" x14ac:dyDescent="0.3">
      <c r="A40" s="320"/>
      <c r="B40" s="9" t="s">
        <v>2</v>
      </c>
      <c r="C40" s="9">
        <v>288</v>
      </c>
      <c r="D40" s="28">
        <v>1169</v>
      </c>
      <c r="E40" s="55">
        <v>38</v>
      </c>
      <c r="F40" s="52"/>
      <c r="G40" s="270">
        <f t="shared" si="1"/>
        <v>38</v>
      </c>
      <c r="H40" s="295" t="s">
        <v>2017</v>
      </c>
      <c r="I40" s="301"/>
    </row>
    <row r="41" spans="1:9" ht="16.5" thickTop="1" thickBot="1" x14ac:dyDescent="0.3">
      <c r="A41" s="310" t="s">
        <v>76</v>
      </c>
      <c r="B41" s="10" t="s">
        <v>0</v>
      </c>
      <c r="C41" s="10">
        <v>1440</v>
      </c>
      <c r="D41" s="26">
        <v>1169</v>
      </c>
      <c r="E41" s="57">
        <v>60</v>
      </c>
      <c r="F41" s="48">
        <f>2+1+1+1+1</f>
        <v>6</v>
      </c>
      <c r="G41" s="268">
        <f t="shared" si="1"/>
        <v>54</v>
      </c>
      <c r="H41" s="291" t="s">
        <v>2018</v>
      </c>
      <c r="I41" s="301" t="s">
        <v>344</v>
      </c>
    </row>
    <row r="42" spans="1:9" ht="16.5" thickTop="1" thickBot="1" x14ac:dyDescent="0.3">
      <c r="A42" s="311"/>
      <c r="B42" s="62" t="s">
        <v>1</v>
      </c>
      <c r="C42" s="62">
        <v>1440</v>
      </c>
      <c r="D42" s="27">
        <v>1749.125</v>
      </c>
      <c r="E42" s="50">
        <v>93</v>
      </c>
      <c r="F42" s="50">
        <f>2+3+3+2+1+2+2+1</f>
        <v>16</v>
      </c>
      <c r="G42" s="269">
        <f t="shared" si="1"/>
        <v>77</v>
      </c>
      <c r="H42" s="292" t="s">
        <v>2019</v>
      </c>
      <c r="I42" s="301"/>
    </row>
    <row r="43" spans="1:9" ht="16.5" thickTop="1" thickBot="1" x14ac:dyDescent="0.3">
      <c r="A43" s="320"/>
      <c r="B43" s="11" t="s">
        <v>2</v>
      </c>
      <c r="C43" s="11">
        <v>288</v>
      </c>
      <c r="D43" s="28">
        <v>1169</v>
      </c>
      <c r="E43" s="55">
        <v>60</v>
      </c>
      <c r="F43" s="52">
        <f>1+2+1+1</f>
        <v>5</v>
      </c>
      <c r="G43" s="270">
        <f t="shared" si="1"/>
        <v>55</v>
      </c>
      <c r="H43" s="295" t="s">
        <v>2020</v>
      </c>
      <c r="I43" s="301"/>
    </row>
    <row r="44" spans="1:9" ht="16.5" thickTop="1" thickBot="1" x14ac:dyDescent="0.3">
      <c r="A44" s="332" t="s">
        <v>7</v>
      </c>
      <c r="B44" s="155" t="s">
        <v>0</v>
      </c>
      <c r="C44" s="155">
        <v>1440</v>
      </c>
      <c r="D44" s="26">
        <v>1169</v>
      </c>
      <c r="E44" s="57">
        <v>79</v>
      </c>
      <c r="F44" s="48"/>
      <c r="G44" s="268">
        <f t="shared" si="1"/>
        <v>79</v>
      </c>
      <c r="H44" s="291" t="s">
        <v>2021</v>
      </c>
      <c r="I44" s="301" t="s">
        <v>349</v>
      </c>
    </row>
    <row r="45" spans="1:9" ht="16.5" thickTop="1" thickBot="1" x14ac:dyDescent="0.3">
      <c r="A45" s="333"/>
      <c r="B45" s="63" t="s">
        <v>1</v>
      </c>
      <c r="C45" s="63">
        <v>1440</v>
      </c>
      <c r="D45" s="27">
        <v>1749.125</v>
      </c>
      <c r="E45" s="50">
        <v>98</v>
      </c>
      <c r="F45" s="50"/>
      <c r="G45" s="269">
        <f t="shared" si="1"/>
        <v>98</v>
      </c>
      <c r="H45" s="292" t="s">
        <v>2022</v>
      </c>
      <c r="I45" s="301"/>
    </row>
    <row r="46" spans="1:9" ht="16.5" thickTop="1" thickBot="1" x14ac:dyDescent="0.3">
      <c r="A46" s="334"/>
      <c r="B46" s="156" t="s">
        <v>2</v>
      </c>
      <c r="C46" s="156">
        <v>288</v>
      </c>
      <c r="D46" s="28">
        <v>1169</v>
      </c>
      <c r="E46" s="55">
        <v>79</v>
      </c>
      <c r="F46" s="52"/>
      <c r="G46" s="270">
        <f t="shared" si="1"/>
        <v>79</v>
      </c>
      <c r="H46" s="295" t="s">
        <v>2023</v>
      </c>
      <c r="I46" s="301"/>
    </row>
    <row r="47" spans="1:9" ht="16.5" thickTop="1" thickBot="1" x14ac:dyDescent="0.3">
      <c r="A47" s="335" t="s">
        <v>10</v>
      </c>
      <c r="B47" s="12" t="s">
        <v>0</v>
      </c>
      <c r="C47" s="12">
        <v>1440</v>
      </c>
      <c r="D47" s="26">
        <v>1169</v>
      </c>
      <c r="E47" s="57">
        <v>79</v>
      </c>
      <c r="F47" s="48">
        <v>1</v>
      </c>
      <c r="G47" s="268">
        <f t="shared" si="1"/>
        <v>78</v>
      </c>
      <c r="H47" s="291" t="s">
        <v>2024</v>
      </c>
      <c r="I47" s="301" t="s">
        <v>347</v>
      </c>
    </row>
    <row r="48" spans="1:9" ht="16.5" thickTop="1" thickBot="1" x14ac:dyDescent="0.3">
      <c r="A48" s="333"/>
      <c r="B48" s="64" t="s">
        <v>1</v>
      </c>
      <c r="C48" s="64">
        <v>1440</v>
      </c>
      <c r="D48" s="27">
        <v>1749.125</v>
      </c>
      <c r="E48" s="50">
        <v>97</v>
      </c>
      <c r="F48" s="50">
        <v>1</v>
      </c>
      <c r="G48" s="269">
        <f t="shared" si="1"/>
        <v>96</v>
      </c>
      <c r="H48" s="292" t="s">
        <v>2025</v>
      </c>
      <c r="I48" s="301"/>
    </row>
    <row r="49" spans="1:9" ht="16.5" thickTop="1" thickBot="1" x14ac:dyDescent="0.3">
      <c r="A49" s="336"/>
      <c r="B49" s="13" t="s">
        <v>2</v>
      </c>
      <c r="C49" s="13">
        <v>288</v>
      </c>
      <c r="D49" s="28">
        <v>1169</v>
      </c>
      <c r="E49" s="55">
        <v>79</v>
      </c>
      <c r="F49" s="52">
        <v>1</v>
      </c>
      <c r="G49" s="270">
        <f t="shared" si="1"/>
        <v>78</v>
      </c>
      <c r="H49" s="295" t="s">
        <v>2026</v>
      </c>
      <c r="I49" s="301"/>
    </row>
    <row r="50" spans="1:9" ht="16.5" thickTop="1" thickBot="1" x14ac:dyDescent="0.3">
      <c r="A50" s="310" t="s">
        <v>127</v>
      </c>
      <c r="B50" s="45" t="s">
        <v>0</v>
      </c>
      <c r="C50" s="151">
        <v>1440</v>
      </c>
      <c r="D50" s="30">
        <v>1169</v>
      </c>
      <c r="E50" s="151">
        <v>80</v>
      </c>
      <c r="F50" s="151"/>
      <c r="G50" s="244">
        <f t="shared" si="1"/>
        <v>80</v>
      </c>
      <c r="H50" s="291" t="s">
        <v>2027</v>
      </c>
      <c r="I50" s="301" t="s">
        <v>348</v>
      </c>
    </row>
    <row r="51" spans="1:9" ht="16.5" thickTop="1" thickBot="1" x14ac:dyDescent="0.3">
      <c r="A51" s="311"/>
      <c r="B51" s="83" t="s">
        <v>1</v>
      </c>
      <c r="C51" s="152">
        <v>1440</v>
      </c>
      <c r="D51" s="27">
        <v>1749</v>
      </c>
      <c r="E51" s="152">
        <v>99</v>
      </c>
      <c r="F51" s="152">
        <v>3</v>
      </c>
      <c r="G51" s="245">
        <f t="shared" si="1"/>
        <v>96</v>
      </c>
      <c r="H51" s="292" t="s">
        <v>2028</v>
      </c>
      <c r="I51" s="301"/>
    </row>
    <row r="52" spans="1:9" ht="16.5" customHeight="1" thickTop="1" thickBot="1" x14ac:dyDescent="0.3">
      <c r="A52" s="312"/>
      <c r="B52" s="46" t="s">
        <v>2</v>
      </c>
      <c r="C52" s="126">
        <v>288</v>
      </c>
      <c r="D52" s="28">
        <v>1169</v>
      </c>
      <c r="E52" s="126">
        <v>80</v>
      </c>
      <c r="F52" s="126"/>
      <c r="G52" s="247">
        <f t="shared" si="1"/>
        <v>80</v>
      </c>
      <c r="H52" s="295" t="s">
        <v>2029</v>
      </c>
      <c r="I52" s="301"/>
    </row>
    <row r="53" spans="1:9" ht="16.5" thickTop="1" thickBot="1" x14ac:dyDescent="0.3">
      <c r="A53" s="340" t="s">
        <v>8</v>
      </c>
      <c r="B53" s="14" t="s">
        <v>0</v>
      </c>
      <c r="C53" s="14">
        <v>1440</v>
      </c>
      <c r="D53" s="26">
        <v>1169</v>
      </c>
      <c r="E53" s="57">
        <v>30</v>
      </c>
      <c r="F53" s="48"/>
      <c r="G53" s="268">
        <f t="shared" si="1"/>
        <v>30</v>
      </c>
      <c r="H53" s="291" t="s">
        <v>2030</v>
      </c>
      <c r="I53" s="301" t="s">
        <v>345</v>
      </c>
    </row>
    <row r="54" spans="1:9" ht="16.5" thickTop="1" thickBot="1" x14ac:dyDescent="0.3">
      <c r="A54" s="341"/>
      <c r="B54" s="65" t="s">
        <v>1</v>
      </c>
      <c r="C54" s="65">
        <v>1440</v>
      </c>
      <c r="D54" s="27">
        <v>1749.125</v>
      </c>
      <c r="E54" s="50">
        <v>37</v>
      </c>
      <c r="F54" s="52"/>
      <c r="G54" s="272">
        <f>E54-F54</f>
        <v>37</v>
      </c>
      <c r="H54" s="292" t="s">
        <v>2031</v>
      </c>
      <c r="I54" s="301"/>
    </row>
    <row r="55" spans="1:9" ht="16.5" thickTop="1" thickBot="1" x14ac:dyDescent="0.3">
      <c r="A55" s="342"/>
      <c r="B55" s="15" t="s">
        <v>2</v>
      </c>
      <c r="C55" s="15">
        <v>288</v>
      </c>
      <c r="D55" s="28">
        <v>1169</v>
      </c>
      <c r="E55" s="55">
        <v>30</v>
      </c>
      <c r="F55" s="52"/>
      <c r="G55" s="270">
        <f t="shared" si="1"/>
        <v>30</v>
      </c>
      <c r="H55" s="295" t="s">
        <v>2032</v>
      </c>
      <c r="I55" s="301"/>
    </row>
    <row r="56" spans="1:9" ht="16.5" thickTop="1" thickBot="1" x14ac:dyDescent="0.3">
      <c r="A56" s="319" t="s">
        <v>9</v>
      </c>
      <c r="B56" s="16" t="s">
        <v>0</v>
      </c>
      <c r="C56" s="16">
        <v>1440</v>
      </c>
      <c r="D56" s="26">
        <v>1169</v>
      </c>
      <c r="E56" s="57">
        <v>79</v>
      </c>
      <c r="F56" s="48">
        <f>1+1+1+1+1</f>
        <v>5</v>
      </c>
      <c r="G56" s="268">
        <f t="shared" si="1"/>
        <v>74</v>
      </c>
      <c r="H56" s="291" t="s">
        <v>2033</v>
      </c>
      <c r="I56" s="301" t="s">
        <v>346</v>
      </c>
    </row>
    <row r="57" spans="1:9" ht="16.5" thickTop="1" thickBot="1" x14ac:dyDescent="0.3">
      <c r="A57" s="311"/>
      <c r="B57" s="66" t="s">
        <v>1</v>
      </c>
      <c r="C57" s="66">
        <v>1440</v>
      </c>
      <c r="D57" s="27">
        <v>1749.125</v>
      </c>
      <c r="E57" s="50">
        <v>95</v>
      </c>
      <c r="F57" s="50">
        <f>1+1+1</f>
        <v>3</v>
      </c>
      <c r="G57" s="269">
        <f t="shared" si="1"/>
        <v>92</v>
      </c>
      <c r="H57" s="292" t="s">
        <v>2034</v>
      </c>
      <c r="I57" s="301"/>
    </row>
    <row r="58" spans="1:9" ht="16.5" thickTop="1" thickBot="1" x14ac:dyDescent="0.3">
      <c r="A58" s="320"/>
      <c r="B58" s="17" t="s">
        <v>2</v>
      </c>
      <c r="C58" s="17">
        <v>288</v>
      </c>
      <c r="D58" s="29">
        <v>1169</v>
      </c>
      <c r="E58" s="52">
        <v>79</v>
      </c>
      <c r="F58" s="52">
        <f>1+1</f>
        <v>2</v>
      </c>
      <c r="G58" s="272">
        <f t="shared" si="1"/>
        <v>77</v>
      </c>
      <c r="H58" s="295" t="s">
        <v>2035</v>
      </c>
      <c r="I58" s="301"/>
    </row>
    <row r="59" spans="1:9" ht="16.5" thickTop="1" thickBot="1" x14ac:dyDescent="0.3">
      <c r="A59" s="310" t="s">
        <v>78</v>
      </c>
      <c r="B59" s="22" t="s">
        <v>0</v>
      </c>
      <c r="C59" s="22">
        <v>1440</v>
      </c>
      <c r="D59" s="30">
        <v>1169</v>
      </c>
      <c r="E59" s="48">
        <v>80</v>
      </c>
      <c r="F59" s="48">
        <f>1+1</f>
        <v>2</v>
      </c>
      <c r="G59" s="268">
        <f t="shared" si="1"/>
        <v>78</v>
      </c>
      <c r="H59" s="291" t="s">
        <v>2036</v>
      </c>
      <c r="I59" s="301" t="s">
        <v>355</v>
      </c>
    </row>
    <row r="60" spans="1:9" ht="16.5" thickTop="1" thickBot="1" x14ac:dyDescent="0.3">
      <c r="A60" s="311"/>
      <c r="B60" s="44" t="s">
        <v>1</v>
      </c>
      <c r="C60" s="44">
        <v>1440</v>
      </c>
      <c r="D60" s="27">
        <v>1749</v>
      </c>
      <c r="E60" s="50">
        <v>95</v>
      </c>
      <c r="F60" s="50">
        <f>1+1+2</f>
        <v>4</v>
      </c>
      <c r="G60" s="269">
        <f t="shared" si="1"/>
        <v>91</v>
      </c>
      <c r="H60" s="292" t="s">
        <v>2037</v>
      </c>
      <c r="I60" s="301"/>
    </row>
    <row r="61" spans="1:9" ht="16.5" thickTop="1" thickBot="1" x14ac:dyDescent="0.3">
      <c r="A61" s="312"/>
      <c r="B61" s="23" t="s">
        <v>2</v>
      </c>
      <c r="C61" s="23">
        <v>288</v>
      </c>
      <c r="D61" s="28">
        <v>1169</v>
      </c>
      <c r="E61" s="55">
        <v>83</v>
      </c>
      <c r="F61" s="55">
        <f>1+1+1</f>
        <v>3</v>
      </c>
      <c r="G61" s="270">
        <f t="shared" si="1"/>
        <v>80</v>
      </c>
      <c r="H61" s="295" t="s">
        <v>2038</v>
      </c>
      <c r="I61" s="301"/>
    </row>
    <row r="62" spans="1:9" ht="16.5" thickTop="1" thickBot="1" x14ac:dyDescent="0.3">
      <c r="A62" s="319" t="s">
        <v>580</v>
      </c>
      <c r="B62" s="21" t="s">
        <v>0</v>
      </c>
      <c r="C62" s="21">
        <v>1440</v>
      </c>
      <c r="D62" s="26">
        <v>1169</v>
      </c>
      <c r="E62" s="57">
        <v>80</v>
      </c>
      <c r="F62" s="57">
        <v>1</v>
      </c>
      <c r="G62" s="271">
        <f t="shared" si="1"/>
        <v>79</v>
      </c>
      <c r="H62" s="291" t="s">
        <v>2039</v>
      </c>
      <c r="I62" s="301" t="s">
        <v>354</v>
      </c>
    </row>
    <row r="63" spans="1:9" ht="16.5" thickTop="1" thickBot="1" x14ac:dyDescent="0.3">
      <c r="A63" s="311"/>
      <c r="B63" s="67" t="s">
        <v>1</v>
      </c>
      <c r="C63" s="67">
        <v>1440</v>
      </c>
      <c r="D63" s="27">
        <v>1749.125</v>
      </c>
      <c r="E63" s="50">
        <v>98</v>
      </c>
      <c r="F63" s="50">
        <v>1</v>
      </c>
      <c r="G63" s="269">
        <f t="shared" si="1"/>
        <v>97</v>
      </c>
      <c r="H63" s="292" t="s">
        <v>2040</v>
      </c>
      <c r="I63" s="301"/>
    </row>
    <row r="64" spans="1:9" ht="16.5" thickTop="1" thickBot="1" x14ac:dyDescent="0.3">
      <c r="A64" s="312"/>
      <c r="B64" s="18" t="s">
        <v>2</v>
      </c>
      <c r="C64" s="18">
        <v>288</v>
      </c>
      <c r="D64" s="28">
        <v>1169</v>
      </c>
      <c r="E64" s="55">
        <v>81</v>
      </c>
      <c r="F64" s="52"/>
      <c r="G64" s="270">
        <f t="shared" si="1"/>
        <v>81</v>
      </c>
      <c r="H64" s="295" t="s">
        <v>2041</v>
      </c>
      <c r="I64" s="301"/>
    </row>
    <row r="65" spans="1:9" ht="16.5" thickTop="1" thickBot="1" x14ac:dyDescent="0.3">
      <c r="A65" s="343" t="s">
        <v>11</v>
      </c>
      <c r="B65" s="157" t="s">
        <v>0</v>
      </c>
      <c r="C65" s="157">
        <v>1440</v>
      </c>
      <c r="D65" s="30">
        <v>1169</v>
      </c>
      <c r="E65" s="48">
        <v>80</v>
      </c>
      <c r="F65" s="48"/>
      <c r="G65" s="268">
        <f t="shared" si="1"/>
        <v>80</v>
      </c>
      <c r="H65" s="291" t="s">
        <v>2042</v>
      </c>
      <c r="I65" s="301" t="s">
        <v>356</v>
      </c>
    </row>
    <row r="66" spans="1:9" ht="16.5" thickTop="1" thickBot="1" x14ac:dyDescent="0.3">
      <c r="A66" s="344"/>
      <c r="B66" s="158" t="s">
        <v>1</v>
      </c>
      <c r="C66" s="158">
        <v>1440</v>
      </c>
      <c r="D66" s="27">
        <v>1749.125</v>
      </c>
      <c r="E66" s="50">
        <v>99</v>
      </c>
      <c r="F66" s="50">
        <f>2+1</f>
        <v>3</v>
      </c>
      <c r="G66" s="269">
        <f t="shared" si="1"/>
        <v>96</v>
      </c>
      <c r="H66" s="292" t="s">
        <v>2043</v>
      </c>
      <c r="I66" s="301"/>
    </row>
    <row r="67" spans="1:9" ht="16.5" thickTop="1" thickBot="1" x14ac:dyDescent="0.3">
      <c r="A67" s="345"/>
      <c r="B67" s="159" t="s">
        <v>2</v>
      </c>
      <c r="C67" s="159">
        <v>288</v>
      </c>
      <c r="D67" s="28">
        <v>1169</v>
      </c>
      <c r="E67" s="55">
        <v>77</v>
      </c>
      <c r="F67" s="55">
        <f>1+2</f>
        <v>3</v>
      </c>
      <c r="G67" s="270">
        <f t="shared" si="1"/>
        <v>74</v>
      </c>
      <c r="H67" s="295" t="s">
        <v>2044</v>
      </c>
      <c r="I67" s="301"/>
    </row>
    <row r="68" spans="1:9" ht="16.5" thickTop="1" thickBot="1" x14ac:dyDescent="0.3">
      <c r="A68" s="310" t="s">
        <v>131</v>
      </c>
      <c r="B68" s="45" t="s">
        <v>0</v>
      </c>
      <c r="C68" s="151">
        <v>1440</v>
      </c>
      <c r="D68" s="30">
        <v>1169</v>
      </c>
      <c r="E68" s="151">
        <v>40</v>
      </c>
      <c r="F68" s="151"/>
      <c r="G68" s="243">
        <f t="shared" si="1"/>
        <v>40</v>
      </c>
      <c r="H68" s="291" t="s">
        <v>2045</v>
      </c>
      <c r="I68" s="301" t="s">
        <v>357</v>
      </c>
    </row>
    <row r="69" spans="1:9" ht="16.5" thickTop="1" thickBot="1" x14ac:dyDescent="0.3">
      <c r="A69" s="311"/>
      <c r="B69" s="83" t="s">
        <v>1</v>
      </c>
      <c r="C69" s="152">
        <v>1440</v>
      </c>
      <c r="D69" s="27">
        <v>1749</v>
      </c>
      <c r="E69" s="152">
        <v>49</v>
      </c>
      <c r="F69" s="152">
        <v>1</v>
      </c>
      <c r="G69" s="245">
        <f t="shared" si="1"/>
        <v>48</v>
      </c>
      <c r="H69" s="292" t="s">
        <v>2046</v>
      </c>
      <c r="I69" s="301"/>
    </row>
    <row r="70" spans="1:9" ht="16.5" thickTop="1" thickBot="1" x14ac:dyDescent="0.3">
      <c r="A70" s="312"/>
      <c r="B70" s="46" t="s">
        <v>2</v>
      </c>
      <c r="C70" s="126">
        <v>288</v>
      </c>
      <c r="D70" s="28">
        <v>1169</v>
      </c>
      <c r="E70" s="126">
        <v>40</v>
      </c>
      <c r="F70" s="126"/>
      <c r="G70" s="246">
        <f t="shared" si="1"/>
        <v>40</v>
      </c>
      <c r="H70" s="295" t="s">
        <v>2047</v>
      </c>
      <c r="I70" s="301"/>
    </row>
    <row r="71" spans="1:9" ht="16.5" thickTop="1" thickBot="1" x14ac:dyDescent="0.3">
      <c r="A71" s="346" t="s">
        <v>25</v>
      </c>
      <c r="B71" s="160" t="s">
        <v>0</v>
      </c>
      <c r="C71" s="153">
        <v>1440</v>
      </c>
      <c r="D71" s="26">
        <v>1169</v>
      </c>
      <c r="E71" s="153">
        <v>70</v>
      </c>
      <c r="F71" s="153"/>
      <c r="G71" s="244">
        <f t="shared" si="1"/>
        <v>70</v>
      </c>
      <c r="H71" s="291" t="s">
        <v>2048</v>
      </c>
      <c r="I71" s="301" t="s">
        <v>353</v>
      </c>
    </row>
    <row r="72" spans="1:9" ht="16.5" thickTop="1" thickBot="1" x14ac:dyDescent="0.3">
      <c r="A72" s="330"/>
      <c r="B72" s="83" t="s">
        <v>1</v>
      </c>
      <c r="C72" s="152">
        <v>1440</v>
      </c>
      <c r="D72" s="27">
        <v>1749</v>
      </c>
      <c r="E72" s="152">
        <v>72</v>
      </c>
      <c r="F72" s="152">
        <v>2</v>
      </c>
      <c r="G72" s="245">
        <f t="shared" si="1"/>
        <v>70</v>
      </c>
      <c r="H72" s="292" t="s">
        <v>2049</v>
      </c>
      <c r="I72" s="301"/>
    </row>
    <row r="73" spans="1:9" ht="16.5" thickTop="1" thickBot="1" x14ac:dyDescent="0.3">
      <c r="A73" s="347"/>
      <c r="B73" s="127" t="s">
        <v>2</v>
      </c>
      <c r="C73" s="154">
        <v>288</v>
      </c>
      <c r="D73" s="29">
        <v>1169</v>
      </c>
      <c r="E73" s="154">
        <v>50</v>
      </c>
      <c r="F73" s="154">
        <v>1</v>
      </c>
      <c r="G73" s="247">
        <f t="shared" si="1"/>
        <v>49</v>
      </c>
      <c r="H73" s="295" t="s">
        <v>2050</v>
      </c>
      <c r="I73" s="301"/>
    </row>
    <row r="74" spans="1:9" ht="16.5" thickTop="1" thickBot="1" x14ac:dyDescent="0.3">
      <c r="A74" s="337" t="s">
        <v>581</v>
      </c>
      <c r="B74" s="157" t="s">
        <v>0</v>
      </c>
      <c r="C74" s="157">
        <v>1440</v>
      </c>
      <c r="D74" s="30">
        <v>1279</v>
      </c>
      <c r="E74" s="48">
        <v>20</v>
      </c>
      <c r="F74" s="48"/>
      <c r="G74" s="268">
        <f t="shared" si="1"/>
        <v>20</v>
      </c>
      <c r="H74" s="291" t="s">
        <v>2051</v>
      </c>
      <c r="I74" s="301" t="s">
        <v>358</v>
      </c>
    </row>
    <row r="75" spans="1:9" ht="16.5" thickTop="1" thickBot="1" x14ac:dyDescent="0.3">
      <c r="A75" s="338"/>
      <c r="B75" s="158" t="s">
        <v>1</v>
      </c>
      <c r="C75" s="158">
        <v>1440</v>
      </c>
      <c r="D75" s="27">
        <v>2355</v>
      </c>
      <c r="E75" s="50">
        <v>24</v>
      </c>
      <c r="F75" s="50">
        <v>1</v>
      </c>
      <c r="G75" s="269">
        <f t="shared" si="1"/>
        <v>23</v>
      </c>
      <c r="H75" s="292" t="s">
        <v>2052</v>
      </c>
      <c r="I75" s="301"/>
    </row>
    <row r="76" spans="1:9" ht="16.5" thickTop="1" thickBot="1" x14ac:dyDescent="0.3">
      <c r="A76" s="339"/>
      <c r="B76" s="159" t="s">
        <v>2</v>
      </c>
      <c r="C76" s="159">
        <v>288</v>
      </c>
      <c r="D76" s="28">
        <v>1279</v>
      </c>
      <c r="E76" s="55">
        <v>20</v>
      </c>
      <c r="F76" s="55"/>
      <c r="G76" s="270">
        <f t="shared" si="1"/>
        <v>20</v>
      </c>
      <c r="H76" s="295" t="s">
        <v>2053</v>
      </c>
      <c r="I76" s="301"/>
    </row>
    <row r="77" spans="1:9" ht="16.5" thickTop="1" thickBot="1" x14ac:dyDescent="0.3">
      <c r="A77" s="319" t="s">
        <v>3</v>
      </c>
      <c r="B77" s="68" t="s">
        <v>0</v>
      </c>
      <c r="C77" s="68">
        <v>1440</v>
      </c>
      <c r="D77" s="26">
        <v>1224.25</v>
      </c>
      <c r="E77" s="57">
        <v>40</v>
      </c>
      <c r="F77" s="57"/>
      <c r="G77" s="271">
        <f t="shared" si="1"/>
        <v>40</v>
      </c>
      <c r="H77" s="291" t="s">
        <v>2054</v>
      </c>
      <c r="I77" s="301" t="s">
        <v>362</v>
      </c>
    </row>
    <row r="78" spans="1:9" ht="16.5" thickTop="1" thickBot="1" x14ac:dyDescent="0.3">
      <c r="A78" s="311"/>
      <c r="B78" s="69" t="s">
        <v>1</v>
      </c>
      <c r="C78" s="69">
        <v>1440</v>
      </c>
      <c r="D78" s="27">
        <v>1803.3125</v>
      </c>
      <c r="E78" s="50">
        <v>49</v>
      </c>
      <c r="F78" s="50"/>
      <c r="G78" s="269">
        <f t="shared" si="1"/>
        <v>49</v>
      </c>
      <c r="H78" s="292" t="s">
        <v>2055</v>
      </c>
      <c r="I78" s="301"/>
    </row>
    <row r="79" spans="1:9" ht="16.5" thickTop="1" thickBot="1" x14ac:dyDescent="0.3">
      <c r="A79" s="312"/>
      <c r="B79" s="70" t="s">
        <v>2</v>
      </c>
      <c r="C79" s="70">
        <v>288</v>
      </c>
      <c r="D79" s="29">
        <v>1224.25</v>
      </c>
      <c r="E79" s="52">
        <v>40</v>
      </c>
      <c r="F79" s="52"/>
      <c r="G79" s="272">
        <f t="shared" si="1"/>
        <v>40</v>
      </c>
      <c r="H79" s="295" t="s">
        <v>2056</v>
      </c>
      <c r="I79" s="301"/>
    </row>
    <row r="80" spans="1:9" ht="16.5" thickTop="1" thickBot="1" x14ac:dyDescent="0.3">
      <c r="A80" s="304" t="s">
        <v>1217</v>
      </c>
      <c r="B80" s="71" t="s">
        <v>0</v>
      </c>
      <c r="C80" s="71">
        <v>1440</v>
      </c>
      <c r="D80" s="30">
        <v>1224.25</v>
      </c>
      <c r="E80" s="48">
        <v>40</v>
      </c>
      <c r="F80" s="48"/>
      <c r="G80" s="268">
        <v>40</v>
      </c>
      <c r="H80" s="291" t="s">
        <v>2057</v>
      </c>
      <c r="I80" s="301" t="s">
        <v>363</v>
      </c>
    </row>
    <row r="81" spans="1:9" ht="16.5" thickTop="1" thickBot="1" x14ac:dyDescent="0.3">
      <c r="A81" s="305"/>
      <c r="B81" s="40" t="s">
        <v>1</v>
      </c>
      <c r="C81" s="40">
        <v>1440</v>
      </c>
      <c r="D81" s="29">
        <v>1803</v>
      </c>
      <c r="E81" s="52">
        <v>49</v>
      </c>
      <c r="F81" s="52">
        <f>1+1</f>
        <v>2</v>
      </c>
      <c r="G81" s="272">
        <f t="shared" ref="G81" si="2">E81-F81</f>
        <v>47</v>
      </c>
      <c r="H81" s="292" t="s">
        <v>2058</v>
      </c>
      <c r="I81" s="301"/>
    </row>
    <row r="82" spans="1:9" ht="16.5" thickTop="1" thickBot="1" x14ac:dyDescent="0.3">
      <c r="A82" s="306"/>
      <c r="B82" s="24" t="s">
        <v>2</v>
      </c>
      <c r="C82" s="24">
        <v>288</v>
      </c>
      <c r="D82" s="28">
        <v>1224</v>
      </c>
      <c r="E82" s="55">
        <v>39</v>
      </c>
      <c r="F82" s="55">
        <f>1+1</f>
        <v>2</v>
      </c>
      <c r="G82" s="270">
        <f t="shared" si="1"/>
        <v>37</v>
      </c>
      <c r="H82" s="295" t="s">
        <v>2059</v>
      </c>
      <c r="I82" s="301"/>
    </row>
    <row r="83" spans="1:9" ht="16.5" thickTop="1" thickBot="1" x14ac:dyDescent="0.3">
      <c r="A83" s="310" t="s">
        <v>582</v>
      </c>
      <c r="B83" s="72" t="s">
        <v>0</v>
      </c>
      <c r="C83" s="72">
        <v>1440</v>
      </c>
      <c r="D83" s="26">
        <v>1224.25</v>
      </c>
      <c r="E83" s="57">
        <v>85</v>
      </c>
      <c r="F83" s="57">
        <f>1+1+3+1</f>
        <v>6</v>
      </c>
      <c r="G83" s="268">
        <f t="shared" si="1"/>
        <v>79</v>
      </c>
      <c r="H83" s="291" t="s">
        <v>2060</v>
      </c>
      <c r="I83" s="301" t="s">
        <v>360</v>
      </c>
    </row>
    <row r="84" spans="1:9" ht="16.5" thickTop="1" thickBot="1" x14ac:dyDescent="0.3">
      <c r="A84" s="311"/>
      <c r="B84" s="73" t="s">
        <v>1</v>
      </c>
      <c r="C84" s="73">
        <v>1440</v>
      </c>
      <c r="D84" s="27">
        <v>1803.3125</v>
      </c>
      <c r="E84" s="50">
        <v>109</v>
      </c>
      <c r="F84" s="50">
        <f>2+5+3+1+2+1</f>
        <v>14</v>
      </c>
      <c r="G84" s="269">
        <f t="shared" si="1"/>
        <v>95</v>
      </c>
      <c r="H84" s="292" t="s">
        <v>2061</v>
      </c>
      <c r="I84" s="301"/>
    </row>
    <row r="85" spans="1:9" ht="16.5" thickTop="1" thickBot="1" x14ac:dyDescent="0.3">
      <c r="A85" s="312"/>
      <c r="B85" s="74" t="s">
        <v>2</v>
      </c>
      <c r="C85" s="74">
        <v>288</v>
      </c>
      <c r="D85" s="28">
        <v>1224.25</v>
      </c>
      <c r="E85" s="55">
        <v>86</v>
      </c>
      <c r="F85" s="55">
        <f>2+1+2+1+2</f>
        <v>8</v>
      </c>
      <c r="G85" s="270">
        <f t="shared" si="1"/>
        <v>78</v>
      </c>
      <c r="H85" s="295" t="s">
        <v>2062</v>
      </c>
      <c r="I85" s="301"/>
    </row>
    <row r="86" spans="1:9" ht="16.5" thickTop="1" thickBot="1" x14ac:dyDescent="0.3">
      <c r="A86" s="310" t="s">
        <v>102</v>
      </c>
      <c r="B86" s="75" t="s">
        <v>0</v>
      </c>
      <c r="C86" s="75">
        <v>1440</v>
      </c>
      <c r="D86" s="30">
        <v>1224</v>
      </c>
      <c r="E86" s="48">
        <v>75</v>
      </c>
      <c r="F86" s="48">
        <f>1+1+1+1+1</f>
        <v>5</v>
      </c>
      <c r="G86" s="268">
        <f t="shared" si="1"/>
        <v>70</v>
      </c>
      <c r="H86" s="291" t="s">
        <v>2063</v>
      </c>
      <c r="I86" s="301" t="s">
        <v>359</v>
      </c>
    </row>
    <row r="87" spans="1:9" ht="16.5" thickTop="1" thickBot="1" x14ac:dyDescent="0.3">
      <c r="A87" s="311"/>
      <c r="B87" s="76" t="s">
        <v>1</v>
      </c>
      <c r="C87" s="76">
        <v>1440</v>
      </c>
      <c r="D87" s="27">
        <v>1803</v>
      </c>
      <c r="E87" s="50">
        <v>97</v>
      </c>
      <c r="F87" s="50">
        <f>1+2+1+2+2+1</f>
        <v>9</v>
      </c>
      <c r="G87" s="269">
        <f t="shared" si="1"/>
        <v>88</v>
      </c>
      <c r="H87" s="292" t="s">
        <v>2064</v>
      </c>
      <c r="I87" s="301"/>
    </row>
    <row r="88" spans="1:9" ht="16.5" thickTop="1" thickBot="1" x14ac:dyDescent="0.3">
      <c r="A88" s="312"/>
      <c r="B88" s="46" t="s">
        <v>2</v>
      </c>
      <c r="C88" s="126">
        <v>288</v>
      </c>
      <c r="D88" s="28">
        <v>1224</v>
      </c>
      <c r="E88" s="126">
        <v>75</v>
      </c>
      <c r="F88" s="126">
        <f>5+6+2+1+2+1+2</f>
        <v>19</v>
      </c>
      <c r="G88" s="246">
        <f t="shared" si="1"/>
        <v>56</v>
      </c>
      <c r="H88" s="295" t="s">
        <v>2065</v>
      </c>
      <c r="I88" s="301"/>
    </row>
    <row r="89" spans="1:9" ht="16.5" thickTop="1" thickBot="1" x14ac:dyDescent="0.3">
      <c r="A89" s="310" t="s">
        <v>146</v>
      </c>
      <c r="B89" s="77" t="s">
        <v>0</v>
      </c>
      <c r="C89" s="77">
        <v>1440</v>
      </c>
      <c r="D89" s="26">
        <v>1224.25</v>
      </c>
      <c r="E89" s="57">
        <v>59</v>
      </c>
      <c r="F89" s="57">
        <f>1+2</f>
        <v>3</v>
      </c>
      <c r="G89" s="271">
        <f t="shared" si="1"/>
        <v>56</v>
      </c>
      <c r="H89" s="291" t="s">
        <v>2066</v>
      </c>
      <c r="I89" s="301" t="s">
        <v>361</v>
      </c>
    </row>
    <row r="90" spans="1:9" ht="16.5" thickTop="1" thickBot="1" x14ac:dyDescent="0.3">
      <c r="A90" s="311"/>
      <c r="B90" s="78" t="s">
        <v>1</v>
      </c>
      <c r="C90" s="78">
        <v>1440</v>
      </c>
      <c r="D90" s="27">
        <v>1803.3125</v>
      </c>
      <c r="E90" s="50">
        <v>83</v>
      </c>
      <c r="F90" s="50">
        <v>1</v>
      </c>
      <c r="G90" s="269">
        <f t="shared" si="1"/>
        <v>82</v>
      </c>
      <c r="H90" s="292" t="s">
        <v>2067</v>
      </c>
      <c r="I90" s="301"/>
    </row>
    <row r="91" spans="1:9" ht="16.5" thickTop="1" thickBot="1" x14ac:dyDescent="0.3">
      <c r="A91" s="320"/>
      <c r="B91" s="79" t="s">
        <v>2</v>
      </c>
      <c r="C91" s="79">
        <v>288</v>
      </c>
      <c r="D91" s="29">
        <v>1224.25</v>
      </c>
      <c r="E91" s="52">
        <v>58</v>
      </c>
      <c r="F91" s="52">
        <v>1</v>
      </c>
      <c r="G91" s="272">
        <f t="shared" ref="G91:G108" si="3">E91-F91</f>
        <v>57</v>
      </c>
      <c r="H91" s="295" t="s">
        <v>2068</v>
      </c>
      <c r="I91" s="301"/>
    </row>
    <row r="92" spans="1:9" ht="16.5" thickTop="1" thickBot="1" x14ac:dyDescent="0.3">
      <c r="A92" s="329" t="s">
        <v>26</v>
      </c>
      <c r="B92" s="45" t="s">
        <v>0</v>
      </c>
      <c r="C92" s="151">
        <v>1440</v>
      </c>
      <c r="D92" s="30">
        <v>1720</v>
      </c>
      <c r="E92" s="151">
        <v>37</v>
      </c>
      <c r="F92" s="151"/>
      <c r="G92" s="243">
        <f t="shared" si="3"/>
        <v>37</v>
      </c>
      <c r="H92" s="291" t="s">
        <v>2069</v>
      </c>
      <c r="I92" s="301" t="s">
        <v>364</v>
      </c>
    </row>
    <row r="93" spans="1:9" ht="16.5" thickTop="1" thickBot="1" x14ac:dyDescent="0.3">
      <c r="A93" s="330"/>
      <c r="B93" s="83" t="s">
        <v>1</v>
      </c>
      <c r="C93" s="152">
        <v>1440</v>
      </c>
      <c r="D93" s="27">
        <v>2906</v>
      </c>
      <c r="E93" s="152">
        <v>46</v>
      </c>
      <c r="F93" s="152"/>
      <c r="G93" s="245">
        <f t="shared" si="3"/>
        <v>46</v>
      </c>
      <c r="H93" s="292" t="s">
        <v>2070</v>
      </c>
      <c r="I93" s="301"/>
    </row>
    <row r="94" spans="1:9" ht="16.5" thickTop="1" thickBot="1" x14ac:dyDescent="0.3">
      <c r="A94" s="331"/>
      <c r="B94" s="46" t="s">
        <v>2</v>
      </c>
      <c r="C94" s="126">
        <v>288</v>
      </c>
      <c r="D94" s="28">
        <v>1720</v>
      </c>
      <c r="E94" s="126">
        <v>25</v>
      </c>
      <c r="F94" s="126"/>
      <c r="G94" s="246">
        <f t="shared" si="3"/>
        <v>25</v>
      </c>
      <c r="H94" s="295" t="s">
        <v>2071</v>
      </c>
      <c r="I94" s="301"/>
    </row>
    <row r="95" spans="1:9" ht="16.5" thickTop="1" thickBot="1" x14ac:dyDescent="0.3">
      <c r="A95" s="310" t="s">
        <v>583</v>
      </c>
      <c r="B95" s="151" t="s">
        <v>0</v>
      </c>
      <c r="C95" s="80">
        <v>1440</v>
      </c>
      <c r="D95" s="30">
        <v>1513</v>
      </c>
      <c r="E95" s="151">
        <v>40</v>
      </c>
      <c r="F95" s="151">
        <f>2+1+1+1</f>
        <v>5</v>
      </c>
      <c r="G95" s="243">
        <f t="shared" si="3"/>
        <v>35</v>
      </c>
      <c r="H95" s="291" t="s">
        <v>2072</v>
      </c>
      <c r="I95" s="301" t="s">
        <v>366</v>
      </c>
    </row>
    <row r="96" spans="1:9" ht="16.5" thickTop="1" thickBot="1" x14ac:dyDescent="0.3">
      <c r="A96" s="311"/>
      <c r="B96" s="152" t="s">
        <v>1</v>
      </c>
      <c r="C96" s="81">
        <v>1440</v>
      </c>
      <c r="D96" s="27">
        <v>2013</v>
      </c>
      <c r="E96" s="152">
        <v>49</v>
      </c>
      <c r="F96" s="152">
        <f>2+2+1+1</f>
        <v>6</v>
      </c>
      <c r="G96" s="245">
        <f t="shared" si="3"/>
        <v>43</v>
      </c>
      <c r="H96" s="292" t="s">
        <v>2073</v>
      </c>
      <c r="I96" s="301"/>
    </row>
    <row r="97" spans="1:9" ht="16.5" thickTop="1" thickBot="1" x14ac:dyDescent="0.3">
      <c r="A97" s="312"/>
      <c r="B97" s="126" t="s">
        <v>2</v>
      </c>
      <c r="C97" s="82">
        <v>288</v>
      </c>
      <c r="D97" s="29">
        <v>1513</v>
      </c>
      <c r="E97" s="154">
        <v>15</v>
      </c>
      <c r="F97" s="154">
        <f>1+1</f>
        <v>2</v>
      </c>
      <c r="G97" s="247">
        <f t="shared" si="3"/>
        <v>13</v>
      </c>
      <c r="H97" s="295" t="s">
        <v>2074</v>
      </c>
      <c r="I97" s="301"/>
    </row>
    <row r="98" spans="1:9" ht="16.5" thickTop="1" thickBot="1" x14ac:dyDescent="0.3">
      <c r="A98" s="310" t="s">
        <v>168</v>
      </c>
      <c r="B98" s="45" t="s">
        <v>0</v>
      </c>
      <c r="C98" s="151">
        <v>1440</v>
      </c>
      <c r="D98" s="30">
        <v>1776</v>
      </c>
      <c r="E98" s="151">
        <v>80</v>
      </c>
      <c r="F98" s="151">
        <f>1+1+1+1</f>
        <v>4</v>
      </c>
      <c r="G98" s="243">
        <f t="shared" si="3"/>
        <v>76</v>
      </c>
      <c r="H98" s="291" t="s">
        <v>2075</v>
      </c>
      <c r="I98" s="301" t="s">
        <v>365</v>
      </c>
    </row>
    <row r="99" spans="1:9" ht="16.5" thickTop="1" thickBot="1" x14ac:dyDescent="0.3">
      <c r="A99" s="311"/>
      <c r="B99" s="83" t="s">
        <v>1</v>
      </c>
      <c r="C99" s="152">
        <v>1440</v>
      </c>
      <c r="D99" s="27">
        <v>2906</v>
      </c>
      <c r="E99" s="152">
        <v>99</v>
      </c>
      <c r="F99" s="152">
        <f>1+1+1</f>
        <v>3</v>
      </c>
      <c r="G99" s="245">
        <f t="shared" si="3"/>
        <v>96</v>
      </c>
      <c r="H99" s="292" t="s">
        <v>2076</v>
      </c>
      <c r="I99" s="301"/>
    </row>
    <row r="100" spans="1:9" ht="16.5" thickTop="1" thickBot="1" x14ac:dyDescent="0.3">
      <c r="A100" s="312"/>
      <c r="B100" s="46" t="s">
        <v>2</v>
      </c>
      <c r="C100" s="126">
        <v>288</v>
      </c>
      <c r="D100" s="28">
        <v>1776</v>
      </c>
      <c r="E100" s="126">
        <v>50</v>
      </c>
      <c r="F100" s="126">
        <f>1+1</f>
        <v>2</v>
      </c>
      <c r="G100" s="247">
        <f t="shared" si="3"/>
        <v>48</v>
      </c>
      <c r="H100" s="295" t="s">
        <v>2077</v>
      </c>
      <c r="I100" s="301"/>
    </row>
    <row r="101" spans="1:9" ht="15.75" customHeight="1" thickTop="1" thickBot="1" x14ac:dyDescent="0.3">
      <c r="A101" s="313" t="s">
        <v>137</v>
      </c>
      <c r="B101" s="151" t="s">
        <v>0</v>
      </c>
      <c r="C101" s="80">
        <v>1440</v>
      </c>
      <c r="D101" s="30">
        <v>1113</v>
      </c>
      <c r="E101" s="151">
        <f>76+40</f>
        <v>116</v>
      </c>
      <c r="F101" s="151">
        <v>2</v>
      </c>
      <c r="G101" s="243">
        <f t="shared" si="3"/>
        <v>114</v>
      </c>
      <c r="H101" s="291" t="s">
        <v>2078</v>
      </c>
      <c r="I101" s="301" t="s">
        <v>373</v>
      </c>
    </row>
    <row r="102" spans="1:9" ht="16.5" thickTop="1" thickBot="1" x14ac:dyDescent="0.3">
      <c r="A102" s="314"/>
      <c r="B102" s="152" t="s">
        <v>1</v>
      </c>
      <c r="C102" s="81">
        <v>1440</v>
      </c>
      <c r="D102" s="27">
        <v>1638</v>
      </c>
      <c r="E102" s="152">
        <f>50+90</f>
        <v>140</v>
      </c>
      <c r="F102" s="152">
        <v>2</v>
      </c>
      <c r="G102" s="245">
        <f t="shared" si="3"/>
        <v>138</v>
      </c>
      <c r="H102" s="292" t="s">
        <v>2079</v>
      </c>
      <c r="I102" s="301"/>
    </row>
    <row r="103" spans="1:9" ht="16.5" thickTop="1" thickBot="1" x14ac:dyDescent="0.3">
      <c r="A103" s="314"/>
      <c r="B103" s="152" t="s">
        <v>2</v>
      </c>
      <c r="C103" s="81">
        <v>288</v>
      </c>
      <c r="D103" s="27">
        <v>1113</v>
      </c>
      <c r="E103" s="152">
        <v>117</v>
      </c>
      <c r="F103" s="152">
        <f>1+2</f>
        <v>3</v>
      </c>
      <c r="G103" s="245">
        <f t="shared" si="3"/>
        <v>114</v>
      </c>
      <c r="H103" s="292" t="s">
        <v>2080</v>
      </c>
      <c r="I103" s="301"/>
    </row>
    <row r="104" spans="1:9" ht="16.5" thickTop="1" thickBot="1" x14ac:dyDescent="0.3">
      <c r="A104" s="315"/>
      <c r="B104" s="126" t="s">
        <v>5</v>
      </c>
      <c r="C104" s="82">
        <v>144</v>
      </c>
      <c r="D104" s="28">
        <v>1528</v>
      </c>
      <c r="E104" s="126">
        <v>120</v>
      </c>
      <c r="F104" s="126">
        <f>1+2</f>
        <v>3</v>
      </c>
      <c r="G104" s="246">
        <f t="shared" si="3"/>
        <v>117</v>
      </c>
      <c r="H104" s="295" t="s">
        <v>2081</v>
      </c>
      <c r="I104" s="301"/>
    </row>
    <row r="105" spans="1:9" ht="16.5" thickTop="1" thickBot="1" x14ac:dyDescent="0.3">
      <c r="A105" s="310" t="s">
        <v>103</v>
      </c>
      <c r="B105" s="151" t="s">
        <v>0</v>
      </c>
      <c r="C105" s="151">
        <v>1440</v>
      </c>
      <c r="D105" s="26">
        <v>1335</v>
      </c>
      <c r="E105" s="153">
        <v>138</v>
      </c>
      <c r="F105" s="153"/>
      <c r="G105" s="244">
        <f t="shared" si="3"/>
        <v>138</v>
      </c>
      <c r="H105" s="291" t="s">
        <v>2082</v>
      </c>
      <c r="I105" s="301" t="s">
        <v>410</v>
      </c>
    </row>
    <row r="106" spans="1:9" ht="16.5" thickTop="1" thickBot="1" x14ac:dyDescent="0.3">
      <c r="A106" s="311"/>
      <c r="B106" s="152" t="s">
        <v>1</v>
      </c>
      <c r="C106" s="152">
        <v>1440</v>
      </c>
      <c r="D106" s="27">
        <v>1913</v>
      </c>
      <c r="E106" s="152">
        <v>165</v>
      </c>
      <c r="F106" s="152">
        <v>3</v>
      </c>
      <c r="G106" s="245">
        <f t="shared" si="3"/>
        <v>162</v>
      </c>
      <c r="H106" s="292" t="s">
        <v>2083</v>
      </c>
      <c r="I106" s="301"/>
    </row>
    <row r="107" spans="1:9" ht="16.5" thickTop="1" thickBot="1" x14ac:dyDescent="0.3">
      <c r="A107" s="311"/>
      <c r="B107" s="152" t="s">
        <v>2</v>
      </c>
      <c r="C107" s="152">
        <v>288</v>
      </c>
      <c r="D107" s="27">
        <v>1335</v>
      </c>
      <c r="E107" s="152">
        <v>117</v>
      </c>
      <c r="F107" s="152">
        <v>3</v>
      </c>
      <c r="G107" s="245">
        <f t="shared" si="3"/>
        <v>114</v>
      </c>
      <c r="H107" s="292" t="s">
        <v>2084</v>
      </c>
      <c r="I107" s="301"/>
    </row>
    <row r="108" spans="1:9" ht="16.5" thickTop="1" thickBot="1" x14ac:dyDescent="0.3">
      <c r="A108" s="312"/>
      <c r="B108" s="126" t="s">
        <v>5</v>
      </c>
      <c r="C108" s="126">
        <v>144</v>
      </c>
      <c r="D108" s="28">
        <v>1743</v>
      </c>
      <c r="E108" s="126">
        <v>119</v>
      </c>
      <c r="F108" s="126"/>
      <c r="G108" s="246">
        <f t="shared" si="3"/>
        <v>119</v>
      </c>
      <c r="H108" s="295" t="s">
        <v>2085</v>
      </c>
      <c r="I108" s="321"/>
    </row>
    <row r="109" spans="1:9" ht="15.75" thickTop="1" x14ac:dyDescent="0.25">
      <c r="A109" s="161"/>
      <c r="B109" s="161"/>
      <c r="C109" s="161"/>
      <c r="D109" s="161"/>
      <c r="E109" s="161"/>
      <c r="F109" s="161"/>
      <c r="G109" s="161"/>
      <c r="I109" s="161"/>
    </row>
    <row r="110" spans="1:9" x14ac:dyDescent="0.25">
      <c r="A110" s="161"/>
      <c r="B110" s="161"/>
      <c r="C110" s="161"/>
      <c r="D110" s="161"/>
      <c r="E110" s="161"/>
      <c r="F110" s="161"/>
      <c r="G110" s="161"/>
      <c r="I110" s="161"/>
    </row>
    <row r="111" spans="1:9" x14ac:dyDescent="0.25">
      <c r="A111" s="161"/>
      <c r="B111" s="161"/>
      <c r="C111" s="161"/>
      <c r="D111" s="161"/>
      <c r="E111" s="161"/>
      <c r="F111" s="161"/>
      <c r="G111" s="161"/>
      <c r="I111" s="161"/>
    </row>
    <row r="112" spans="1:9" ht="16.5" customHeight="1" x14ac:dyDescent="0.25">
      <c r="A112" s="161"/>
      <c r="B112" s="161"/>
      <c r="C112" s="161"/>
      <c r="D112" s="161"/>
      <c r="E112" s="161"/>
      <c r="F112" s="161"/>
      <c r="G112" s="161"/>
      <c r="I112" s="161"/>
    </row>
  </sheetData>
  <mergeCells count="61">
    <mergeCell ref="A77:A79"/>
    <mergeCell ref="A83:A85"/>
    <mergeCell ref="A41:A43"/>
    <mergeCell ref="A44:A46"/>
    <mergeCell ref="A47:A49"/>
    <mergeCell ref="A80:A82"/>
    <mergeCell ref="A74:A76"/>
    <mergeCell ref="A53:A55"/>
    <mergeCell ref="A56:A58"/>
    <mergeCell ref="A62:A64"/>
    <mergeCell ref="A65:A67"/>
    <mergeCell ref="A71:A73"/>
    <mergeCell ref="A59:A61"/>
    <mergeCell ref="A68:A70"/>
    <mergeCell ref="A95:A97"/>
    <mergeCell ref="A101:A104"/>
    <mergeCell ref="A105:A108"/>
    <mergeCell ref="A89:A91"/>
    <mergeCell ref="A86:A88"/>
    <mergeCell ref="A92:A94"/>
    <mergeCell ref="A98:A100"/>
    <mergeCell ref="A32:A34"/>
    <mergeCell ref="A50:A52"/>
    <mergeCell ref="A38:A40"/>
    <mergeCell ref="A23:A26"/>
    <mergeCell ref="A35:A37"/>
    <mergeCell ref="A3:A12"/>
    <mergeCell ref="A1:D1"/>
    <mergeCell ref="A14:A22"/>
    <mergeCell ref="A27:A28"/>
    <mergeCell ref="A29:A31"/>
    <mergeCell ref="I3:I12"/>
    <mergeCell ref="I14:I22"/>
    <mergeCell ref="I23:I26"/>
    <mergeCell ref="I27:I28"/>
    <mergeCell ref="I29:I31"/>
    <mergeCell ref="I32:I34"/>
    <mergeCell ref="I35:I37"/>
    <mergeCell ref="I38:I40"/>
    <mergeCell ref="I41:I43"/>
    <mergeCell ref="I44:I46"/>
    <mergeCell ref="I47:I49"/>
    <mergeCell ref="I50:I52"/>
    <mergeCell ref="I53:I55"/>
    <mergeCell ref="I56:I58"/>
    <mergeCell ref="I59:I61"/>
    <mergeCell ref="I62:I64"/>
    <mergeCell ref="I65:I67"/>
    <mergeCell ref="I68:I70"/>
    <mergeCell ref="I71:I73"/>
    <mergeCell ref="I74:I76"/>
    <mergeCell ref="I77:I79"/>
    <mergeCell ref="I80:I82"/>
    <mergeCell ref="I83:I85"/>
    <mergeCell ref="I86:I88"/>
    <mergeCell ref="I89:I91"/>
    <mergeCell ref="I92:I94"/>
    <mergeCell ref="I95:I97"/>
    <mergeCell ref="I98:I100"/>
    <mergeCell ref="I101:I104"/>
    <mergeCell ref="I105:I108"/>
  </mergeCells>
  <pageMargins left="0.70866141732283472" right="0.70866141732283472" top="0.74803149606299213" bottom="0.74803149606299213" header="0.31496062992125984" footer="0.31496062992125984"/>
  <pageSetup paperSize="9" scale="85" fitToHeight="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workbookViewId="0">
      <selection activeCell="J27" sqref="J27"/>
    </sheetView>
  </sheetViews>
  <sheetFormatPr defaultRowHeight="15" x14ac:dyDescent="0.25"/>
  <cols>
    <col min="1" max="1" width="23.140625" customWidth="1"/>
    <col min="8" max="8" width="40.42578125" style="1" bestFit="1" customWidth="1"/>
  </cols>
  <sheetData>
    <row r="1" spans="1:9" ht="15.75" x14ac:dyDescent="0.25">
      <c r="A1" s="169" t="s">
        <v>119</v>
      </c>
      <c r="B1" s="168"/>
      <c r="C1" s="169"/>
      <c r="D1" s="170"/>
      <c r="E1" s="162"/>
      <c r="F1" s="162"/>
      <c r="G1" s="162"/>
      <c r="I1" s="161"/>
    </row>
    <row r="2" spans="1:9" ht="43.5" thickBot="1" x14ac:dyDescent="0.3">
      <c r="A2" s="25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5" t="s">
        <v>1096</v>
      </c>
      <c r="I2" s="146" t="s">
        <v>329</v>
      </c>
    </row>
    <row r="3" spans="1:9" ht="16.5" customHeight="1" thickTop="1" thickBot="1" x14ac:dyDescent="0.3">
      <c r="A3" s="304" t="s">
        <v>1944</v>
      </c>
      <c r="B3" s="85" t="s">
        <v>0</v>
      </c>
      <c r="C3" s="85">
        <v>1440</v>
      </c>
      <c r="D3" s="85">
        <v>1485</v>
      </c>
      <c r="E3" s="151">
        <v>40</v>
      </c>
      <c r="F3" s="151"/>
      <c r="G3" s="243">
        <f t="shared" ref="G3:G55" si="0">E3-F3</f>
        <v>40</v>
      </c>
      <c r="H3" s="258" t="s">
        <v>1979</v>
      </c>
      <c r="I3" s="348" t="s">
        <v>452</v>
      </c>
    </row>
    <row r="4" spans="1:9" ht="16.5" thickTop="1" thickBot="1" x14ac:dyDescent="0.3">
      <c r="A4" s="305"/>
      <c r="B4" s="86" t="s">
        <v>1</v>
      </c>
      <c r="C4" s="86">
        <v>1440</v>
      </c>
      <c r="D4" s="86">
        <v>1972</v>
      </c>
      <c r="E4" s="152">
        <v>49</v>
      </c>
      <c r="F4" s="152"/>
      <c r="G4" s="245">
        <f t="shared" si="0"/>
        <v>49</v>
      </c>
      <c r="H4" s="280" t="s">
        <v>2105</v>
      </c>
      <c r="I4" s="348"/>
    </row>
    <row r="5" spans="1:9" ht="16.5" thickTop="1" thickBot="1" x14ac:dyDescent="0.3">
      <c r="A5" s="305"/>
      <c r="B5" s="87" t="s">
        <v>2</v>
      </c>
      <c r="C5" s="87">
        <v>288</v>
      </c>
      <c r="D5" s="87">
        <v>1485</v>
      </c>
      <c r="E5" s="154">
        <v>39</v>
      </c>
      <c r="F5" s="154"/>
      <c r="G5" s="247">
        <f t="shared" si="0"/>
        <v>39</v>
      </c>
      <c r="H5" s="281" t="s">
        <v>2122</v>
      </c>
      <c r="I5" s="348"/>
    </row>
    <row r="6" spans="1:9" ht="16.5" thickTop="1" thickBot="1" x14ac:dyDescent="0.3">
      <c r="A6" s="304" t="s">
        <v>15</v>
      </c>
      <c r="B6" s="85" t="s">
        <v>0</v>
      </c>
      <c r="C6" s="85">
        <v>1440</v>
      </c>
      <c r="D6" s="85">
        <v>1647</v>
      </c>
      <c r="E6" s="151">
        <v>50</v>
      </c>
      <c r="F6" s="151">
        <f>1+1+2+1</f>
        <v>5</v>
      </c>
      <c r="G6" s="276">
        <f t="shared" si="0"/>
        <v>45</v>
      </c>
      <c r="H6" s="258" t="s">
        <v>2086</v>
      </c>
      <c r="I6" s="348" t="s">
        <v>402</v>
      </c>
    </row>
    <row r="7" spans="1:9" ht="16.5" thickTop="1" thickBot="1" x14ac:dyDescent="0.3">
      <c r="A7" s="305"/>
      <c r="B7" s="87" t="s">
        <v>1</v>
      </c>
      <c r="C7" s="87">
        <v>1440</v>
      </c>
      <c r="D7" s="87">
        <v>2133</v>
      </c>
      <c r="E7" s="154">
        <v>80</v>
      </c>
      <c r="F7" s="152">
        <f>6+2+2+3+2</f>
        <v>15</v>
      </c>
      <c r="G7" s="247">
        <f t="shared" si="0"/>
        <v>65</v>
      </c>
      <c r="H7" s="259" t="s">
        <v>2106</v>
      </c>
      <c r="I7" s="348"/>
    </row>
    <row r="8" spans="1:9" ht="16.5" thickTop="1" thickBot="1" x14ac:dyDescent="0.3">
      <c r="A8" s="306"/>
      <c r="B8" s="88" t="s">
        <v>2</v>
      </c>
      <c r="C8" s="88">
        <v>288</v>
      </c>
      <c r="D8" s="88">
        <v>1647</v>
      </c>
      <c r="E8" s="126">
        <v>50</v>
      </c>
      <c r="F8" s="126">
        <f>1+1+2+1</f>
        <v>5</v>
      </c>
      <c r="G8" s="246">
        <f t="shared" si="0"/>
        <v>45</v>
      </c>
      <c r="H8" s="281" t="s">
        <v>2123</v>
      </c>
      <c r="I8" s="348"/>
    </row>
    <row r="9" spans="1:9" ht="16.5" thickTop="1" thickBot="1" x14ac:dyDescent="0.3">
      <c r="A9" s="310" t="s">
        <v>1214</v>
      </c>
      <c r="B9" s="151" t="s">
        <v>0</v>
      </c>
      <c r="C9" s="151">
        <v>1440</v>
      </c>
      <c r="D9" s="85">
        <v>1647</v>
      </c>
      <c r="E9" s="45">
        <v>52</v>
      </c>
      <c r="F9" s="151"/>
      <c r="G9" s="243">
        <f t="shared" si="0"/>
        <v>52</v>
      </c>
      <c r="H9" s="258" t="s">
        <v>2087</v>
      </c>
      <c r="I9" s="348" t="s">
        <v>454</v>
      </c>
    </row>
    <row r="10" spans="1:9" ht="16.5" thickTop="1" thickBot="1" x14ac:dyDescent="0.3">
      <c r="A10" s="311"/>
      <c r="B10" s="152" t="s">
        <v>1</v>
      </c>
      <c r="C10" s="152">
        <v>1440</v>
      </c>
      <c r="D10" s="86">
        <v>2133</v>
      </c>
      <c r="E10" s="83">
        <v>79</v>
      </c>
      <c r="F10" s="152"/>
      <c r="G10" s="245">
        <f t="shared" si="0"/>
        <v>79</v>
      </c>
      <c r="H10" s="259" t="s">
        <v>2107</v>
      </c>
      <c r="I10" s="348"/>
    </row>
    <row r="11" spans="1:9" ht="16.5" thickTop="1" thickBot="1" x14ac:dyDescent="0.3">
      <c r="A11" s="312"/>
      <c r="B11" s="126" t="s">
        <v>2</v>
      </c>
      <c r="C11" s="126">
        <v>288</v>
      </c>
      <c r="D11" s="88">
        <v>1647</v>
      </c>
      <c r="E11" s="46">
        <v>50</v>
      </c>
      <c r="F11" s="126"/>
      <c r="G11" s="246">
        <f t="shared" si="0"/>
        <v>50</v>
      </c>
      <c r="H11" s="281" t="s">
        <v>2124</v>
      </c>
      <c r="I11" s="348"/>
    </row>
    <row r="12" spans="1:9" ht="16.5" thickTop="1" thickBot="1" x14ac:dyDescent="0.3">
      <c r="A12" s="304" t="s">
        <v>1215</v>
      </c>
      <c r="B12" s="89" t="s">
        <v>0</v>
      </c>
      <c r="C12" s="89">
        <v>1440</v>
      </c>
      <c r="D12" s="140">
        <v>1647</v>
      </c>
      <c r="E12" s="153">
        <v>50</v>
      </c>
      <c r="F12" s="153">
        <f>1+2+1</f>
        <v>4</v>
      </c>
      <c r="G12" s="244">
        <f t="shared" si="0"/>
        <v>46</v>
      </c>
      <c r="H12" s="258" t="s">
        <v>2088</v>
      </c>
      <c r="I12" s="348" t="s">
        <v>499</v>
      </c>
    </row>
    <row r="13" spans="1:9" ht="16.5" thickTop="1" thickBot="1" x14ac:dyDescent="0.3">
      <c r="A13" s="305"/>
      <c r="B13" s="90" t="s">
        <v>1</v>
      </c>
      <c r="C13" s="90">
        <v>1440</v>
      </c>
      <c r="D13" s="86">
        <v>2133</v>
      </c>
      <c r="E13" s="152">
        <v>73</v>
      </c>
      <c r="F13" s="152">
        <f>4+2+1+1</f>
        <v>8</v>
      </c>
      <c r="G13" s="245">
        <f t="shared" si="0"/>
        <v>65</v>
      </c>
      <c r="H13" s="259" t="s">
        <v>2108</v>
      </c>
      <c r="I13" s="348"/>
    </row>
    <row r="14" spans="1:9" ht="16.5" thickTop="1" thickBot="1" x14ac:dyDescent="0.3">
      <c r="A14" s="305"/>
      <c r="B14" s="91" t="s">
        <v>2</v>
      </c>
      <c r="C14" s="91">
        <v>288</v>
      </c>
      <c r="D14" s="87">
        <v>1647</v>
      </c>
      <c r="E14" s="154">
        <v>10</v>
      </c>
      <c r="F14" s="154">
        <v>1</v>
      </c>
      <c r="G14" s="247">
        <f t="shared" si="0"/>
        <v>9</v>
      </c>
      <c r="H14" s="281" t="s">
        <v>2125</v>
      </c>
      <c r="I14" s="348"/>
    </row>
    <row r="15" spans="1:9" ht="16.5" thickTop="1" thickBot="1" x14ac:dyDescent="0.3">
      <c r="A15" s="310" t="s">
        <v>300</v>
      </c>
      <c r="B15" s="151" t="s">
        <v>0</v>
      </c>
      <c r="C15" s="112">
        <v>1440</v>
      </c>
      <c r="D15" s="112">
        <v>1647</v>
      </c>
      <c r="E15" s="112">
        <f>2*25</f>
        <v>50</v>
      </c>
      <c r="F15" s="151"/>
      <c r="G15" s="243">
        <f t="shared" si="0"/>
        <v>50</v>
      </c>
      <c r="H15" s="258" t="s">
        <v>2089</v>
      </c>
      <c r="I15" s="348" t="s">
        <v>403</v>
      </c>
    </row>
    <row r="16" spans="1:9" ht="16.5" thickTop="1" thickBot="1" x14ac:dyDescent="0.3">
      <c r="A16" s="311"/>
      <c r="B16" s="152" t="s">
        <v>1</v>
      </c>
      <c r="C16" s="114">
        <v>1440</v>
      </c>
      <c r="D16" s="114">
        <v>2133</v>
      </c>
      <c r="E16" s="114">
        <f>3*15</f>
        <v>45</v>
      </c>
      <c r="F16" s="152"/>
      <c r="G16" s="245">
        <f t="shared" si="0"/>
        <v>45</v>
      </c>
      <c r="H16" s="259" t="s">
        <v>2109</v>
      </c>
      <c r="I16" s="348"/>
    </row>
    <row r="17" spans="1:9" ht="16.5" thickTop="1" thickBot="1" x14ac:dyDescent="0.3">
      <c r="A17" s="312"/>
      <c r="B17" s="126" t="s">
        <v>2</v>
      </c>
      <c r="C17" s="116">
        <v>288</v>
      </c>
      <c r="D17" s="116">
        <v>1647</v>
      </c>
      <c r="E17" s="116">
        <v>46</v>
      </c>
      <c r="F17" s="126"/>
      <c r="G17" s="246">
        <f>E17-F17</f>
        <v>46</v>
      </c>
      <c r="H17" s="281" t="s">
        <v>2126</v>
      </c>
      <c r="I17" s="348"/>
    </row>
    <row r="18" spans="1:9" ht="16.5" thickTop="1" thickBot="1" x14ac:dyDescent="0.3">
      <c r="A18" s="305" t="s">
        <v>12</v>
      </c>
      <c r="B18" s="143" t="s">
        <v>0</v>
      </c>
      <c r="C18" s="143">
        <v>1440</v>
      </c>
      <c r="D18" s="140">
        <v>1647</v>
      </c>
      <c r="E18" s="153">
        <v>50</v>
      </c>
      <c r="F18" s="153">
        <v>1</v>
      </c>
      <c r="G18" s="244">
        <f t="shared" si="0"/>
        <v>49</v>
      </c>
      <c r="H18" s="258" t="s">
        <v>2090</v>
      </c>
      <c r="I18" s="348" t="s">
        <v>456</v>
      </c>
    </row>
    <row r="19" spans="1:9" ht="16.5" thickTop="1" thickBot="1" x14ac:dyDescent="0.3">
      <c r="A19" s="305"/>
      <c r="B19" s="92" t="s">
        <v>1</v>
      </c>
      <c r="C19" s="92">
        <v>1440</v>
      </c>
      <c r="D19" s="86">
        <v>2133</v>
      </c>
      <c r="E19" s="152">
        <v>76</v>
      </c>
      <c r="F19" s="152">
        <v>1</v>
      </c>
      <c r="G19" s="245">
        <f t="shared" si="0"/>
        <v>75</v>
      </c>
      <c r="H19" s="259" t="s">
        <v>2110</v>
      </c>
      <c r="I19" s="348"/>
    </row>
    <row r="20" spans="1:9" ht="16.5" thickTop="1" thickBot="1" x14ac:dyDescent="0.3">
      <c r="A20" s="306"/>
      <c r="B20" s="93" t="s">
        <v>2</v>
      </c>
      <c r="C20" s="93">
        <v>288</v>
      </c>
      <c r="D20" s="88">
        <v>1647</v>
      </c>
      <c r="E20" s="126">
        <v>50</v>
      </c>
      <c r="F20" s="154">
        <v>1</v>
      </c>
      <c r="G20" s="246">
        <f t="shared" si="0"/>
        <v>49</v>
      </c>
      <c r="H20" s="281" t="s">
        <v>2127</v>
      </c>
      <c r="I20" s="348"/>
    </row>
    <row r="21" spans="1:9" ht="16.5" thickTop="1" thickBot="1" x14ac:dyDescent="0.3">
      <c r="A21" s="353" t="s">
        <v>13</v>
      </c>
      <c r="B21" s="94" t="s">
        <v>0</v>
      </c>
      <c r="C21" s="94">
        <v>1440</v>
      </c>
      <c r="D21" s="140">
        <v>1647</v>
      </c>
      <c r="E21" s="153">
        <v>50</v>
      </c>
      <c r="F21" s="151">
        <v>1</v>
      </c>
      <c r="G21" s="243">
        <f t="shared" si="0"/>
        <v>49</v>
      </c>
      <c r="H21" s="258" t="s">
        <v>2091</v>
      </c>
      <c r="I21" s="348" t="s">
        <v>406</v>
      </c>
    </row>
    <row r="22" spans="1:9" ht="16.5" thickTop="1" thickBot="1" x14ac:dyDescent="0.3">
      <c r="A22" s="354"/>
      <c r="B22" s="95" t="s">
        <v>1</v>
      </c>
      <c r="C22" s="95">
        <v>1440</v>
      </c>
      <c r="D22" s="86">
        <v>2133</v>
      </c>
      <c r="E22" s="152">
        <v>78</v>
      </c>
      <c r="F22" s="152">
        <v>1</v>
      </c>
      <c r="G22" s="245">
        <f t="shared" si="0"/>
        <v>77</v>
      </c>
      <c r="H22" s="259" t="s">
        <v>2111</v>
      </c>
      <c r="I22" s="348"/>
    </row>
    <row r="23" spans="1:9" ht="16.5" thickTop="1" thickBot="1" x14ac:dyDescent="0.3">
      <c r="A23" s="355"/>
      <c r="B23" s="96" t="s">
        <v>2</v>
      </c>
      <c r="C23" s="96">
        <v>288</v>
      </c>
      <c r="D23" s="87">
        <v>1647</v>
      </c>
      <c r="E23" s="154">
        <v>50</v>
      </c>
      <c r="F23" s="154">
        <v>1</v>
      </c>
      <c r="G23" s="247">
        <f t="shared" si="0"/>
        <v>49</v>
      </c>
      <c r="H23" s="281" t="s">
        <v>2128</v>
      </c>
      <c r="I23" s="348"/>
    </row>
    <row r="24" spans="1:9" ht="16.5" thickTop="1" thickBot="1" x14ac:dyDescent="0.3">
      <c r="A24" s="310" t="s">
        <v>169</v>
      </c>
      <c r="B24" s="151" t="s">
        <v>0</v>
      </c>
      <c r="C24" s="151">
        <v>1440</v>
      </c>
      <c r="D24" s="85">
        <v>1647</v>
      </c>
      <c r="E24" s="151">
        <v>50</v>
      </c>
      <c r="F24" s="151"/>
      <c r="G24" s="243">
        <f t="shared" si="0"/>
        <v>50</v>
      </c>
      <c r="H24" s="258" t="s">
        <v>2092</v>
      </c>
      <c r="I24" s="348" t="s">
        <v>500</v>
      </c>
    </row>
    <row r="25" spans="1:9" ht="16.5" thickTop="1" thickBot="1" x14ac:dyDescent="0.3">
      <c r="A25" s="311"/>
      <c r="B25" s="152" t="s">
        <v>1</v>
      </c>
      <c r="C25" s="152">
        <v>1440</v>
      </c>
      <c r="D25" s="86">
        <v>2133</v>
      </c>
      <c r="E25" s="152">
        <v>76</v>
      </c>
      <c r="F25" s="152">
        <f>2+4</f>
        <v>6</v>
      </c>
      <c r="G25" s="245">
        <f t="shared" si="0"/>
        <v>70</v>
      </c>
      <c r="H25" s="259" t="s">
        <v>2112</v>
      </c>
      <c r="I25" s="348"/>
    </row>
    <row r="26" spans="1:9" ht="16.5" thickTop="1" thickBot="1" x14ac:dyDescent="0.3">
      <c r="A26" s="312"/>
      <c r="B26" s="126" t="s">
        <v>2</v>
      </c>
      <c r="C26" s="126">
        <v>288</v>
      </c>
      <c r="D26" s="88">
        <v>1647</v>
      </c>
      <c r="E26" s="126">
        <v>50</v>
      </c>
      <c r="F26" s="126"/>
      <c r="G26" s="246">
        <f t="shared" si="0"/>
        <v>50</v>
      </c>
      <c r="H26" s="281" t="s">
        <v>2129</v>
      </c>
      <c r="I26" s="348"/>
    </row>
    <row r="27" spans="1:9" ht="16.5" thickTop="1" thickBot="1" x14ac:dyDescent="0.3">
      <c r="A27" s="353" t="s">
        <v>104</v>
      </c>
      <c r="B27" s="97" t="s">
        <v>0</v>
      </c>
      <c r="C27" s="97">
        <v>1440</v>
      </c>
      <c r="D27" s="85">
        <v>1252</v>
      </c>
      <c r="E27" s="151">
        <v>49</v>
      </c>
      <c r="F27" s="151">
        <f>1+1+3+1</f>
        <v>6</v>
      </c>
      <c r="G27" s="243">
        <f t="shared" si="0"/>
        <v>43</v>
      </c>
      <c r="H27" s="258" t="s">
        <v>2093</v>
      </c>
      <c r="I27" s="348" t="s">
        <v>455</v>
      </c>
    </row>
    <row r="28" spans="1:9" ht="16.5" thickTop="1" thickBot="1" x14ac:dyDescent="0.3">
      <c r="A28" s="354"/>
      <c r="B28" s="95" t="s">
        <v>1</v>
      </c>
      <c r="C28" s="95">
        <v>1440</v>
      </c>
      <c r="D28" s="86">
        <v>1858</v>
      </c>
      <c r="E28" s="152">
        <v>77</v>
      </c>
      <c r="F28" s="152">
        <f>8+2+5</f>
        <v>15</v>
      </c>
      <c r="G28" s="245">
        <f t="shared" si="0"/>
        <v>62</v>
      </c>
      <c r="H28" s="259" t="s">
        <v>2113</v>
      </c>
      <c r="I28" s="348"/>
    </row>
    <row r="29" spans="1:9" ht="16.5" thickTop="1" thickBot="1" x14ac:dyDescent="0.3">
      <c r="A29" s="355"/>
      <c r="B29" s="98" t="s">
        <v>2</v>
      </c>
      <c r="C29" s="98">
        <v>288</v>
      </c>
      <c r="D29" s="88">
        <v>1252</v>
      </c>
      <c r="E29" s="126">
        <v>50</v>
      </c>
      <c r="F29" s="126">
        <v>3</v>
      </c>
      <c r="G29" s="246">
        <f t="shared" si="0"/>
        <v>47</v>
      </c>
      <c r="H29" s="281" t="s">
        <v>2130</v>
      </c>
      <c r="I29" s="348"/>
    </row>
    <row r="30" spans="1:9" ht="16.5" thickTop="1" thickBot="1" x14ac:dyDescent="0.3">
      <c r="A30" s="353" t="s">
        <v>308</v>
      </c>
      <c r="B30" s="97" t="s">
        <v>0</v>
      </c>
      <c r="C30" s="97">
        <v>1440</v>
      </c>
      <c r="D30" s="85">
        <v>1647</v>
      </c>
      <c r="E30" s="151">
        <v>49</v>
      </c>
      <c r="F30" s="151"/>
      <c r="G30" s="243">
        <f t="shared" si="0"/>
        <v>49</v>
      </c>
      <c r="H30" s="258" t="s">
        <v>2094</v>
      </c>
      <c r="I30" s="348" t="s">
        <v>408</v>
      </c>
    </row>
    <row r="31" spans="1:9" ht="16.5" thickTop="1" thickBot="1" x14ac:dyDescent="0.3">
      <c r="A31" s="354"/>
      <c r="B31" s="95" t="s">
        <v>1</v>
      </c>
      <c r="C31" s="95">
        <v>1440</v>
      </c>
      <c r="D31" s="86">
        <v>2133</v>
      </c>
      <c r="E31" s="152">
        <v>79</v>
      </c>
      <c r="F31" s="152">
        <f>2+1</f>
        <v>3</v>
      </c>
      <c r="G31" s="245">
        <f t="shared" si="0"/>
        <v>76</v>
      </c>
      <c r="H31" s="259" t="s">
        <v>2114</v>
      </c>
      <c r="I31" s="348"/>
    </row>
    <row r="32" spans="1:9" ht="16.5" thickTop="1" thickBot="1" x14ac:dyDescent="0.3">
      <c r="A32" s="355"/>
      <c r="B32" s="98" t="s">
        <v>2</v>
      </c>
      <c r="C32" s="98">
        <v>288</v>
      </c>
      <c r="D32" s="88">
        <v>1647</v>
      </c>
      <c r="E32" s="126">
        <v>50</v>
      </c>
      <c r="F32" s="126">
        <v>2</v>
      </c>
      <c r="G32" s="246">
        <f t="shared" si="0"/>
        <v>48</v>
      </c>
      <c r="H32" s="281" t="s">
        <v>2131</v>
      </c>
      <c r="I32" s="348"/>
    </row>
    <row r="33" spans="1:9" ht="16.5" thickTop="1" thickBot="1" x14ac:dyDescent="0.3">
      <c r="A33" s="313" t="s">
        <v>218</v>
      </c>
      <c r="B33" s="151" t="s">
        <v>0</v>
      </c>
      <c r="C33" s="112">
        <v>1440</v>
      </c>
      <c r="D33" s="112">
        <v>1647</v>
      </c>
      <c r="E33" s="112">
        <f>2*25</f>
        <v>50</v>
      </c>
      <c r="F33" s="151"/>
      <c r="G33" s="243">
        <f t="shared" si="0"/>
        <v>50</v>
      </c>
      <c r="H33" s="258" t="s">
        <v>2095</v>
      </c>
      <c r="I33" s="348" t="s">
        <v>459</v>
      </c>
    </row>
    <row r="34" spans="1:9" ht="16.5" thickTop="1" thickBot="1" x14ac:dyDescent="0.3">
      <c r="A34" s="314"/>
      <c r="B34" s="152" t="s">
        <v>1</v>
      </c>
      <c r="C34" s="114">
        <v>1440</v>
      </c>
      <c r="D34" s="114">
        <v>2133</v>
      </c>
      <c r="E34" s="114">
        <f>3*15</f>
        <v>45</v>
      </c>
      <c r="F34" s="152">
        <v>1</v>
      </c>
      <c r="G34" s="245">
        <f t="shared" si="0"/>
        <v>44</v>
      </c>
      <c r="H34" s="259" t="s">
        <v>2115</v>
      </c>
      <c r="I34" s="348"/>
    </row>
    <row r="35" spans="1:9" ht="16.5" thickTop="1" thickBot="1" x14ac:dyDescent="0.3">
      <c r="A35" s="315"/>
      <c r="B35" s="126" t="s">
        <v>2</v>
      </c>
      <c r="C35" s="116">
        <v>288</v>
      </c>
      <c r="D35" s="116">
        <v>1647</v>
      </c>
      <c r="E35" s="116">
        <f>25+25</f>
        <v>50</v>
      </c>
      <c r="F35" s="126"/>
      <c r="G35" s="246">
        <f t="shared" si="0"/>
        <v>50</v>
      </c>
      <c r="H35" s="281" t="s">
        <v>2132</v>
      </c>
      <c r="I35" s="348"/>
    </row>
    <row r="36" spans="1:9" ht="16.5" thickTop="1" thickBot="1" x14ac:dyDescent="0.3">
      <c r="A36" s="352" t="s">
        <v>14</v>
      </c>
      <c r="B36" s="99" t="s">
        <v>0</v>
      </c>
      <c r="C36" s="99">
        <v>1440</v>
      </c>
      <c r="D36" s="140">
        <v>1647</v>
      </c>
      <c r="E36" s="153">
        <v>49</v>
      </c>
      <c r="F36" s="153"/>
      <c r="G36" s="244">
        <f t="shared" si="0"/>
        <v>49</v>
      </c>
      <c r="H36" s="258" t="s">
        <v>2096</v>
      </c>
      <c r="I36" s="348" t="s">
        <v>501</v>
      </c>
    </row>
    <row r="37" spans="1:9" ht="16.5" thickTop="1" thickBot="1" x14ac:dyDescent="0.3">
      <c r="A37" s="352"/>
      <c r="B37" s="100" t="s">
        <v>1</v>
      </c>
      <c r="C37" s="100">
        <v>1440</v>
      </c>
      <c r="D37" s="141">
        <v>2133</v>
      </c>
      <c r="E37" s="149">
        <v>79</v>
      </c>
      <c r="F37" s="149"/>
      <c r="G37" s="244">
        <f>E37-F37</f>
        <v>79</v>
      </c>
      <c r="H37" s="259" t="s">
        <v>2116</v>
      </c>
      <c r="I37" s="348"/>
    </row>
    <row r="38" spans="1:9" ht="16.5" thickTop="1" thickBot="1" x14ac:dyDescent="0.3">
      <c r="A38" s="352"/>
      <c r="B38" s="96" t="s">
        <v>2</v>
      </c>
      <c r="C38" s="96">
        <v>288</v>
      </c>
      <c r="D38" s="87">
        <v>1647</v>
      </c>
      <c r="E38" s="154">
        <v>50</v>
      </c>
      <c r="F38" s="154"/>
      <c r="G38" s="242">
        <f>E38-F38</f>
        <v>50</v>
      </c>
      <c r="H38" s="281" t="s">
        <v>2133</v>
      </c>
      <c r="I38" s="348"/>
    </row>
    <row r="39" spans="1:9" ht="16.5" thickTop="1" thickBot="1" x14ac:dyDescent="0.3">
      <c r="A39" s="313" t="s">
        <v>301</v>
      </c>
      <c r="B39" s="151" t="s">
        <v>0</v>
      </c>
      <c r="C39" s="112">
        <v>1440</v>
      </c>
      <c r="D39" s="112">
        <v>1679</v>
      </c>
      <c r="E39" s="112">
        <f>2*25</f>
        <v>50</v>
      </c>
      <c r="F39" s="151"/>
      <c r="G39" s="243">
        <f t="shared" ref="G39:G44" si="1">E39-F39</f>
        <v>50</v>
      </c>
      <c r="H39" s="258" t="s">
        <v>2097</v>
      </c>
      <c r="I39" s="348" t="s">
        <v>1767</v>
      </c>
    </row>
    <row r="40" spans="1:9" ht="16.5" thickTop="1" thickBot="1" x14ac:dyDescent="0.3">
      <c r="A40" s="314"/>
      <c r="B40" s="152" t="s">
        <v>1</v>
      </c>
      <c r="C40" s="114">
        <v>1440</v>
      </c>
      <c r="D40" s="114">
        <v>2166</v>
      </c>
      <c r="E40" s="114">
        <f>3*15</f>
        <v>45</v>
      </c>
      <c r="F40" s="152"/>
      <c r="G40" s="245">
        <f t="shared" si="1"/>
        <v>45</v>
      </c>
      <c r="H40" s="259" t="s">
        <v>2117</v>
      </c>
      <c r="I40" s="348"/>
    </row>
    <row r="41" spans="1:9" ht="16.5" thickTop="1" thickBot="1" x14ac:dyDescent="0.3">
      <c r="A41" s="315"/>
      <c r="B41" s="126" t="s">
        <v>2</v>
      </c>
      <c r="C41" s="116">
        <v>288</v>
      </c>
      <c r="D41" s="116">
        <v>1679</v>
      </c>
      <c r="E41" s="116">
        <f>2*25</f>
        <v>50</v>
      </c>
      <c r="F41" s="126"/>
      <c r="G41" s="246">
        <f t="shared" si="1"/>
        <v>50</v>
      </c>
      <c r="H41" s="281" t="s">
        <v>2134</v>
      </c>
      <c r="I41" s="348"/>
    </row>
    <row r="42" spans="1:9" ht="16.5" thickTop="1" thickBot="1" x14ac:dyDescent="0.3">
      <c r="A42" s="310" t="s">
        <v>302</v>
      </c>
      <c r="B42" s="151" t="s">
        <v>0</v>
      </c>
      <c r="C42" s="151">
        <v>1440</v>
      </c>
      <c r="D42" s="151">
        <v>1679</v>
      </c>
      <c r="E42" s="151">
        <f>2*25</f>
        <v>50</v>
      </c>
      <c r="F42" s="151"/>
      <c r="G42" s="243">
        <f t="shared" si="1"/>
        <v>50</v>
      </c>
      <c r="H42" s="258" t="s">
        <v>2098</v>
      </c>
      <c r="I42" s="348" t="s">
        <v>467</v>
      </c>
    </row>
    <row r="43" spans="1:9" ht="16.5" thickTop="1" thickBot="1" x14ac:dyDescent="0.3">
      <c r="A43" s="311"/>
      <c r="B43" s="152" t="s">
        <v>1</v>
      </c>
      <c r="C43" s="152">
        <v>1440</v>
      </c>
      <c r="D43" s="152">
        <v>2166</v>
      </c>
      <c r="E43" s="152">
        <f>3*15</f>
        <v>45</v>
      </c>
      <c r="F43" s="152"/>
      <c r="G43" s="245">
        <f t="shared" si="1"/>
        <v>45</v>
      </c>
      <c r="H43" s="259" t="s">
        <v>2118</v>
      </c>
      <c r="I43" s="348"/>
    </row>
    <row r="44" spans="1:9" ht="16.5" thickTop="1" thickBot="1" x14ac:dyDescent="0.3">
      <c r="A44" s="312"/>
      <c r="B44" s="126" t="s">
        <v>2</v>
      </c>
      <c r="C44" s="126">
        <v>288</v>
      </c>
      <c r="D44" s="126">
        <v>1679</v>
      </c>
      <c r="E44" s="126">
        <f>2*25</f>
        <v>50</v>
      </c>
      <c r="F44" s="126"/>
      <c r="G44" s="246">
        <f t="shared" si="1"/>
        <v>50</v>
      </c>
      <c r="H44" s="281" t="s">
        <v>2135</v>
      </c>
      <c r="I44" s="348"/>
    </row>
    <row r="45" spans="1:9" ht="16.5" thickTop="1" thickBot="1" x14ac:dyDescent="0.3">
      <c r="A45" s="305" t="s">
        <v>318</v>
      </c>
      <c r="B45" s="144" t="s">
        <v>0</v>
      </c>
      <c r="C45" s="144">
        <v>1440</v>
      </c>
      <c r="D45" s="140">
        <v>1679</v>
      </c>
      <c r="E45" s="153">
        <v>49</v>
      </c>
      <c r="F45" s="153">
        <f>1+1+1</f>
        <v>3</v>
      </c>
      <c r="G45" s="244">
        <f t="shared" si="0"/>
        <v>46</v>
      </c>
      <c r="H45" s="258" t="s">
        <v>2099</v>
      </c>
      <c r="I45" s="348" t="s">
        <v>461</v>
      </c>
    </row>
    <row r="46" spans="1:9" ht="16.5" thickTop="1" thickBot="1" x14ac:dyDescent="0.3">
      <c r="A46" s="305"/>
      <c r="B46" s="101" t="s">
        <v>1</v>
      </c>
      <c r="C46" s="101">
        <v>1440</v>
      </c>
      <c r="D46" s="86">
        <v>2166</v>
      </c>
      <c r="E46" s="152">
        <v>78</v>
      </c>
      <c r="F46" s="152">
        <f>1+1+1+1</f>
        <v>4</v>
      </c>
      <c r="G46" s="245">
        <f t="shared" si="0"/>
        <v>74</v>
      </c>
      <c r="H46" s="259" t="s">
        <v>2119</v>
      </c>
      <c r="I46" s="348"/>
    </row>
    <row r="47" spans="1:9" ht="16.5" thickTop="1" thickBot="1" x14ac:dyDescent="0.3">
      <c r="A47" s="306"/>
      <c r="B47" s="102" t="s">
        <v>2</v>
      </c>
      <c r="C47" s="102">
        <v>288</v>
      </c>
      <c r="D47" s="88">
        <v>1679</v>
      </c>
      <c r="E47" s="126">
        <v>90</v>
      </c>
      <c r="F47" s="126">
        <f>1+1+1</f>
        <v>3</v>
      </c>
      <c r="G47" s="246">
        <f t="shared" si="0"/>
        <v>87</v>
      </c>
      <c r="H47" s="281" t="s">
        <v>2136</v>
      </c>
      <c r="I47" s="348"/>
    </row>
    <row r="48" spans="1:9" ht="16.5" thickTop="1" thickBot="1" x14ac:dyDescent="0.3">
      <c r="A48" s="310" t="s">
        <v>105</v>
      </c>
      <c r="B48" s="151" t="s">
        <v>0</v>
      </c>
      <c r="C48" s="151">
        <v>1440</v>
      </c>
      <c r="D48" s="85">
        <v>1809</v>
      </c>
      <c r="E48" s="151">
        <v>40</v>
      </c>
      <c r="F48" s="151">
        <v>1</v>
      </c>
      <c r="G48" s="243">
        <f t="shared" si="0"/>
        <v>39</v>
      </c>
      <c r="H48" s="258" t="s">
        <v>2100</v>
      </c>
      <c r="I48" s="348" t="s">
        <v>463</v>
      </c>
    </row>
    <row r="49" spans="1:9" ht="16.5" thickTop="1" thickBot="1" x14ac:dyDescent="0.3">
      <c r="A49" s="311"/>
      <c r="B49" s="152" t="s">
        <v>1</v>
      </c>
      <c r="C49" s="152">
        <v>1440</v>
      </c>
      <c r="D49" s="86">
        <v>2133</v>
      </c>
      <c r="E49" s="152">
        <v>50</v>
      </c>
      <c r="F49" s="152">
        <v>1</v>
      </c>
      <c r="G49" s="245">
        <f t="shared" si="0"/>
        <v>49</v>
      </c>
      <c r="H49" s="259" t="s">
        <v>2120</v>
      </c>
      <c r="I49" s="348"/>
    </row>
    <row r="50" spans="1:9" ht="16.5" thickTop="1" thickBot="1" x14ac:dyDescent="0.3">
      <c r="A50" s="312"/>
      <c r="B50" s="126" t="s">
        <v>2</v>
      </c>
      <c r="C50" s="126">
        <v>288</v>
      </c>
      <c r="D50" s="88">
        <v>1809</v>
      </c>
      <c r="E50" s="126">
        <v>40</v>
      </c>
      <c r="F50" s="126">
        <v>1</v>
      </c>
      <c r="G50" s="246">
        <f t="shared" si="0"/>
        <v>39</v>
      </c>
      <c r="H50" s="281" t="s">
        <v>2137</v>
      </c>
      <c r="I50" s="348"/>
    </row>
    <row r="51" spans="1:9" ht="16.5" thickTop="1" thickBot="1" x14ac:dyDescent="0.3">
      <c r="A51" s="304" t="s">
        <v>1216</v>
      </c>
      <c r="B51" s="151" t="s">
        <v>0</v>
      </c>
      <c r="C51" s="151">
        <v>1440</v>
      </c>
      <c r="D51" s="85">
        <v>2000</v>
      </c>
      <c r="E51" s="151">
        <v>3</v>
      </c>
      <c r="F51" s="151">
        <f>1+2</f>
        <v>3</v>
      </c>
      <c r="G51" s="243">
        <f t="shared" si="0"/>
        <v>0</v>
      </c>
      <c r="H51" s="258" t="s">
        <v>2101</v>
      </c>
      <c r="I51" s="348" t="s">
        <v>464</v>
      </c>
    </row>
    <row r="52" spans="1:9" ht="16.5" thickTop="1" thickBot="1" x14ac:dyDescent="0.3">
      <c r="A52" s="306"/>
      <c r="B52" s="126" t="s">
        <v>1</v>
      </c>
      <c r="C52" s="126">
        <v>1440</v>
      </c>
      <c r="D52" s="88">
        <v>2500</v>
      </c>
      <c r="E52" s="126">
        <v>3</v>
      </c>
      <c r="F52" s="126">
        <f>1+2</f>
        <v>3</v>
      </c>
      <c r="G52" s="246">
        <f t="shared" si="0"/>
        <v>0</v>
      </c>
      <c r="H52" s="281" t="s">
        <v>2121</v>
      </c>
      <c r="I52" s="348"/>
    </row>
    <row r="53" spans="1:9" ht="16.5" thickTop="1" thickBot="1" x14ac:dyDescent="0.3">
      <c r="A53" s="349" t="s">
        <v>549</v>
      </c>
      <c r="B53" s="151" t="s">
        <v>0</v>
      </c>
      <c r="C53" s="112">
        <v>1440</v>
      </c>
      <c r="D53" s="112">
        <v>968</v>
      </c>
      <c r="E53" s="112">
        <f>10+10</f>
        <v>20</v>
      </c>
      <c r="F53" s="32">
        <v>2</v>
      </c>
      <c r="G53" s="243">
        <f t="shared" si="0"/>
        <v>18</v>
      </c>
      <c r="H53" s="258" t="s">
        <v>2103</v>
      </c>
      <c r="I53" s="348" t="s">
        <v>2102</v>
      </c>
    </row>
    <row r="54" spans="1:9" ht="16.5" thickTop="1" thickBot="1" x14ac:dyDescent="0.3">
      <c r="A54" s="350"/>
      <c r="B54" s="152" t="s">
        <v>1</v>
      </c>
      <c r="C54" s="114">
        <v>1440</v>
      </c>
      <c r="D54" s="114">
        <v>1540</v>
      </c>
      <c r="E54" s="114">
        <f>10+10</f>
        <v>20</v>
      </c>
      <c r="F54" s="34">
        <f>4+1</f>
        <v>5</v>
      </c>
      <c r="G54" s="245">
        <f t="shared" si="0"/>
        <v>15</v>
      </c>
      <c r="H54" s="259" t="s">
        <v>2104</v>
      </c>
      <c r="I54" s="348"/>
    </row>
    <row r="55" spans="1:9" ht="16.5" thickTop="1" thickBot="1" x14ac:dyDescent="0.3">
      <c r="A55" s="351"/>
      <c r="B55" s="126" t="s">
        <v>2</v>
      </c>
      <c r="C55" s="116">
        <v>288</v>
      </c>
      <c r="D55" s="116">
        <v>968</v>
      </c>
      <c r="E55" s="116">
        <f>10+9</f>
        <v>19</v>
      </c>
      <c r="F55" s="33">
        <v>5</v>
      </c>
      <c r="G55" s="246">
        <f t="shared" si="0"/>
        <v>14</v>
      </c>
      <c r="H55" s="281" t="s">
        <v>2138</v>
      </c>
      <c r="I55" s="348"/>
    </row>
    <row r="56" spans="1:9" ht="15.75" thickTop="1" x14ac:dyDescent="0.25">
      <c r="A56" s="161"/>
      <c r="B56" s="161"/>
      <c r="C56" s="161"/>
      <c r="D56" s="161"/>
      <c r="E56" s="161"/>
      <c r="F56" s="161"/>
      <c r="G56" s="161"/>
      <c r="I56" s="161"/>
    </row>
  </sheetData>
  <mergeCells count="36">
    <mergeCell ref="A21:A23"/>
    <mergeCell ref="A51:A52"/>
    <mergeCell ref="A18:A20"/>
    <mergeCell ref="A12:A14"/>
    <mergeCell ref="A3:A5"/>
    <mergeCell ref="A27:A29"/>
    <mergeCell ref="A30:A32"/>
    <mergeCell ref="A6:A8"/>
    <mergeCell ref="A9:A11"/>
    <mergeCell ref="A15:A17"/>
    <mergeCell ref="A24:A26"/>
    <mergeCell ref="A53:A55"/>
    <mergeCell ref="A33:A35"/>
    <mergeCell ref="A39:A41"/>
    <mergeCell ref="A42:A44"/>
    <mergeCell ref="A48:A50"/>
    <mergeCell ref="A45:A47"/>
    <mergeCell ref="A36:A38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48:I50"/>
    <mergeCell ref="I51:I52"/>
    <mergeCell ref="I53:I55"/>
    <mergeCell ref="I33:I35"/>
    <mergeCell ref="I36:I38"/>
    <mergeCell ref="I39:I41"/>
    <mergeCell ref="I42:I44"/>
    <mergeCell ref="I45:I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514"/>
  <sheetViews>
    <sheetView workbookViewId="0">
      <selection activeCell="J2" sqref="J2"/>
    </sheetView>
  </sheetViews>
  <sheetFormatPr defaultRowHeight="15" x14ac:dyDescent="0.25"/>
  <cols>
    <col min="1" max="1" width="30.85546875" customWidth="1"/>
    <col min="5" max="5" width="11.140625" customWidth="1"/>
    <col min="6" max="6" width="10.85546875" customWidth="1"/>
    <col min="7" max="7" width="10.140625" customWidth="1"/>
    <col min="8" max="8" width="34.7109375" style="297" customWidth="1"/>
    <col min="9" max="9" width="8.28515625" customWidth="1"/>
    <col min="10" max="10" width="17.42578125" customWidth="1"/>
    <col min="11" max="11" width="11.140625" customWidth="1"/>
    <col min="17" max="17" width="6.85546875" customWidth="1"/>
    <col min="19" max="19" width="25.85546875" bestFit="1" customWidth="1"/>
  </cols>
  <sheetData>
    <row r="1" spans="1:18" ht="15.75" x14ac:dyDescent="0.25">
      <c r="A1" s="325" t="s">
        <v>92</v>
      </c>
      <c r="B1" s="325"/>
      <c r="C1" s="325"/>
      <c r="D1" s="325"/>
      <c r="E1" s="172"/>
      <c r="F1" s="172"/>
      <c r="G1" s="172"/>
      <c r="H1" s="298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2" spans="1:18" ht="43.5" thickBot="1" x14ac:dyDescent="0.3">
      <c r="A2" s="25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99" t="s">
        <v>1096</v>
      </c>
      <c r="I2" s="38" t="s">
        <v>329</v>
      </c>
      <c r="J2" s="173"/>
    </row>
    <row r="3" spans="1:18" ht="15.75" customHeight="1" thickTop="1" thickBot="1" x14ac:dyDescent="0.3">
      <c r="A3" s="310" t="s">
        <v>391</v>
      </c>
      <c r="B3" s="151" t="s">
        <v>90</v>
      </c>
      <c r="C3" s="151">
        <v>1440</v>
      </c>
      <c r="D3" s="151">
        <v>135</v>
      </c>
      <c r="E3" s="151">
        <f>126+90+300</f>
        <v>516</v>
      </c>
      <c r="F3" s="151">
        <f>4+1+1+1+1+1+2+2+1+10+1+6+1+10+1+2+3+6+1+4+1+1+1+3+2+1+1+1+3+1+2+40+5+2+4+1+3+1+1+5+4</f>
        <v>142</v>
      </c>
      <c r="G3" s="243">
        <f>E3-F3</f>
        <v>374</v>
      </c>
      <c r="H3" s="291" t="s">
        <v>586</v>
      </c>
      <c r="I3" s="358" t="s">
        <v>330</v>
      </c>
    </row>
    <row r="4" spans="1:18" ht="15.75" customHeight="1" thickTop="1" thickBot="1" x14ac:dyDescent="0.3">
      <c r="A4" s="305"/>
      <c r="B4" s="153" t="s">
        <v>89</v>
      </c>
      <c r="C4" s="153">
        <v>1440</v>
      </c>
      <c r="D4" s="153">
        <v>135</v>
      </c>
      <c r="E4" s="153">
        <f>400+200</f>
        <v>600</v>
      </c>
      <c r="F4" s="153">
        <f>1+2+5+1+4+1+1+2+1+1+2+1+1+1+20+4+4+1+1+3+4+2</f>
        <v>63</v>
      </c>
      <c r="G4" s="244">
        <f>E4-F4</f>
        <v>537</v>
      </c>
      <c r="H4" s="292" t="s">
        <v>587</v>
      </c>
      <c r="I4" s="301"/>
    </row>
    <row r="5" spans="1:18" ht="15.75" customHeight="1" thickTop="1" thickBot="1" x14ac:dyDescent="0.3">
      <c r="A5" s="305"/>
      <c r="B5" s="103" t="s">
        <v>21</v>
      </c>
      <c r="C5" s="152">
        <v>1440</v>
      </c>
      <c r="D5" s="152">
        <v>135</v>
      </c>
      <c r="E5" s="152">
        <v>469</v>
      </c>
      <c r="F5" s="152">
        <f>3+3+1+1+2+2+1+1+1+1+1+2+1+2+3+1+1+3+2+1+1+3+3+1+3+2+2+1+1+20+1+2+1+5+3+2+10+3+2+1</f>
        <v>100</v>
      </c>
      <c r="G5" s="245">
        <f>E5-F5</f>
        <v>369</v>
      </c>
      <c r="H5" s="292" t="s">
        <v>588</v>
      </c>
      <c r="I5" s="301"/>
      <c r="J5" s="173"/>
      <c r="K5" s="173"/>
      <c r="L5" s="173"/>
      <c r="M5" s="173"/>
      <c r="N5" s="173"/>
      <c r="O5" s="173"/>
      <c r="P5" s="173"/>
      <c r="Q5" s="173"/>
      <c r="R5" s="173"/>
    </row>
    <row r="6" spans="1:18" ht="15.75" customHeight="1" thickTop="1" thickBot="1" x14ac:dyDescent="0.3">
      <c r="A6" s="305"/>
      <c r="B6" s="103" t="s">
        <v>22</v>
      </c>
      <c r="C6" s="152">
        <v>1440</v>
      </c>
      <c r="D6" s="152">
        <v>165</v>
      </c>
      <c r="E6" s="152">
        <f>173+1</f>
        <v>174</v>
      </c>
      <c r="F6" s="152">
        <f>5+6+1+1+4+2+4+1+1+1+3+1+2+1+3+1+2+3+2+1+1+1+3+1+2+3+5+2+2+1+1+2+1+1+2+40+2+3+1+2+2+1+1+2+10+2+3+2+1</f>
        <v>145</v>
      </c>
      <c r="G6" s="245">
        <f t="shared" ref="G6:G13" si="0">E6-F6</f>
        <v>29</v>
      </c>
      <c r="H6" s="292" t="s">
        <v>589</v>
      </c>
      <c r="I6" s="301"/>
      <c r="J6" s="173"/>
      <c r="K6" s="173"/>
      <c r="L6" s="173"/>
      <c r="M6" s="173"/>
      <c r="N6" s="173"/>
      <c r="O6" s="173"/>
      <c r="P6" s="173"/>
      <c r="Q6" s="173"/>
      <c r="R6" s="173"/>
    </row>
    <row r="7" spans="1:18" ht="15.75" customHeight="1" thickTop="1" thickBot="1" x14ac:dyDescent="0.3">
      <c r="A7" s="305"/>
      <c r="B7" s="104" t="s">
        <v>18</v>
      </c>
      <c r="C7" s="152">
        <v>1440</v>
      </c>
      <c r="D7" s="152">
        <v>175</v>
      </c>
      <c r="E7" s="152">
        <v>169</v>
      </c>
      <c r="F7" s="152">
        <f>6+1+1+1+2+2+1+4+1+1+1+3+1+1+2+1+1+1+10+1+1+3+1</f>
        <v>47</v>
      </c>
      <c r="G7" s="245">
        <f t="shared" si="0"/>
        <v>122</v>
      </c>
      <c r="H7" s="292" t="s">
        <v>590</v>
      </c>
      <c r="I7" s="301"/>
      <c r="J7" s="173"/>
      <c r="K7" s="173"/>
      <c r="L7" s="173"/>
      <c r="M7" s="173"/>
      <c r="N7" s="173"/>
      <c r="O7" s="173"/>
      <c r="P7" s="173"/>
      <c r="Q7" s="173"/>
      <c r="R7" s="173"/>
    </row>
    <row r="8" spans="1:18" ht="15.75" customHeight="1" thickTop="1" thickBot="1" x14ac:dyDescent="0.3">
      <c r="A8" s="305"/>
      <c r="B8" s="152" t="s">
        <v>19</v>
      </c>
      <c r="C8" s="152">
        <v>1440</v>
      </c>
      <c r="D8" s="152">
        <v>226</v>
      </c>
      <c r="E8" s="152">
        <v>138</v>
      </c>
      <c r="F8" s="152">
        <f>2+1+1+1+1+1+1+1+2+10+3</f>
        <v>24</v>
      </c>
      <c r="G8" s="245">
        <f t="shared" si="0"/>
        <v>114</v>
      </c>
      <c r="H8" s="292" t="s">
        <v>591</v>
      </c>
      <c r="I8" s="301"/>
      <c r="J8" s="173"/>
      <c r="K8" s="173"/>
      <c r="L8" s="173"/>
      <c r="M8" s="173"/>
      <c r="N8" s="173"/>
      <c r="O8" s="173"/>
      <c r="P8" s="173"/>
      <c r="Q8" s="173"/>
      <c r="R8" s="173"/>
    </row>
    <row r="9" spans="1:18" ht="15.75" customHeight="1" thickTop="1" thickBot="1" x14ac:dyDescent="0.3">
      <c r="A9" s="305"/>
      <c r="B9" s="152" t="s">
        <v>0</v>
      </c>
      <c r="C9" s="152">
        <v>1440</v>
      </c>
      <c r="D9" s="152">
        <v>285</v>
      </c>
      <c r="E9" s="152">
        <v>193</v>
      </c>
      <c r="F9" s="152">
        <f>2+1+2+2+1+1+10+1+1+1+1</f>
        <v>23</v>
      </c>
      <c r="G9" s="245">
        <f t="shared" si="0"/>
        <v>170</v>
      </c>
      <c r="H9" s="292" t="s">
        <v>592</v>
      </c>
      <c r="I9" s="301"/>
      <c r="J9" s="173"/>
      <c r="K9" s="173"/>
      <c r="L9" s="173"/>
      <c r="M9" s="173"/>
      <c r="N9" s="173"/>
      <c r="O9" s="173"/>
      <c r="P9" s="173"/>
      <c r="Q9" s="173"/>
      <c r="R9" s="173"/>
    </row>
    <row r="10" spans="1:18" ht="15.75" customHeight="1" thickTop="1" thickBot="1" x14ac:dyDescent="0.3">
      <c r="A10" s="305"/>
      <c r="B10" s="152" t="s">
        <v>1</v>
      </c>
      <c r="C10" s="152">
        <v>1440</v>
      </c>
      <c r="D10" s="152">
        <v>417</v>
      </c>
      <c r="E10" s="152">
        <v>399</v>
      </c>
      <c r="F10" s="152">
        <f>2+1+1+1+1+1+1+10+1</f>
        <v>19</v>
      </c>
      <c r="G10" s="245">
        <f t="shared" si="0"/>
        <v>380</v>
      </c>
      <c r="H10" s="292" t="s">
        <v>593</v>
      </c>
      <c r="I10" s="301"/>
      <c r="J10" s="173"/>
      <c r="K10" s="173"/>
      <c r="L10" s="173"/>
      <c r="M10" s="173"/>
      <c r="N10" s="173"/>
      <c r="O10" s="173"/>
      <c r="P10" s="173"/>
      <c r="Q10" s="173"/>
      <c r="R10" s="173"/>
    </row>
    <row r="11" spans="1:18" ht="15.75" customHeight="1" thickTop="1" thickBot="1" x14ac:dyDescent="0.3">
      <c r="A11" s="305"/>
      <c r="B11" s="152" t="s">
        <v>2</v>
      </c>
      <c r="C11" s="152">
        <v>288</v>
      </c>
      <c r="D11" s="152">
        <v>211</v>
      </c>
      <c r="E11" s="152">
        <v>178</v>
      </c>
      <c r="F11" s="152">
        <f>1+10</f>
        <v>11</v>
      </c>
      <c r="G11" s="245">
        <f t="shared" si="0"/>
        <v>167</v>
      </c>
      <c r="H11" s="292" t="s">
        <v>594</v>
      </c>
      <c r="I11" s="301"/>
      <c r="J11" s="173"/>
      <c r="K11" s="173"/>
      <c r="L11" s="173"/>
      <c r="M11" s="173"/>
      <c r="N11" s="173"/>
      <c r="O11" s="173"/>
      <c r="P11" s="173"/>
      <c r="Q11" s="173"/>
      <c r="R11" s="173"/>
    </row>
    <row r="12" spans="1:18" ht="15.75" customHeight="1" thickTop="1" thickBot="1" x14ac:dyDescent="0.3">
      <c r="A12" s="305"/>
      <c r="B12" s="152" t="s">
        <v>5</v>
      </c>
      <c r="C12" s="152">
        <v>144</v>
      </c>
      <c r="D12" s="152">
        <v>376</v>
      </c>
      <c r="E12" s="152">
        <v>360</v>
      </c>
      <c r="F12" s="152">
        <f>1+1+1</f>
        <v>3</v>
      </c>
      <c r="G12" s="245">
        <f t="shared" si="0"/>
        <v>357</v>
      </c>
      <c r="H12" s="292" t="s">
        <v>595</v>
      </c>
      <c r="I12" s="301"/>
      <c r="J12" s="173"/>
      <c r="K12" s="173"/>
      <c r="L12" s="173"/>
      <c r="M12" s="173"/>
      <c r="N12" s="173"/>
      <c r="O12" s="173"/>
      <c r="P12" s="173"/>
      <c r="Q12" s="173"/>
      <c r="R12" s="173"/>
    </row>
    <row r="13" spans="1:18" ht="15.75" customHeight="1" thickTop="1" thickBot="1" x14ac:dyDescent="0.3">
      <c r="A13" s="305"/>
      <c r="B13" s="126" t="s">
        <v>20</v>
      </c>
      <c r="C13" s="126">
        <v>144</v>
      </c>
      <c r="D13" s="126">
        <v>267</v>
      </c>
      <c r="E13" s="126">
        <v>80</v>
      </c>
      <c r="F13" s="126">
        <f>1+1+2+1</f>
        <v>5</v>
      </c>
      <c r="G13" s="245">
        <f t="shared" si="0"/>
        <v>75</v>
      </c>
      <c r="H13" s="295" t="s">
        <v>596</v>
      </c>
      <c r="I13" s="301"/>
      <c r="J13" s="173"/>
      <c r="K13" s="173"/>
      <c r="L13" s="173"/>
      <c r="M13" s="173"/>
      <c r="N13" s="173"/>
      <c r="O13" s="173"/>
      <c r="P13" s="173"/>
      <c r="Q13" s="173"/>
      <c r="R13" s="173"/>
    </row>
    <row r="14" spans="1:18" ht="15.75" customHeight="1" thickTop="1" thickBot="1" x14ac:dyDescent="0.3">
      <c r="A14" s="307" t="s">
        <v>572</v>
      </c>
      <c r="B14" s="151" t="s">
        <v>90</v>
      </c>
      <c r="C14" s="151">
        <v>1440</v>
      </c>
      <c r="D14" s="151">
        <v>96</v>
      </c>
      <c r="E14" s="151">
        <v>60</v>
      </c>
      <c r="F14" s="151">
        <f>2+1+1+1+15+1+1+1+1+3+1+1+15+3+10</f>
        <v>57</v>
      </c>
      <c r="G14" s="243">
        <f t="shared" ref="G14:G32" si="1">E14-F14</f>
        <v>3</v>
      </c>
      <c r="H14" s="291" t="s">
        <v>597</v>
      </c>
      <c r="I14" s="301" t="s">
        <v>331</v>
      </c>
      <c r="J14" s="173"/>
      <c r="K14" s="173"/>
      <c r="L14" s="173"/>
      <c r="M14" s="173"/>
      <c r="N14" s="173"/>
      <c r="O14" s="173"/>
      <c r="P14" s="173"/>
      <c r="Q14" s="173"/>
      <c r="R14" s="173"/>
    </row>
    <row r="15" spans="1:18" ht="15.75" customHeight="1" thickTop="1" thickBot="1" x14ac:dyDescent="0.3">
      <c r="A15" s="308"/>
      <c r="B15" s="152" t="s">
        <v>89</v>
      </c>
      <c r="C15" s="152">
        <v>1440</v>
      </c>
      <c r="D15" s="152">
        <v>78</v>
      </c>
      <c r="E15" s="152">
        <v>60</v>
      </c>
      <c r="F15" s="152">
        <f>2+1+1+1+1+10+1</f>
        <v>17</v>
      </c>
      <c r="G15" s="245">
        <f t="shared" si="1"/>
        <v>43</v>
      </c>
      <c r="H15" s="292" t="s">
        <v>598</v>
      </c>
      <c r="I15" s="301"/>
      <c r="J15" s="173"/>
      <c r="K15" s="173"/>
      <c r="L15" s="173"/>
      <c r="M15" s="173"/>
      <c r="N15" s="173"/>
      <c r="O15" s="173"/>
      <c r="P15" s="173"/>
      <c r="Q15" s="173"/>
      <c r="R15" s="173"/>
    </row>
    <row r="16" spans="1:18" ht="15.75" customHeight="1" thickTop="1" thickBot="1" x14ac:dyDescent="0.3">
      <c r="A16" s="308"/>
      <c r="B16" s="152" t="s">
        <v>21</v>
      </c>
      <c r="C16" s="152">
        <v>1440</v>
      </c>
      <c r="D16" s="152">
        <v>78</v>
      </c>
      <c r="E16" s="152">
        <v>46</v>
      </c>
      <c r="F16" s="152">
        <f>1+1+1+1+2+1+1+3+1+10+1+1+1+1</f>
        <v>26</v>
      </c>
      <c r="G16" s="245">
        <f t="shared" si="1"/>
        <v>20</v>
      </c>
      <c r="H16" s="292" t="s">
        <v>599</v>
      </c>
      <c r="I16" s="301"/>
      <c r="J16" s="173"/>
      <c r="K16" s="173"/>
      <c r="L16" s="173"/>
      <c r="M16" s="173"/>
      <c r="N16" s="173"/>
      <c r="O16" s="173"/>
      <c r="P16" s="173"/>
      <c r="Q16" s="173"/>
      <c r="R16" s="173"/>
    </row>
    <row r="17" spans="1:18" ht="15.75" customHeight="1" thickTop="1" thickBot="1" x14ac:dyDescent="0.3">
      <c r="A17" s="308"/>
      <c r="B17" s="152" t="s">
        <v>22</v>
      </c>
      <c r="C17" s="152">
        <v>1440</v>
      </c>
      <c r="D17" s="152">
        <v>104</v>
      </c>
      <c r="E17" s="152">
        <v>43</v>
      </c>
      <c r="F17" s="152">
        <f>2+1+1+1+10+1+2+2</f>
        <v>20</v>
      </c>
      <c r="G17" s="245">
        <f t="shared" si="1"/>
        <v>23</v>
      </c>
      <c r="H17" s="292" t="s">
        <v>600</v>
      </c>
      <c r="I17" s="301"/>
      <c r="J17" s="173"/>
      <c r="K17" s="173"/>
      <c r="L17" s="173"/>
      <c r="M17" s="173"/>
      <c r="N17" s="173"/>
      <c r="O17" s="173"/>
      <c r="P17" s="173"/>
      <c r="Q17" s="173"/>
      <c r="R17" s="173"/>
    </row>
    <row r="18" spans="1:18" ht="15.75" customHeight="1" thickTop="1" thickBot="1" x14ac:dyDescent="0.3">
      <c r="A18" s="308"/>
      <c r="B18" s="152" t="s">
        <v>18</v>
      </c>
      <c r="C18" s="152">
        <v>1440</v>
      </c>
      <c r="D18" s="152">
        <v>115</v>
      </c>
      <c r="E18" s="152">
        <f>50+28</f>
        <v>78</v>
      </c>
      <c r="F18" s="152">
        <f>1+1+1+2+2+1+2+1+1+1+10+1+2</f>
        <v>26</v>
      </c>
      <c r="G18" s="245">
        <f t="shared" si="1"/>
        <v>52</v>
      </c>
      <c r="H18" s="292" t="s">
        <v>601</v>
      </c>
      <c r="I18" s="301"/>
      <c r="J18" s="173"/>
      <c r="K18" s="173"/>
      <c r="L18" s="173"/>
      <c r="M18" s="173"/>
      <c r="N18" s="173"/>
      <c r="O18" s="173"/>
      <c r="P18" s="173"/>
      <c r="Q18" s="173"/>
      <c r="R18" s="173"/>
    </row>
    <row r="19" spans="1:18" ht="15.75" customHeight="1" thickTop="1" thickBot="1" x14ac:dyDescent="0.3">
      <c r="A19" s="308"/>
      <c r="B19" s="152" t="s">
        <v>19</v>
      </c>
      <c r="C19" s="152">
        <v>1440</v>
      </c>
      <c r="D19" s="152">
        <v>164</v>
      </c>
      <c r="E19" s="152">
        <f>80+15</f>
        <v>95</v>
      </c>
      <c r="F19" s="152">
        <f>1+2+10+1+1</f>
        <v>15</v>
      </c>
      <c r="G19" s="245">
        <f t="shared" si="1"/>
        <v>80</v>
      </c>
      <c r="H19" s="292" t="s">
        <v>602</v>
      </c>
      <c r="I19" s="301"/>
      <c r="J19" s="173"/>
      <c r="K19" s="173"/>
      <c r="L19" s="173"/>
      <c r="M19" s="173"/>
      <c r="N19" s="173"/>
      <c r="O19" s="173"/>
      <c r="P19" s="173"/>
      <c r="Q19" s="173"/>
      <c r="R19" s="173"/>
    </row>
    <row r="20" spans="1:18" ht="15.75" customHeight="1" thickTop="1" thickBot="1" x14ac:dyDescent="0.3">
      <c r="A20" s="308"/>
      <c r="B20" s="152" t="s">
        <v>1</v>
      </c>
      <c r="C20" s="152">
        <v>1440</v>
      </c>
      <c r="D20" s="152">
        <v>282</v>
      </c>
      <c r="E20" s="152">
        <v>20</v>
      </c>
      <c r="F20" s="152">
        <f>10+1+2</f>
        <v>13</v>
      </c>
      <c r="G20" s="245">
        <f t="shared" si="1"/>
        <v>7</v>
      </c>
      <c r="H20" s="292" t="s">
        <v>603</v>
      </c>
      <c r="I20" s="301"/>
      <c r="J20" s="173"/>
      <c r="K20" s="173"/>
      <c r="L20" s="173"/>
      <c r="M20" s="173"/>
      <c r="N20" s="173"/>
      <c r="O20" s="173"/>
      <c r="P20" s="173"/>
      <c r="Q20" s="173"/>
      <c r="R20" s="173"/>
    </row>
    <row r="21" spans="1:18" ht="15.75" customHeight="1" thickTop="1" thickBot="1" x14ac:dyDescent="0.3">
      <c r="A21" s="308"/>
      <c r="B21" s="152" t="s">
        <v>2</v>
      </c>
      <c r="C21" s="152">
        <v>288</v>
      </c>
      <c r="D21" s="152">
        <v>242</v>
      </c>
      <c r="E21" s="152">
        <v>19</v>
      </c>
      <c r="F21" s="152">
        <f>1+1+5+1+1+1+1+1</f>
        <v>12</v>
      </c>
      <c r="G21" s="245">
        <f t="shared" si="1"/>
        <v>7</v>
      </c>
      <c r="H21" s="292" t="s">
        <v>604</v>
      </c>
      <c r="I21" s="301"/>
      <c r="J21" s="173"/>
      <c r="K21" s="173"/>
      <c r="L21" s="173"/>
      <c r="M21" s="173"/>
      <c r="N21" s="173"/>
      <c r="O21" s="173"/>
      <c r="P21" s="173"/>
      <c r="Q21" s="173"/>
      <c r="R21" s="173"/>
    </row>
    <row r="22" spans="1:18" ht="15.75" customHeight="1" thickTop="1" thickBot="1" x14ac:dyDescent="0.3">
      <c r="A22" s="309"/>
      <c r="B22" s="126" t="s">
        <v>5</v>
      </c>
      <c r="C22" s="126">
        <v>144</v>
      </c>
      <c r="D22" s="126">
        <v>242</v>
      </c>
      <c r="E22" s="126">
        <f>20+27</f>
        <v>47</v>
      </c>
      <c r="F22" s="126">
        <f>1+1</f>
        <v>2</v>
      </c>
      <c r="G22" s="246">
        <f t="shared" si="1"/>
        <v>45</v>
      </c>
      <c r="H22" s="295" t="s">
        <v>605</v>
      </c>
      <c r="I22" s="301"/>
      <c r="J22" s="173"/>
      <c r="K22" s="173"/>
      <c r="L22" s="173"/>
      <c r="M22" s="173"/>
      <c r="N22" s="173"/>
      <c r="O22" s="173"/>
      <c r="P22" s="173"/>
      <c r="Q22" s="173"/>
      <c r="R22" s="173"/>
    </row>
    <row r="23" spans="1:18" ht="15.75" customHeight="1" thickTop="1" thickBot="1" x14ac:dyDescent="0.3">
      <c r="A23" s="307" t="s">
        <v>98</v>
      </c>
      <c r="B23" s="151" t="s">
        <v>89</v>
      </c>
      <c r="C23" s="151">
        <v>1440</v>
      </c>
      <c r="D23" s="151">
        <v>172</v>
      </c>
      <c r="E23" s="151">
        <v>974</v>
      </c>
      <c r="F23" s="151">
        <f>4+1+1+10+1+1+3+5+1+2+3+1+1+3+20+1+1</f>
        <v>59</v>
      </c>
      <c r="G23" s="243">
        <f t="shared" si="1"/>
        <v>915</v>
      </c>
      <c r="H23" s="291" t="s">
        <v>606</v>
      </c>
      <c r="I23" s="301" t="s">
        <v>332</v>
      </c>
      <c r="J23" s="173"/>
      <c r="K23" s="173"/>
      <c r="L23" s="173"/>
      <c r="M23" s="173"/>
      <c r="N23" s="173"/>
      <c r="O23" s="173"/>
      <c r="P23" s="173"/>
      <c r="Q23" s="173"/>
      <c r="R23" s="173"/>
    </row>
    <row r="24" spans="1:18" ht="15.75" customHeight="1" thickTop="1" thickBot="1" x14ac:dyDescent="0.3">
      <c r="A24" s="308"/>
      <c r="B24" s="152" t="s">
        <v>21</v>
      </c>
      <c r="C24" s="152">
        <v>1440</v>
      </c>
      <c r="D24" s="152">
        <v>172</v>
      </c>
      <c r="E24" s="152">
        <v>1117</v>
      </c>
      <c r="F24" s="152">
        <f>1+1+1+1+1+1+4+1+1+2+1+2+20+1+1+1+1+1</f>
        <v>42</v>
      </c>
      <c r="G24" s="245">
        <f t="shared" si="1"/>
        <v>1075</v>
      </c>
      <c r="H24" s="292" t="s">
        <v>614</v>
      </c>
      <c r="I24" s="301"/>
      <c r="J24" s="173"/>
      <c r="K24" s="173"/>
      <c r="L24" s="173"/>
      <c r="M24" s="173"/>
      <c r="N24" s="173"/>
      <c r="O24" s="173"/>
      <c r="P24" s="173"/>
      <c r="Q24" s="173"/>
      <c r="R24" s="173"/>
    </row>
    <row r="25" spans="1:18" ht="15.75" customHeight="1" thickTop="1" thickBot="1" x14ac:dyDescent="0.3">
      <c r="A25" s="308"/>
      <c r="B25" s="153" t="s">
        <v>22</v>
      </c>
      <c r="C25" s="153">
        <v>1440</v>
      </c>
      <c r="D25" s="153">
        <v>220</v>
      </c>
      <c r="E25" s="153">
        <v>521</v>
      </c>
      <c r="F25" s="153">
        <f>1+1+1+1+1+1+1+1+1+1+2+20+2+1</f>
        <v>35</v>
      </c>
      <c r="G25" s="244">
        <f t="shared" si="1"/>
        <v>486</v>
      </c>
      <c r="H25" s="292" t="s">
        <v>615</v>
      </c>
      <c r="I25" s="301"/>
      <c r="J25" s="173"/>
      <c r="K25" s="173"/>
      <c r="L25" s="173"/>
      <c r="M25" s="173"/>
      <c r="N25" s="173"/>
      <c r="O25" s="173"/>
      <c r="P25" s="173"/>
      <c r="Q25" s="173"/>
      <c r="R25" s="173"/>
    </row>
    <row r="26" spans="1:18" ht="15.75" customHeight="1" thickTop="1" thickBot="1" x14ac:dyDescent="0.3">
      <c r="A26" s="308"/>
      <c r="B26" s="152" t="s">
        <v>18</v>
      </c>
      <c r="C26" s="152">
        <v>1440</v>
      </c>
      <c r="D26" s="152">
        <v>233</v>
      </c>
      <c r="E26" s="152">
        <v>587</v>
      </c>
      <c r="F26" s="152">
        <f>1+1+1+1+1+1+1+1+2+1+20+2+3</f>
        <v>36</v>
      </c>
      <c r="G26" s="245">
        <f t="shared" si="1"/>
        <v>551</v>
      </c>
      <c r="H26" s="292" t="s">
        <v>616</v>
      </c>
      <c r="I26" s="301"/>
      <c r="J26" s="173"/>
      <c r="K26" s="173"/>
      <c r="L26" s="173"/>
      <c r="M26" s="173"/>
      <c r="N26" s="173"/>
      <c r="O26" s="173"/>
      <c r="P26" s="173"/>
      <c r="Q26" s="173"/>
      <c r="R26" s="173"/>
    </row>
    <row r="27" spans="1:18" ht="15.75" customHeight="1" thickTop="1" thickBot="1" x14ac:dyDescent="0.3">
      <c r="A27" s="308"/>
      <c r="B27" s="152" t="s">
        <v>19</v>
      </c>
      <c r="C27" s="152">
        <v>1440</v>
      </c>
      <c r="D27" s="152">
        <v>309</v>
      </c>
      <c r="E27" s="152">
        <v>479</v>
      </c>
      <c r="F27" s="152">
        <f>5+1+1+1+1+1+1+2+1+20</f>
        <v>34</v>
      </c>
      <c r="G27" s="245">
        <f t="shared" si="1"/>
        <v>445</v>
      </c>
      <c r="H27" s="292" t="s">
        <v>617</v>
      </c>
      <c r="I27" s="301"/>
      <c r="J27" s="173"/>
      <c r="K27" s="173"/>
      <c r="L27" s="173"/>
      <c r="M27" s="173"/>
      <c r="N27" s="173"/>
      <c r="O27" s="173"/>
      <c r="P27" s="173"/>
      <c r="Q27" s="173"/>
      <c r="R27" s="173"/>
    </row>
    <row r="28" spans="1:18" ht="15.75" customHeight="1" thickTop="1" thickBot="1" x14ac:dyDescent="0.3">
      <c r="A28" s="308"/>
      <c r="B28" s="152" t="s">
        <v>0</v>
      </c>
      <c r="C28" s="152">
        <v>1440</v>
      </c>
      <c r="D28" s="152">
        <v>387</v>
      </c>
      <c r="E28" s="152">
        <v>221</v>
      </c>
      <c r="F28" s="152">
        <f>5+1+1+1+5+1+1+1+2+1+20+3</f>
        <v>42</v>
      </c>
      <c r="G28" s="245">
        <f t="shared" si="1"/>
        <v>179</v>
      </c>
      <c r="H28" s="292" t="s">
        <v>618</v>
      </c>
      <c r="I28" s="301"/>
      <c r="J28" s="173"/>
      <c r="K28" s="173"/>
      <c r="L28" s="173"/>
      <c r="M28" s="173"/>
      <c r="N28" s="173"/>
      <c r="O28" s="173"/>
      <c r="P28" s="173"/>
      <c r="Q28" s="173"/>
      <c r="R28" s="173"/>
    </row>
    <row r="29" spans="1:18" ht="15.75" customHeight="1" thickTop="1" thickBot="1" x14ac:dyDescent="0.3">
      <c r="A29" s="308"/>
      <c r="B29" s="152" t="s">
        <v>1</v>
      </c>
      <c r="C29" s="152">
        <v>1440</v>
      </c>
      <c r="D29" s="152">
        <v>732</v>
      </c>
      <c r="E29" s="152">
        <f>87+94+120</f>
        <v>301</v>
      </c>
      <c r="F29" s="152">
        <f>1+1+5+2+1+1+1+1+1+20+3</f>
        <v>37</v>
      </c>
      <c r="G29" s="245">
        <f t="shared" si="1"/>
        <v>264</v>
      </c>
      <c r="H29" s="292" t="s">
        <v>619</v>
      </c>
      <c r="I29" s="301"/>
      <c r="J29" s="173"/>
      <c r="K29" s="173"/>
      <c r="L29" s="173"/>
      <c r="M29" s="173"/>
      <c r="N29" s="173"/>
      <c r="O29" s="173"/>
      <c r="P29" s="173"/>
      <c r="Q29" s="173"/>
      <c r="R29" s="173"/>
    </row>
    <row r="30" spans="1:18" ht="15.75" customHeight="1" thickTop="1" thickBot="1" x14ac:dyDescent="0.3">
      <c r="A30" s="308"/>
      <c r="B30" s="152" t="s">
        <v>2</v>
      </c>
      <c r="C30" s="152">
        <v>288</v>
      </c>
      <c r="D30" s="152">
        <v>387</v>
      </c>
      <c r="E30" s="152">
        <v>143</v>
      </c>
      <c r="F30" s="152">
        <f>1+1+1+20+1</f>
        <v>24</v>
      </c>
      <c r="G30" s="245">
        <f t="shared" si="1"/>
        <v>119</v>
      </c>
      <c r="H30" s="292" t="s">
        <v>620</v>
      </c>
      <c r="I30" s="301"/>
      <c r="J30" s="173"/>
      <c r="K30" s="173"/>
      <c r="L30" s="173"/>
      <c r="M30" s="173"/>
      <c r="N30" s="173"/>
      <c r="O30" s="173"/>
      <c r="P30" s="173"/>
      <c r="Q30" s="173"/>
      <c r="R30" s="173"/>
    </row>
    <row r="31" spans="1:18" ht="15.75" customHeight="1" thickTop="1" thickBot="1" x14ac:dyDescent="0.3">
      <c r="A31" s="308"/>
      <c r="B31" s="152" t="s">
        <v>5</v>
      </c>
      <c r="C31" s="152">
        <v>144</v>
      </c>
      <c r="D31" s="152">
        <v>495</v>
      </c>
      <c r="E31" s="152">
        <v>185</v>
      </c>
      <c r="F31" s="152">
        <f>20+1+1</f>
        <v>22</v>
      </c>
      <c r="G31" s="245">
        <f t="shared" si="1"/>
        <v>163</v>
      </c>
      <c r="H31" s="292" t="s">
        <v>621</v>
      </c>
      <c r="I31" s="301"/>
      <c r="J31" s="173"/>
      <c r="K31" s="173"/>
      <c r="L31" s="173"/>
      <c r="M31" s="173"/>
      <c r="N31" s="173"/>
      <c r="O31" s="173"/>
      <c r="P31" s="173"/>
      <c r="Q31" s="173"/>
      <c r="R31" s="173"/>
    </row>
    <row r="32" spans="1:18" ht="15.75" customHeight="1" thickTop="1" thickBot="1" x14ac:dyDescent="0.3">
      <c r="A32" s="309"/>
      <c r="B32" s="126" t="s">
        <v>20</v>
      </c>
      <c r="C32" s="126">
        <v>144</v>
      </c>
      <c r="D32" s="126">
        <v>495</v>
      </c>
      <c r="E32" s="126">
        <v>166</v>
      </c>
      <c r="F32" s="126"/>
      <c r="G32" s="246">
        <f t="shared" si="1"/>
        <v>166</v>
      </c>
      <c r="H32" s="295" t="s">
        <v>622</v>
      </c>
      <c r="I32" s="301"/>
      <c r="J32" s="173"/>
      <c r="K32" s="173"/>
      <c r="L32" s="173"/>
      <c r="M32" s="173"/>
      <c r="N32" s="173"/>
      <c r="O32" s="173"/>
      <c r="P32" s="173"/>
      <c r="Q32" s="173"/>
      <c r="R32" s="173"/>
    </row>
    <row r="33" spans="1:18" ht="15.75" customHeight="1" thickTop="1" thickBot="1" x14ac:dyDescent="0.3">
      <c r="A33" s="304" t="s">
        <v>609</v>
      </c>
      <c r="B33" s="149" t="s">
        <v>90</v>
      </c>
      <c r="C33" s="149">
        <v>1440</v>
      </c>
      <c r="D33" s="142">
        <v>182</v>
      </c>
      <c r="E33" s="149">
        <f>76+55</f>
        <v>131</v>
      </c>
      <c r="F33" s="151">
        <f>1+6+1+1+1+1+1+1+10+4+1</f>
        <v>28</v>
      </c>
      <c r="G33" s="243">
        <f>E33-F33</f>
        <v>103</v>
      </c>
      <c r="H33" s="291" t="s">
        <v>610</v>
      </c>
      <c r="I33" s="301" t="s">
        <v>333</v>
      </c>
      <c r="J33" s="173"/>
      <c r="K33" s="173"/>
      <c r="L33" s="173"/>
      <c r="M33" s="173"/>
      <c r="N33" s="173"/>
      <c r="O33" s="173"/>
      <c r="P33" s="173"/>
      <c r="Q33" s="173"/>
      <c r="R33" s="173"/>
    </row>
    <row r="34" spans="1:18" ht="15.75" customHeight="1" thickTop="1" thickBot="1" x14ac:dyDescent="0.3">
      <c r="A34" s="305"/>
      <c r="B34" s="152" t="s">
        <v>89</v>
      </c>
      <c r="C34" s="152">
        <v>1440</v>
      </c>
      <c r="D34" s="27">
        <v>182</v>
      </c>
      <c r="E34" s="152">
        <f>10+39+100</f>
        <v>149</v>
      </c>
      <c r="F34" s="153">
        <f>15+7+1+6+1+7+2+1+1+1+1+2+1+1+1+10+1+1+1+1+3+1</f>
        <v>66</v>
      </c>
      <c r="G34" s="244">
        <f>E34-F34</f>
        <v>83</v>
      </c>
      <c r="H34" s="292" t="s">
        <v>623</v>
      </c>
      <c r="I34" s="301"/>
      <c r="J34" s="173"/>
      <c r="K34" s="173"/>
      <c r="L34" s="173"/>
      <c r="M34" s="173"/>
      <c r="N34" s="173"/>
      <c r="O34" s="173"/>
      <c r="P34" s="173"/>
      <c r="Q34" s="173"/>
      <c r="R34" s="173"/>
    </row>
    <row r="35" spans="1:18" ht="15.75" customHeight="1" thickTop="1" thickBot="1" x14ac:dyDescent="0.3">
      <c r="A35" s="305"/>
      <c r="B35" s="153" t="s">
        <v>21</v>
      </c>
      <c r="C35" s="153">
        <v>1440</v>
      </c>
      <c r="D35" s="26">
        <v>154.66666666666669</v>
      </c>
      <c r="E35" s="153">
        <f>73+50+82+1</f>
        <v>206</v>
      </c>
      <c r="F35" s="153">
        <f>2+1+1+3+1+2+1+1+2+1+2+1+1+5+1+1+1+1+4+2+3+4+1+15+3+1+3+20+1+2+1+3+2+1+5</f>
        <v>99</v>
      </c>
      <c r="G35" s="244">
        <f>E35-F35</f>
        <v>107</v>
      </c>
      <c r="H35" s="292" t="s">
        <v>624</v>
      </c>
      <c r="I35" s="301"/>
      <c r="J35" s="173"/>
      <c r="K35" s="173"/>
      <c r="L35" s="173"/>
      <c r="M35" s="173"/>
      <c r="N35" s="173"/>
      <c r="O35" s="173"/>
      <c r="P35" s="173"/>
      <c r="Q35" s="173"/>
      <c r="R35" s="173"/>
    </row>
    <row r="36" spans="1:18" ht="16.5" thickTop="1" thickBot="1" x14ac:dyDescent="0.3">
      <c r="A36" s="305"/>
      <c r="B36" s="152" t="s">
        <v>22</v>
      </c>
      <c r="C36" s="152">
        <v>1440</v>
      </c>
      <c r="D36" s="27">
        <v>187.7222222222222</v>
      </c>
      <c r="E36" s="152">
        <f>20+56</f>
        <v>76</v>
      </c>
      <c r="F36" s="152">
        <f>1+2+2+2+1+1+1+2+4+2+2+3+1+1+1+1+4+1+1+25+1+1+2+3+2+1+3+2+2+1</f>
        <v>76</v>
      </c>
      <c r="G36" s="245">
        <f t="shared" ref="G36:G99" si="2">E36-F36</f>
        <v>0</v>
      </c>
      <c r="H36" s="292" t="s">
        <v>625</v>
      </c>
      <c r="I36" s="301"/>
      <c r="J36" s="173"/>
      <c r="K36" s="173"/>
      <c r="L36" s="173"/>
      <c r="M36" s="173"/>
      <c r="N36" s="173"/>
      <c r="O36" s="173"/>
      <c r="P36" s="173"/>
      <c r="Q36" s="173"/>
      <c r="R36" s="173"/>
    </row>
    <row r="37" spans="1:18" ht="16.5" thickTop="1" thickBot="1" x14ac:dyDescent="0.3">
      <c r="A37" s="305"/>
      <c r="B37" s="152" t="s">
        <v>18</v>
      </c>
      <c r="C37" s="152">
        <v>1440</v>
      </c>
      <c r="D37" s="27">
        <v>208.49999999999997</v>
      </c>
      <c r="E37" s="152">
        <f>20+93</f>
        <v>113</v>
      </c>
      <c r="F37" s="152">
        <f>3+1+1+1+1+1+1+1+1+1+1+1+1+2+2+1+1+1+3+10+1+2+1+20+2</f>
        <v>61</v>
      </c>
      <c r="G37" s="245">
        <f t="shared" si="2"/>
        <v>52</v>
      </c>
      <c r="H37" s="292" t="s">
        <v>626</v>
      </c>
      <c r="I37" s="301"/>
      <c r="J37" s="173"/>
      <c r="K37" s="173"/>
      <c r="L37" s="173"/>
      <c r="M37" s="173"/>
      <c r="N37" s="173"/>
      <c r="O37" s="173"/>
      <c r="P37" s="173"/>
      <c r="Q37" s="173"/>
      <c r="R37" s="173"/>
    </row>
    <row r="38" spans="1:18" ht="16.5" thickTop="1" thickBot="1" x14ac:dyDescent="0.3">
      <c r="A38" s="305"/>
      <c r="B38" s="152" t="s">
        <v>19</v>
      </c>
      <c r="C38" s="152">
        <v>1440</v>
      </c>
      <c r="D38" s="27">
        <v>265</v>
      </c>
      <c r="E38" s="152">
        <f>18+60</f>
        <v>78</v>
      </c>
      <c r="F38" s="152">
        <f>2+2+1+30</f>
        <v>35</v>
      </c>
      <c r="G38" s="245">
        <f t="shared" si="2"/>
        <v>43</v>
      </c>
      <c r="H38" s="292" t="s">
        <v>627</v>
      </c>
      <c r="I38" s="301"/>
      <c r="J38" s="173"/>
      <c r="K38" s="173"/>
      <c r="L38" s="173"/>
      <c r="M38" s="173"/>
      <c r="N38" s="173"/>
      <c r="O38" s="173"/>
      <c r="P38" s="173"/>
      <c r="Q38" s="173"/>
      <c r="R38" s="173"/>
    </row>
    <row r="39" spans="1:18" ht="16.5" thickTop="1" thickBot="1" x14ac:dyDescent="0.3">
      <c r="A39" s="305"/>
      <c r="B39" s="153" t="s">
        <v>0</v>
      </c>
      <c r="C39" s="153">
        <v>1440</v>
      </c>
      <c r="D39" s="26">
        <v>351.11111111111114</v>
      </c>
      <c r="E39" s="153">
        <v>97</v>
      </c>
      <c r="F39" s="152">
        <f>2+1+20+2</f>
        <v>25</v>
      </c>
      <c r="G39" s="245">
        <f t="shared" si="2"/>
        <v>72</v>
      </c>
      <c r="H39" s="292" t="s">
        <v>628</v>
      </c>
      <c r="I39" s="301"/>
      <c r="J39" s="173"/>
      <c r="K39" s="173"/>
      <c r="L39" s="173"/>
      <c r="M39" s="173"/>
      <c r="N39" s="173"/>
      <c r="O39" s="173"/>
      <c r="P39" s="173"/>
      <c r="Q39" s="173"/>
      <c r="R39" s="173"/>
    </row>
    <row r="40" spans="1:18" ht="16.5" thickTop="1" thickBot="1" x14ac:dyDescent="0.3">
      <c r="A40" s="305"/>
      <c r="B40" s="152" t="s">
        <v>1</v>
      </c>
      <c r="C40" s="152">
        <v>1440</v>
      </c>
      <c r="D40" s="27">
        <v>516.38888888888891</v>
      </c>
      <c r="E40" s="152">
        <f>20+188</f>
        <v>208</v>
      </c>
      <c r="F40" s="152">
        <f>1+1+1+20</f>
        <v>23</v>
      </c>
      <c r="G40" s="245">
        <f t="shared" si="2"/>
        <v>185</v>
      </c>
      <c r="H40" s="292" t="s">
        <v>629</v>
      </c>
      <c r="I40" s="301"/>
      <c r="J40" s="173"/>
      <c r="K40" s="173"/>
      <c r="L40" s="173"/>
      <c r="M40" s="173"/>
      <c r="N40" s="173"/>
      <c r="O40" s="173"/>
      <c r="P40" s="173"/>
      <c r="Q40" s="173"/>
      <c r="R40" s="173"/>
    </row>
    <row r="41" spans="1:18" ht="16.5" thickTop="1" thickBot="1" x14ac:dyDescent="0.3">
      <c r="A41" s="305"/>
      <c r="B41" s="152" t="s">
        <v>2</v>
      </c>
      <c r="C41" s="152">
        <v>288</v>
      </c>
      <c r="D41" s="27">
        <v>321.83333333333331</v>
      </c>
      <c r="E41" s="152">
        <f>10+96</f>
        <v>106</v>
      </c>
      <c r="F41" s="152">
        <f>1+1+1+20</f>
        <v>23</v>
      </c>
      <c r="G41" s="245">
        <f t="shared" si="2"/>
        <v>83</v>
      </c>
      <c r="H41" s="292" t="s">
        <v>630</v>
      </c>
      <c r="I41" s="301"/>
      <c r="J41" s="173"/>
      <c r="K41" s="173"/>
      <c r="L41" s="173"/>
      <c r="M41" s="173"/>
      <c r="N41" s="173"/>
      <c r="O41" s="173"/>
      <c r="P41" s="173"/>
      <c r="Q41" s="173"/>
      <c r="R41" s="173"/>
    </row>
    <row r="42" spans="1:18" ht="16.5" thickTop="1" thickBot="1" x14ac:dyDescent="0.3">
      <c r="A42" s="305"/>
      <c r="B42" s="152" t="s">
        <v>5</v>
      </c>
      <c r="C42" s="152">
        <v>144</v>
      </c>
      <c r="D42" s="27">
        <v>553.22222222222217</v>
      </c>
      <c r="E42" s="152">
        <f>10+173</f>
        <v>183</v>
      </c>
      <c r="F42" s="152">
        <f>1+1</f>
        <v>2</v>
      </c>
      <c r="G42" s="245">
        <f t="shared" si="2"/>
        <v>181</v>
      </c>
      <c r="H42" s="292" t="s">
        <v>631</v>
      </c>
      <c r="I42" s="301"/>
      <c r="J42" s="173"/>
      <c r="K42" s="173"/>
      <c r="L42" s="173"/>
      <c r="M42" s="173"/>
      <c r="N42" s="173"/>
      <c r="O42" s="173"/>
      <c r="P42" s="173"/>
      <c r="Q42" s="173"/>
      <c r="R42" s="173"/>
    </row>
    <row r="43" spans="1:18" ht="16.5" thickTop="1" thickBot="1" x14ac:dyDescent="0.3">
      <c r="A43" s="306"/>
      <c r="B43" s="126" t="s">
        <v>20</v>
      </c>
      <c r="C43" s="126">
        <v>144</v>
      </c>
      <c r="D43" s="28">
        <v>553.22222222222217</v>
      </c>
      <c r="E43" s="126">
        <v>20</v>
      </c>
      <c r="F43" s="126">
        <f>1+1+1+1+1+1+5+1+1</f>
        <v>13</v>
      </c>
      <c r="G43" s="246">
        <f t="shared" si="2"/>
        <v>7</v>
      </c>
      <c r="H43" s="295" t="s">
        <v>632</v>
      </c>
      <c r="I43" s="301"/>
      <c r="J43" s="173"/>
      <c r="K43" s="173"/>
      <c r="L43" s="173"/>
      <c r="M43" s="173"/>
      <c r="N43" s="173"/>
      <c r="O43" s="173"/>
      <c r="P43" s="173"/>
      <c r="Q43" s="173"/>
      <c r="R43" s="173"/>
    </row>
    <row r="44" spans="1:18" ht="16.5" thickTop="1" thickBot="1" x14ac:dyDescent="0.3">
      <c r="A44" s="307" t="s">
        <v>574</v>
      </c>
      <c r="B44" s="151" t="s">
        <v>90</v>
      </c>
      <c r="C44" s="151">
        <v>1440</v>
      </c>
      <c r="D44" s="151">
        <v>111</v>
      </c>
      <c r="E44" s="151">
        <v>50</v>
      </c>
      <c r="F44" s="151">
        <f>1+1+1+1+1+1+1</f>
        <v>7</v>
      </c>
      <c r="G44" s="243">
        <f t="shared" si="2"/>
        <v>43</v>
      </c>
      <c r="H44" s="291" t="s">
        <v>611</v>
      </c>
      <c r="I44" s="301" t="s">
        <v>334</v>
      </c>
      <c r="J44" s="173"/>
      <c r="K44" s="173"/>
      <c r="L44" s="173"/>
      <c r="M44" s="173"/>
      <c r="N44" s="173"/>
      <c r="O44" s="173"/>
      <c r="P44" s="173"/>
      <c r="Q44" s="173"/>
      <c r="R44" s="173"/>
    </row>
    <row r="45" spans="1:18" ht="16.5" thickTop="1" thickBot="1" x14ac:dyDescent="0.3">
      <c r="A45" s="308"/>
      <c r="B45" s="154" t="s">
        <v>89</v>
      </c>
      <c r="C45" s="154">
        <v>1440</v>
      </c>
      <c r="D45" s="154">
        <v>113</v>
      </c>
      <c r="E45" s="154">
        <v>50</v>
      </c>
      <c r="F45" s="152">
        <f>1+1+1</f>
        <v>3</v>
      </c>
      <c r="G45" s="245">
        <f t="shared" si="2"/>
        <v>47</v>
      </c>
      <c r="H45" s="292" t="s">
        <v>633</v>
      </c>
      <c r="I45" s="301"/>
      <c r="J45" s="173"/>
      <c r="K45" s="173"/>
      <c r="L45" s="173"/>
      <c r="M45" s="173"/>
      <c r="N45" s="173"/>
      <c r="O45" s="173"/>
      <c r="P45" s="173"/>
      <c r="Q45" s="173"/>
      <c r="R45" s="173"/>
    </row>
    <row r="46" spans="1:18" ht="16.5" thickTop="1" thickBot="1" x14ac:dyDescent="0.3">
      <c r="A46" s="308"/>
      <c r="B46" s="152" t="s">
        <v>21</v>
      </c>
      <c r="C46" s="152">
        <v>1440</v>
      </c>
      <c r="D46" s="152">
        <v>160</v>
      </c>
      <c r="E46" s="152">
        <v>50</v>
      </c>
      <c r="F46" s="152">
        <f>1+1+10+1+1+1+1</f>
        <v>16</v>
      </c>
      <c r="G46" s="245">
        <f t="shared" si="2"/>
        <v>34</v>
      </c>
      <c r="H46" s="292" t="s">
        <v>634</v>
      </c>
      <c r="I46" s="301"/>
      <c r="J46" s="173"/>
      <c r="K46" s="173"/>
      <c r="L46" s="173"/>
      <c r="M46" s="173"/>
      <c r="N46" s="173"/>
      <c r="O46" s="173"/>
      <c r="P46" s="173"/>
      <c r="Q46" s="173"/>
      <c r="R46" s="173"/>
    </row>
    <row r="47" spans="1:18" ht="16.5" thickTop="1" thickBot="1" x14ac:dyDescent="0.3">
      <c r="A47" s="308"/>
      <c r="B47" s="152" t="s">
        <v>22</v>
      </c>
      <c r="C47" s="152">
        <v>1440</v>
      </c>
      <c r="D47" s="152">
        <v>192</v>
      </c>
      <c r="E47" s="152">
        <v>40</v>
      </c>
      <c r="F47" s="152">
        <f>2+1+1+10+1+1+1</f>
        <v>17</v>
      </c>
      <c r="G47" s="245">
        <f t="shared" si="2"/>
        <v>23</v>
      </c>
      <c r="H47" s="292" t="s">
        <v>635</v>
      </c>
      <c r="I47" s="301"/>
      <c r="J47" s="173"/>
      <c r="K47" s="173"/>
      <c r="L47" s="173"/>
      <c r="M47" s="173"/>
      <c r="N47" s="173"/>
      <c r="O47" s="173"/>
      <c r="P47" s="173"/>
      <c r="Q47" s="173"/>
      <c r="R47" s="173"/>
    </row>
    <row r="48" spans="1:18" ht="16.5" thickTop="1" thickBot="1" x14ac:dyDescent="0.3">
      <c r="A48" s="308"/>
      <c r="B48" s="152" t="s">
        <v>19</v>
      </c>
      <c r="C48" s="152">
        <v>1440</v>
      </c>
      <c r="D48" s="152">
        <v>292</v>
      </c>
      <c r="E48" s="152">
        <v>29</v>
      </c>
      <c r="F48" s="152">
        <f>10+1</f>
        <v>11</v>
      </c>
      <c r="G48" s="245">
        <f t="shared" si="2"/>
        <v>18</v>
      </c>
      <c r="H48" s="292" t="s">
        <v>636</v>
      </c>
      <c r="I48" s="301"/>
      <c r="J48" s="173"/>
      <c r="K48" s="173"/>
      <c r="L48" s="173"/>
      <c r="M48" s="173"/>
      <c r="N48" s="173"/>
      <c r="O48" s="173"/>
      <c r="P48" s="173"/>
      <c r="Q48" s="173"/>
      <c r="R48" s="173"/>
    </row>
    <row r="49" spans="1:18" ht="16.5" thickTop="1" thickBot="1" x14ac:dyDescent="0.3">
      <c r="A49" s="308"/>
      <c r="B49" s="152" t="s">
        <v>0</v>
      </c>
      <c r="C49" s="152">
        <v>1440</v>
      </c>
      <c r="D49" s="152">
        <v>363</v>
      </c>
      <c r="E49" s="152">
        <v>50</v>
      </c>
      <c r="F49" s="152">
        <f>10+1</f>
        <v>11</v>
      </c>
      <c r="G49" s="245">
        <f t="shared" si="2"/>
        <v>39</v>
      </c>
      <c r="H49" s="292" t="s">
        <v>637</v>
      </c>
      <c r="I49" s="301"/>
      <c r="J49" s="173"/>
      <c r="K49" s="173"/>
      <c r="L49" s="173"/>
      <c r="M49" s="173"/>
      <c r="N49" s="173"/>
      <c r="O49" s="173"/>
      <c r="P49" s="173"/>
      <c r="Q49" s="173"/>
      <c r="R49" s="173"/>
    </row>
    <row r="50" spans="1:18" ht="16.5" thickTop="1" thickBot="1" x14ac:dyDescent="0.3">
      <c r="A50" s="308"/>
      <c r="B50" s="152" t="s">
        <v>1</v>
      </c>
      <c r="C50" s="152">
        <v>1440</v>
      </c>
      <c r="D50" s="152">
        <v>555</v>
      </c>
      <c r="E50" s="152">
        <v>89</v>
      </c>
      <c r="F50" s="152">
        <f>1+1+10</f>
        <v>12</v>
      </c>
      <c r="G50" s="245">
        <f t="shared" si="2"/>
        <v>77</v>
      </c>
      <c r="H50" s="292" t="s">
        <v>638</v>
      </c>
      <c r="I50" s="301"/>
      <c r="J50" s="173"/>
      <c r="K50" s="173"/>
      <c r="L50" s="173"/>
      <c r="M50" s="173"/>
      <c r="N50" s="173"/>
      <c r="O50" s="173"/>
      <c r="P50" s="173"/>
      <c r="Q50" s="173"/>
      <c r="R50" s="173"/>
    </row>
    <row r="51" spans="1:18" ht="16.5" thickTop="1" thickBot="1" x14ac:dyDescent="0.3">
      <c r="A51" s="308"/>
      <c r="B51" s="152" t="s">
        <v>2</v>
      </c>
      <c r="C51" s="152">
        <v>288</v>
      </c>
      <c r="D51" s="152">
        <v>333</v>
      </c>
      <c r="E51" s="152">
        <v>49</v>
      </c>
      <c r="F51" s="152">
        <f>1+1+10</f>
        <v>12</v>
      </c>
      <c r="G51" s="245">
        <f t="shared" si="2"/>
        <v>37</v>
      </c>
      <c r="H51" s="292" t="s">
        <v>639</v>
      </c>
      <c r="I51" s="301"/>
      <c r="J51" s="173"/>
      <c r="K51" s="173"/>
      <c r="L51" s="173"/>
      <c r="M51" s="173"/>
      <c r="N51" s="173"/>
      <c r="O51" s="173"/>
      <c r="P51" s="173"/>
      <c r="Q51" s="173"/>
      <c r="R51" s="173"/>
    </row>
    <row r="52" spans="1:18" ht="16.5" thickTop="1" thickBot="1" x14ac:dyDescent="0.3">
      <c r="A52" s="309"/>
      <c r="B52" s="126" t="s">
        <v>5</v>
      </c>
      <c r="C52" s="126">
        <v>144</v>
      </c>
      <c r="D52" s="126">
        <v>553</v>
      </c>
      <c r="E52" s="126">
        <v>25</v>
      </c>
      <c r="F52" s="126">
        <f>1+1+1</f>
        <v>3</v>
      </c>
      <c r="G52" s="246">
        <f t="shared" si="2"/>
        <v>22</v>
      </c>
      <c r="H52" s="295" t="s">
        <v>640</v>
      </c>
      <c r="I52" s="301"/>
      <c r="J52" s="173"/>
      <c r="K52" s="173"/>
      <c r="L52" s="173"/>
      <c r="M52" s="173"/>
      <c r="N52" s="173"/>
      <c r="O52" s="173"/>
      <c r="P52" s="173"/>
      <c r="Q52" s="173"/>
      <c r="R52" s="173"/>
    </row>
    <row r="53" spans="1:18" ht="16.5" thickTop="1" thickBot="1" x14ac:dyDescent="0.3">
      <c r="A53" s="307" t="s">
        <v>392</v>
      </c>
      <c r="B53" s="151" t="s">
        <v>90</v>
      </c>
      <c r="C53" s="151">
        <v>1440</v>
      </c>
      <c r="D53" s="151">
        <v>160</v>
      </c>
      <c r="E53" s="151">
        <v>50</v>
      </c>
      <c r="F53" s="151">
        <f>1+1</f>
        <v>2</v>
      </c>
      <c r="G53" s="243">
        <f t="shared" si="2"/>
        <v>48</v>
      </c>
      <c r="H53" s="291" t="s">
        <v>612</v>
      </c>
      <c r="I53" s="301" t="s">
        <v>335</v>
      </c>
      <c r="J53" s="173"/>
      <c r="K53" s="173"/>
      <c r="L53" s="173"/>
      <c r="M53" s="173"/>
      <c r="N53" s="173"/>
      <c r="O53" s="173"/>
      <c r="P53" s="173"/>
      <c r="Q53" s="173"/>
      <c r="R53" s="173"/>
    </row>
    <row r="54" spans="1:18" ht="16.5" thickTop="1" thickBot="1" x14ac:dyDescent="0.3">
      <c r="A54" s="308"/>
      <c r="B54" s="152" t="s">
        <v>89</v>
      </c>
      <c r="C54" s="152">
        <v>1440</v>
      </c>
      <c r="D54" s="152">
        <v>160</v>
      </c>
      <c r="E54" s="152">
        <v>91</v>
      </c>
      <c r="F54" s="152"/>
      <c r="G54" s="245">
        <f>E54-F54</f>
        <v>91</v>
      </c>
      <c r="H54" s="292" t="s">
        <v>641</v>
      </c>
      <c r="I54" s="301"/>
      <c r="J54" s="173"/>
      <c r="K54" s="173"/>
      <c r="L54" s="173"/>
      <c r="M54" s="173"/>
      <c r="N54" s="173"/>
      <c r="O54" s="173"/>
      <c r="P54" s="173"/>
      <c r="Q54" s="173"/>
      <c r="R54" s="173"/>
    </row>
    <row r="55" spans="1:18" ht="16.5" thickTop="1" thickBot="1" x14ac:dyDescent="0.3">
      <c r="A55" s="308"/>
      <c r="B55" s="152" t="s">
        <v>21</v>
      </c>
      <c r="C55" s="152">
        <v>1440</v>
      </c>
      <c r="D55" s="152">
        <v>161</v>
      </c>
      <c r="E55" s="152">
        <v>50</v>
      </c>
      <c r="F55" s="152">
        <f>1+1+1+1</f>
        <v>4</v>
      </c>
      <c r="G55" s="245">
        <f t="shared" ref="G55:G64" si="3">E55-F55</f>
        <v>46</v>
      </c>
      <c r="H55" s="292" t="s">
        <v>642</v>
      </c>
      <c r="I55" s="301"/>
      <c r="J55" s="173"/>
      <c r="K55" s="173"/>
      <c r="L55" s="173"/>
      <c r="M55" s="173"/>
      <c r="N55" s="173"/>
      <c r="O55" s="173"/>
      <c r="P55" s="173"/>
      <c r="Q55" s="173"/>
      <c r="R55" s="173"/>
    </row>
    <row r="56" spans="1:18" ht="16.5" thickTop="1" thickBot="1" x14ac:dyDescent="0.3">
      <c r="A56" s="308"/>
      <c r="B56" s="154" t="s">
        <v>22</v>
      </c>
      <c r="C56" s="154">
        <v>1440</v>
      </c>
      <c r="D56" s="154">
        <v>192</v>
      </c>
      <c r="E56" s="154">
        <v>40</v>
      </c>
      <c r="F56" s="154">
        <f>2+1+4+1+2+1</f>
        <v>11</v>
      </c>
      <c r="G56" s="247">
        <f t="shared" si="3"/>
        <v>29</v>
      </c>
      <c r="H56" s="292" t="s">
        <v>643</v>
      </c>
      <c r="I56" s="301"/>
      <c r="J56" s="173"/>
      <c r="K56" s="173"/>
      <c r="L56" s="173"/>
      <c r="M56" s="173"/>
      <c r="N56" s="173"/>
      <c r="O56" s="173"/>
      <c r="P56" s="173"/>
      <c r="Q56" s="173"/>
      <c r="R56" s="173"/>
    </row>
    <row r="57" spans="1:18" ht="16.5" thickTop="1" thickBot="1" x14ac:dyDescent="0.3">
      <c r="A57" s="308"/>
      <c r="B57" s="154" t="s">
        <v>18</v>
      </c>
      <c r="C57" s="154">
        <v>1440</v>
      </c>
      <c r="D57" s="154">
        <v>215</v>
      </c>
      <c r="E57" s="154">
        <v>35</v>
      </c>
      <c r="F57" s="154">
        <f>1+3+1+1</f>
        <v>6</v>
      </c>
      <c r="G57" s="247">
        <f t="shared" si="3"/>
        <v>29</v>
      </c>
      <c r="H57" s="292" t="s">
        <v>644</v>
      </c>
      <c r="I57" s="301"/>
      <c r="J57" s="173"/>
      <c r="K57" s="173"/>
      <c r="L57" s="173"/>
      <c r="M57" s="173"/>
      <c r="N57" s="173"/>
      <c r="O57" s="173"/>
      <c r="P57" s="173"/>
      <c r="Q57" s="173"/>
      <c r="R57" s="173"/>
    </row>
    <row r="58" spans="1:18" ht="16.5" thickTop="1" thickBot="1" x14ac:dyDescent="0.3">
      <c r="A58" s="308"/>
      <c r="B58" s="154" t="s">
        <v>19</v>
      </c>
      <c r="C58" s="154">
        <v>1440</v>
      </c>
      <c r="D58" s="154">
        <v>292</v>
      </c>
      <c r="E58" s="154">
        <v>30</v>
      </c>
      <c r="F58" s="154"/>
      <c r="G58" s="247">
        <f t="shared" si="3"/>
        <v>30</v>
      </c>
      <c r="H58" s="292" t="s">
        <v>645</v>
      </c>
      <c r="I58" s="301"/>
      <c r="J58" s="173"/>
      <c r="K58" s="173"/>
      <c r="L58" s="173"/>
      <c r="M58" s="173"/>
      <c r="N58" s="173"/>
      <c r="O58" s="173"/>
      <c r="P58" s="173"/>
      <c r="Q58" s="173"/>
      <c r="R58" s="173"/>
    </row>
    <row r="59" spans="1:18" ht="16.5" thickTop="1" thickBot="1" x14ac:dyDescent="0.3">
      <c r="A59" s="308"/>
      <c r="B59" s="154" t="s">
        <v>0</v>
      </c>
      <c r="C59" s="154">
        <v>1440</v>
      </c>
      <c r="D59" s="154">
        <v>363</v>
      </c>
      <c r="E59" s="154">
        <v>50</v>
      </c>
      <c r="F59" s="154"/>
      <c r="G59" s="247">
        <f t="shared" si="3"/>
        <v>50</v>
      </c>
      <c r="H59" s="292" t="s">
        <v>646</v>
      </c>
      <c r="I59" s="301"/>
      <c r="J59" s="173"/>
      <c r="K59" s="173"/>
      <c r="L59" s="173"/>
      <c r="M59" s="173"/>
      <c r="N59" s="173"/>
      <c r="O59" s="173"/>
      <c r="P59" s="173"/>
      <c r="Q59" s="173"/>
      <c r="R59" s="173"/>
    </row>
    <row r="60" spans="1:18" ht="16.5" thickTop="1" thickBot="1" x14ac:dyDescent="0.3">
      <c r="A60" s="308"/>
      <c r="B60" s="154" t="s">
        <v>1</v>
      </c>
      <c r="C60" s="154">
        <v>1440</v>
      </c>
      <c r="D60" s="154">
        <v>555</v>
      </c>
      <c r="E60" s="154">
        <v>110</v>
      </c>
      <c r="F60" s="154">
        <v>1</v>
      </c>
      <c r="G60" s="247">
        <f t="shared" si="3"/>
        <v>109</v>
      </c>
      <c r="H60" s="292" t="s">
        <v>647</v>
      </c>
      <c r="I60" s="301"/>
      <c r="J60" s="173"/>
      <c r="K60" s="173"/>
      <c r="L60" s="173"/>
      <c r="M60" s="173"/>
      <c r="N60" s="173"/>
      <c r="O60" s="173"/>
      <c r="P60" s="173"/>
      <c r="Q60" s="173"/>
      <c r="R60" s="173"/>
    </row>
    <row r="61" spans="1:18" ht="16.5" thickTop="1" thickBot="1" x14ac:dyDescent="0.3">
      <c r="A61" s="308"/>
      <c r="B61" s="152" t="s">
        <v>2</v>
      </c>
      <c r="C61" s="152">
        <v>288</v>
      </c>
      <c r="D61" s="152">
        <v>333</v>
      </c>
      <c r="E61" s="152">
        <v>50</v>
      </c>
      <c r="F61" s="152">
        <f>1+1</f>
        <v>2</v>
      </c>
      <c r="G61" s="245">
        <f t="shared" si="3"/>
        <v>48</v>
      </c>
      <c r="H61" s="292" t="s">
        <v>648</v>
      </c>
      <c r="I61" s="301"/>
      <c r="J61" s="173"/>
      <c r="K61" s="173"/>
      <c r="L61" s="173"/>
      <c r="M61" s="173"/>
      <c r="N61" s="173"/>
      <c r="O61" s="173"/>
      <c r="P61" s="173"/>
      <c r="Q61" s="173"/>
      <c r="R61" s="173"/>
    </row>
    <row r="62" spans="1:18" ht="16.5" thickTop="1" thickBot="1" x14ac:dyDescent="0.3">
      <c r="A62" s="308"/>
      <c r="B62" s="152" t="s">
        <v>5</v>
      </c>
      <c r="C62" s="152">
        <v>144</v>
      </c>
      <c r="D62" s="152">
        <v>553</v>
      </c>
      <c r="E62" s="152">
        <v>49</v>
      </c>
      <c r="F62" s="152"/>
      <c r="G62" s="245">
        <f t="shared" si="3"/>
        <v>49</v>
      </c>
      <c r="H62" s="292" t="s">
        <v>649</v>
      </c>
      <c r="I62" s="301"/>
      <c r="J62" s="173"/>
      <c r="K62" s="173"/>
      <c r="L62" s="173"/>
      <c r="M62" s="173"/>
      <c r="N62" s="173"/>
      <c r="O62" s="173"/>
      <c r="P62" s="173"/>
      <c r="Q62" s="173"/>
      <c r="R62" s="173"/>
    </row>
    <row r="63" spans="1:18" ht="16.5" thickTop="1" thickBot="1" x14ac:dyDescent="0.3">
      <c r="A63" s="309"/>
      <c r="B63" s="126" t="s">
        <v>20</v>
      </c>
      <c r="C63" s="126">
        <v>144</v>
      </c>
      <c r="D63" s="126">
        <v>553</v>
      </c>
      <c r="E63" s="126">
        <v>21</v>
      </c>
      <c r="F63" s="126"/>
      <c r="G63" s="246">
        <f t="shared" si="3"/>
        <v>21</v>
      </c>
      <c r="H63" s="295" t="s">
        <v>650</v>
      </c>
      <c r="I63" s="301"/>
      <c r="J63" s="173"/>
      <c r="K63" s="173"/>
      <c r="L63" s="173"/>
      <c r="M63" s="173"/>
      <c r="N63" s="173"/>
      <c r="O63" s="173"/>
      <c r="P63" s="173"/>
      <c r="Q63" s="173"/>
      <c r="R63" s="173"/>
    </row>
    <row r="64" spans="1:18" ht="16.5" thickTop="1" thickBot="1" x14ac:dyDescent="0.3">
      <c r="A64" s="307" t="s">
        <v>70</v>
      </c>
      <c r="B64" s="151" t="s">
        <v>89</v>
      </c>
      <c r="C64" s="151">
        <v>1440</v>
      </c>
      <c r="D64" s="151">
        <v>113</v>
      </c>
      <c r="E64" s="151">
        <v>50</v>
      </c>
      <c r="F64" s="151">
        <v>1</v>
      </c>
      <c r="G64" s="243">
        <f t="shared" si="3"/>
        <v>49</v>
      </c>
      <c r="H64" s="291" t="s">
        <v>613</v>
      </c>
      <c r="I64" s="301" t="s">
        <v>336</v>
      </c>
      <c r="J64" s="173"/>
      <c r="K64" s="173"/>
      <c r="L64" s="173"/>
      <c r="M64" s="173"/>
      <c r="N64" s="173"/>
      <c r="O64" s="173"/>
      <c r="P64" s="173"/>
      <c r="Q64" s="173"/>
      <c r="R64" s="173"/>
    </row>
    <row r="65" spans="1:18" ht="16.5" thickTop="1" thickBot="1" x14ac:dyDescent="0.3">
      <c r="A65" s="308"/>
      <c r="B65" s="152" t="s">
        <v>21</v>
      </c>
      <c r="C65" s="152">
        <v>1440</v>
      </c>
      <c r="D65" s="152">
        <v>161</v>
      </c>
      <c r="E65" s="152">
        <v>50</v>
      </c>
      <c r="F65" s="152">
        <f>2+1+1+1+1+1+1</f>
        <v>8</v>
      </c>
      <c r="G65" s="245">
        <f t="shared" si="2"/>
        <v>42</v>
      </c>
      <c r="H65" s="292" t="s">
        <v>651</v>
      </c>
      <c r="I65" s="301"/>
      <c r="J65" s="173"/>
      <c r="K65" s="173"/>
      <c r="L65" s="173"/>
      <c r="M65" s="173"/>
      <c r="N65" s="173"/>
      <c r="O65" s="173"/>
      <c r="P65" s="173"/>
      <c r="Q65" s="173"/>
      <c r="R65" s="173"/>
    </row>
    <row r="66" spans="1:18" ht="16.5" thickTop="1" thickBot="1" x14ac:dyDescent="0.3">
      <c r="A66" s="308"/>
      <c r="B66" s="152" t="s">
        <v>22</v>
      </c>
      <c r="C66" s="152">
        <v>1440</v>
      </c>
      <c r="D66" s="152">
        <v>192</v>
      </c>
      <c r="E66" s="152">
        <v>39</v>
      </c>
      <c r="F66" s="152"/>
      <c r="G66" s="245">
        <f t="shared" si="2"/>
        <v>39</v>
      </c>
      <c r="H66" s="292" t="s">
        <v>652</v>
      </c>
      <c r="I66" s="301"/>
      <c r="J66" s="173"/>
      <c r="K66" s="173"/>
      <c r="L66" s="173"/>
      <c r="M66" s="173"/>
      <c r="N66" s="173"/>
      <c r="O66" s="173"/>
      <c r="P66" s="173"/>
      <c r="Q66" s="173"/>
      <c r="R66" s="173"/>
    </row>
    <row r="67" spans="1:18" ht="16.5" thickTop="1" thickBot="1" x14ac:dyDescent="0.3">
      <c r="A67" s="308"/>
      <c r="B67" s="152" t="s">
        <v>18</v>
      </c>
      <c r="C67" s="152">
        <v>1440</v>
      </c>
      <c r="D67" s="152">
        <v>215</v>
      </c>
      <c r="E67" s="152">
        <v>34</v>
      </c>
      <c r="F67" s="152">
        <f>1+2</f>
        <v>3</v>
      </c>
      <c r="G67" s="245">
        <f t="shared" si="2"/>
        <v>31</v>
      </c>
      <c r="H67" s="292" t="s">
        <v>655</v>
      </c>
      <c r="I67" s="301"/>
      <c r="J67" s="173"/>
      <c r="K67" s="173"/>
      <c r="L67" s="173"/>
      <c r="M67" s="173"/>
      <c r="N67" s="173"/>
      <c r="O67" s="173"/>
      <c r="P67" s="173"/>
      <c r="Q67" s="173"/>
      <c r="R67" s="173"/>
    </row>
    <row r="68" spans="1:18" ht="16.5" thickTop="1" thickBot="1" x14ac:dyDescent="0.3">
      <c r="A68" s="308"/>
      <c r="B68" s="152" t="s">
        <v>19</v>
      </c>
      <c r="C68" s="152">
        <v>1440</v>
      </c>
      <c r="D68" s="152">
        <v>292</v>
      </c>
      <c r="E68" s="152">
        <v>30</v>
      </c>
      <c r="F68" s="152"/>
      <c r="G68" s="245">
        <f t="shared" si="2"/>
        <v>30</v>
      </c>
      <c r="H68" s="292" t="s">
        <v>656</v>
      </c>
      <c r="I68" s="301"/>
      <c r="J68" s="173"/>
      <c r="K68" s="173"/>
      <c r="L68" s="173"/>
      <c r="M68" s="173"/>
      <c r="N68" s="173"/>
      <c r="O68" s="173"/>
      <c r="P68" s="173"/>
      <c r="Q68" s="173"/>
      <c r="R68" s="173"/>
    </row>
    <row r="69" spans="1:18" ht="16.5" thickTop="1" thickBot="1" x14ac:dyDescent="0.3">
      <c r="A69" s="308"/>
      <c r="B69" s="152" t="s">
        <v>0</v>
      </c>
      <c r="C69" s="152">
        <v>1440</v>
      </c>
      <c r="D69" s="152">
        <v>363</v>
      </c>
      <c r="E69" s="152">
        <v>49</v>
      </c>
      <c r="F69" s="152"/>
      <c r="G69" s="245">
        <f t="shared" si="2"/>
        <v>49</v>
      </c>
      <c r="H69" s="292" t="s">
        <v>657</v>
      </c>
      <c r="I69" s="301"/>
      <c r="J69" s="173"/>
      <c r="K69" s="173"/>
      <c r="L69" s="173"/>
      <c r="M69" s="173"/>
      <c r="N69" s="173"/>
      <c r="O69" s="173"/>
      <c r="P69" s="173"/>
      <c r="Q69" s="173"/>
      <c r="R69" s="173"/>
    </row>
    <row r="70" spans="1:18" ht="16.5" thickTop="1" thickBot="1" x14ac:dyDescent="0.3">
      <c r="A70" s="308"/>
      <c r="B70" s="152" t="s">
        <v>1</v>
      </c>
      <c r="C70" s="152">
        <v>1440</v>
      </c>
      <c r="D70" s="152">
        <v>555</v>
      </c>
      <c r="E70" s="152">
        <v>90</v>
      </c>
      <c r="F70" s="152">
        <f>1+1</f>
        <v>2</v>
      </c>
      <c r="G70" s="245">
        <f t="shared" si="2"/>
        <v>88</v>
      </c>
      <c r="H70" s="292" t="s">
        <v>658</v>
      </c>
      <c r="I70" s="301"/>
      <c r="J70" s="173"/>
      <c r="K70" s="173"/>
      <c r="L70" s="173"/>
      <c r="M70" s="173"/>
      <c r="N70" s="173"/>
      <c r="O70" s="173"/>
      <c r="P70" s="173"/>
      <c r="Q70" s="173"/>
      <c r="R70" s="173"/>
    </row>
    <row r="71" spans="1:18" ht="16.5" thickTop="1" thickBot="1" x14ac:dyDescent="0.3">
      <c r="A71" s="308"/>
      <c r="B71" s="152" t="s">
        <v>2</v>
      </c>
      <c r="C71" s="152">
        <v>288</v>
      </c>
      <c r="D71" s="152">
        <v>333</v>
      </c>
      <c r="E71" s="152">
        <v>47</v>
      </c>
      <c r="F71" s="152">
        <f>1+1+1+1+2</f>
        <v>6</v>
      </c>
      <c r="G71" s="245">
        <f t="shared" si="2"/>
        <v>41</v>
      </c>
      <c r="H71" s="292" t="s">
        <v>659</v>
      </c>
      <c r="I71" s="301"/>
      <c r="J71" s="173"/>
      <c r="K71" s="173"/>
      <c r="L71" s="173"/>
      <c r="M71" s="173"/>
      <c r="N71" s="173"/>
      <c r="O71" s="173"/>
      <c r="P71" s="173"/>
      <c r="Q71" s="173"/>
      <c r="R71" s="173"/>
    </row>
    <row r="72" spans="1:18" ht="16.5" thickTop="1" thickBot="1" x14ac:dyDescent="0.3">
      <c r="A72" s="308"/>
      <c r="B72" s="154" t="s">
        <v>5</v>
      </c>
      <c r="C72" s="154">
        <v>144</v>
      </c>
      <c r="D72" s="154">
        <v>553</v>
      </c>
      <c r="E72" s="154">
        <v>25</v>
      </c>
      <c r="F72" s="154">
        <v>1</v>
      </c>
      <c r="G72" s="245">
        <f t="shared" si="2"/>
        <v>24</v>
      </c>
      <c r="H72" s="292" t="s">
        <v>660</v>
      </c>
      <c r="I72" s="301"/>
      <c r="J72" s="173"/>
      <c r="K72" s="173"/>
      <c r="L72" s="173"/>
      <c r="M72" s="173"/>
      <c r="N72" s="173"/>
      <c r="O72" s="173"/>
      <c r="P72" s="173"/>
      <c r="Q72" s="173"/>
      <c r="R72" s="173"/>
    </row>
    <row r="73" spans="1:18" ht="16.5" thickTop="1" thickBot="1" x14ac:dyDescent="0.3">
      <c r="A73" s="309"/>
      <c r="B73" s="126" t="s">
        <v>20</v>
      </c>
      <c r="C73" s="126">
        <v>144</v>
      </c>
      <c r="D73" s="126">
        <v>553</v>
      </c>
      <c r="E73" s="126">
        <v>20</v>
      </c>
      <c r="F73" s="126"/>
      <c r="G73" s="246">
        <f t="shared" si="2"/>
        <v>20</v>
      </c>
      <c r="H73" s="295" t="s">
        <v>661</v>
      </c>
      <c r="I73" s="301"/>
      <c r="J73" s="173"/>
      <c r="K73" s="173"/>
      <c r="L73" s="173"/>
      <c r="M73" s="173"/>
      <c r="N73" s="173"/>
      <c r="O73" s="173"/>
      <c r="P73" s="173"/>
      <c r="Q73" s="173"/>
      <c r="R73" s="173"/>
    </row>
    <row r="74" spans="1:18" ht="16.5" thickTop="1" thickBot="1" x14ac:dyDescent="0.3">
      <c r="A74" s="307" t="s">
        <v>134</v>
      </c>
      <c r="B74" s="151" t="s">
        <v>90</v>
      </c>
      <c r="C74" s="151">
        <v>1440</v>
      </c>
      <c r="D74" s="151">
        <v>160</v>
      </c>
      <c r="E74" s="45">
        <v>100</v>
      </c>
      <c r="F74" s="151">
        <f>1+1</f>
        <v>2</v>
      </c>
      <c r="G74" s="243">
        <f t="shared" si="2"/>
        <v>98</v>
      </c>
      <c r="H74" s="291" t="s">
        <v>653</v>
      </c>
      <c r="I74" s="301" t="s">
        <v>337</v>
      </c>
      <c r="J74" s="173"/>
      <c r="K74" s="173"/>
      <c r="L74" s="173"/>
      <c r="M74" s="173"/>
      <c r="N74" s="173"/>
      <c r="O74" s="173"/>
      <c r="P74" s="173"/>
      <c r="Q74" s="173"/>
      <c r="R74" s="173"/>
    </row>
    <row r="75" spans="1:18" ht="16.5" thickTop="1" thickBot="1" x14ac:dyDescent="0.3">
      <c r="A75" s="308"/>
      <c r="B75" s="152" t="s">
        <v>89</v>
      </c>
      <c r="C75" s="152">
        <v>1440</v>
      </c>
      <c r="D75" s="152">
        <v>160</v>
      </c>
      <c r="E75" s="152">
        <v>50</v>
      </c>
      <c r="F75" s="152">
        <f>1+1+1</f>
        <v>3</v>
      </c>
      <c r="G75" s="245">
        <f t="shared" si="2"/>
        <v>47</v>
      </c>
      <c r="H75" s="292" t="s">
        <v>654</v>
      </c>
      <c r="I75" s="301"/>
      <c r="J75" s="173"/>
      <c r="K75" s="173"/>
      <c r="L75" s="173"/>
      <c r="M75" s="173"/>
      <c r="N75" s="173"/>
      <c r="O75" s="173"/>
      <c r="P75" s="173"/>
      <c r="Q75" s="173"/>
      <c r="R75" s="173"/>
    </row>
    <row r="76" spans="1:18" ht="16.5" thickTop="1" thickBot="1" x14ac:dyDescent="0.3">
      <c r="A76" s="308"/>
      <c r="B76" s="153" t="s">
        <v>21</v>
      </c>
      <c r="C76" s="153">
        <v>1440</v>
      </c>
      <c r="D76" s="153">
        <v>161</v>
      </c>
      <c r="E76" s="153">
        <v>45</v>
      </c>
      <c r="F76" s="153">
        <f>1+1+1</f>
        <v>3</v>
      </c>
      <c r="G76" s="244">
        <f t="shared" si="2"/>
        <v>42</v>
      </c>
      <c r="H76" s="292" t="s">
        <v>662</v>
      </c>
      <c r="I76" s="301"/>
      <c r="J76" s="173"/>
      <c r="K76" s="173"/>
      <c r="L76" s="173"/>
      <c r="M76" s="173"/>
      <c r="N76" s="173"/>
      <c r="O76" s="173"/>
      <c r="P76" s="173"/>
      <c r="Q76" s="173"/>
      <c r="R76" s="173"/>
    </row>
    <row r="77" spans="1:18" ht="16.5" thickTop="1" thickBot="1" x14ac:dyDescent="0.3">
      <c r="A77" s="308"/>
      <c r="B77" s="152" t="s">
        <v>22</v>
      </c>
      <c r="C77" s="152">
        <v>1440</v>
      </c>
      <c r="D77" s="152">
        <v>192</v>
      </c>
      <c r="E77" s="152">
        <v>40</v>
      </c>
      <c r="F77" s="152">
        <f>1+1+3+1+1+1</f>
        <v>8</v>
      </c>
      <c r="G77" s="245">
        <f t="shared" si="2"/>
        <v>32</v>
      </c>
      <c r="H77" s="292" t="s">
        <v>663</v>
      </c>
      <c r="I77" s="301"/>
      <c r="J77" s="173"/>
      <c r="K77" s="173"/>
      <c r="L77" s="173"/>
      <c r="M77" s="173"/>
      <c r="N77" s="173"/>
      <c r="O77" s="173"/>
      <c r="P77" s="173"/>
      <c r="Q77" s="173"/>
      <c r="R77" s="173"/>
    </row>
    <row r="78" spans="1:18" ht="16.5" thickTop="1" thickBot="1" x14ac:dyDescent="0.3">
      <c r="A78" s="308"/>
      <c r="B78" s="152" t="s">
        <v>18</v>
      </c>
      <c r="C78" s="152">
        <v>1440</v>
      </c>
      <c r="D78" s="152">
        <v>215</v>
      </c>
      <c r="E78" s="152">
        <v>35</v>
      </c>
      <c r="F78" s="152">
        <f>1+1+1</f>
        <v>3</v>
      </c>
      <c r="G78" s="245">
        <f t="shared" si="2"/>
        <v>32</v>
      </c>
      <c r="H78" s="292" t="s">
        <v>664</v>
      </c>
      <c r="I78" s="301"/>
      <c r="J78" s="173"/>
      <c r="K78" s="173"/>
      <c r="L78" s="173"/>
      <c r="M78" s="173"/>
      <c r="N78" s="173"/>
      <c r="O78" s="173"/>
      <c r="P78" s="173"/>
      <c r="Q78" s="173"/>
      <c r="R78" s="173"/>
    </row>
    <row r="79" spans="1:18" ht="16.5" thickTop="1" thickBot="1" x14ac:dyDescent="0.3">
      <c r="A79" s="308"/>
      <c r="B79" s="152" t="s">
        <v>19</v>
      </c>
      <c r="C79" s="152">
        <v>1440</v>
      </c>
      <c r="D79" s="152">
        <v>292</v>
      </c>
      <c r="E79" s="152">
        <v>29</v>
      </c>
      <c r="F79" s="152">
        <f>1+1+1+1+1+1</f>
        <v>6</v>
      </c>
      <c r="G79" s="245">
        <f t="shared" si="2"/>
        <v>23</v>
      </c>
      <c r="H79" s="292" t="s">
        <v>665</v>
      </c>
      <c r="I79" s="301"/>
      <c r="J79" s="173"/>
      <c r="K79" s="173"/>
      <c r="L79" s="173"/>
      <c r="M79" s="173"/>
      <c r="N79" s="173"/>
      <c r="O79" s="173"/>
      <c r="P79" s="173"/>
      <c r="Q79" s="173"/>
      <c r="R79" s="173"/>
    </row>
    <row r="80" spans="1:18" ht="16.5" thickTop="1" thickBot="1" x14ac:dyDescent="0.3">
      <c r="A80" s="308"/>
      <c r="B80" s="152" t="s">
        <v>0</v>
      </c>
      <c r="C80" s="152">
        <v>1440</v>
      </c>
      <c r="D80" s="152">
        <v>363</v>
      </c>
      <c r="E80" s="152">
        <v>48</v>
      </c>
      <c r="F80" s="152">
        <f>1+1+1</f>
        <v>3</v>
      </c>
      <c r="G80" s="245">
        <f t="shared" si="2"/>
        <v>45</v>
      </c>
      <c r="H80" s="292" t="s">
        <v>666</v>
      </c>
      <c r="I80" s="301"/>
      <c r="J80" s="173"/>
      <c r="K80" s="173"/>
      <c r="L80" s="173"/>
      <c r="M80" s="173"/>
      <c r="N80" s="173"/>
      <c r="O80" s="173"/>
      <c r="P80" s="173"/>
      <c r="Q80" s="173"/>
      <c r="R80" s="173"/>
    </row>
    <row r="81" spans="1:18" ht="16.5" thickTop="1" thickBot="1" x14ac:dyDescent="0.3">
      <c r="A81" s="308"/>
      <c r="B81" s="149" t="s">
        <v>1</v>
      </c>
      <c r="C81" s="149">
        <v>1440</v>
      </c>
      <c r="D81" s="149">
        <v>555</v>
      </c>
      <c r="E81" s="43">
        <v>90</v>
      </c>
      <c r="F81" s="152">
        <f>1+1+1+1+1+1+1</f>
        <v>7</v>
      </c>
      <c r="G81" s="245">
        <f t="shared" si="2"/>
        <v>83</v>
      </c>
      <c r="H81" s="292" t="s">
        <v>667</v>
      </c>
      <c r="I81" s="301"/>
      <c r="J81" s="173"/>
      <c r="K81" s="173"/>
      <c r="L81" s="173"/>
      <c r="M81" s="173"/>
      <c r="N81" s="173"/>
      <c r="O81" s="173"/>
      <c r="P81" s="173"/>
      <c r="Q81" s="173"/>
      <c r="R81" s="173"/>
    </row>
    <row r="82" spans="1:18" ht="16.5" thickTop="1" thickBot="1" x14ac:dyDescent="0.3">
      <c r="A82" s="308"/>
      <c r="B82" s="152" t="s">
        <v>2</v>
      </c>
      <c r="C82" s="152">
        <v>288</v>
      </c>
      <c r="D82" s="152">
        <v>333</v>
      </c>
      <c r="E82" s="152">
        <v>47</v>
      </c>
      <c r="F82" s="152">
        <f>1+1+1+1+1+1</f>
        <v>6</v>
      </c>
      <c r="G82" s="245">
        <f t="shared" si="2"/>
        <v>41</v>
      </c>
      <c r="H82" s="292" t="s">
        <v>668</v>
      </c>
      <c r="I82" s="301"/>
      <c r="J82" s="173"/>
      <c r="K82" s="173"/>
      <c r="L82" s="173"/>
      <c r="M82" s="173"/>
      <c r="N82" s="173"/>
      <c r="O82" s="173"/>
      <c r="P82" s="173"/>
      <c r="Q82" s="173"/>
      <c r="R82" s="173"/>
    </row>
    <row r="83" spans="1:18" ht="16.5" thickTop="1" thickBot="1" x14ac:dyDescent="0.3">
      <c r="A83" s="308"/>
      <c r="B83" s="152" t="s">
        <v>5</v>
      </c>
      <c r="C83" s="152">
        <v>144</v>
      </c>
      <c r="D83" s="152">
        <v>553</v>
      </c>
      <c r="E83" s="152">
        <v>25</v>
      </c>
      <c r="F83" s="152">
        <v>1</v>
      </c>
      <c r="G83" s="245">
        <f t="shared" si="2"/>
        <v>24</v>
      </c>
      <c r="H83" s="292" t="s">
        <v>669</v>
      </c>
      <c r="I83" s="301"/>
      <c r="J83" s="173"/>
      <c r="K83" s="173"/>
      <c r="L83" s="173"/>
      <c r="M83" s="173"/>
      <c r="N83" s="173"/>
      <c r="O83" s="173"/>
      <c r="P83" s="173"/>
      <c r="Q83" s="173"/>
      <c r="R83" s="173"/>
    </row>
    <row r="84" spans="1:18" ht="16.5" thickTop="1" thickBot="1" x14ac:dyDescent="0.3">
      <c r="A84" s="309"/>
      <c r="B84" s="126" t="s">
        <v>20</v>
      </c>
      <c r="C84" s="126">
        <v>144</v>
      </c>
      <c r="D84" s="126">
        <v>553</v>
      </c>
      <c r="E84" s="126">
        <v>20</v>
      </c>
      <c r="F84" s="126"/>
      <c r="G84" s="246">
        <f t="shared" si="2"/>
        <v>20</v>
      </c>
      <c r="H84" s="295" t="s">
        <v>670</v>
      </c>
      <c r="I84" s="301"/>
      <c r="J84" s="173"/>
      <c r="K84" s="173"/>
      <c r="L84" s="173"/>
      <c r="M84" s="173"/>
      <c r="N84" s="173"/>
      <c r="O84" s="173"/>
      <c r="P84" s="173"/>
      <c r="Q84" s="173"/>
      <c r="R84" s="173"/>
    </row>
    <row r="85" spans="1:18" ht="16.5" thickTop="1" thickBot="1" x14ac:dyDescent="0.3">
      <c r="A85" s="307" t="s">
        <v>393</v>
      </c>
      <c r="B85" s="151" t="s">
        <v>90</v>
      </c>
      <c r="C85" s="151">
        <v>1440</v>
      </c>
      <c r="D85" s="151">
        <v>160</v>
      </c>
      <c r="E85" s="151">
        <v>48</v>
      </c>
      <c r="F85" s="151"/>
      <c r="G85" s="243">
        <f t="shared" si="2"/>
        <v>48</v>
      </c>
      <c r="H85" s="291" t="s">
        <v>671</v>
      </c>
      <c r="I85" s="301" t="s">
        <v>338</v>
      </c>
      <c r="J85" s="173"/>
      <c r="K85" s="173"/>
      <c r="L85" s="173"/>
      <c r="M85" s="173"/>
      <c r="N85" s="173"/>
      <c r="O85" s="173"/>
      <c r="P85" s="173"/>
      <c r="Q85" s="173"/>
      <c r="R85" s="173"/>
    </row>
    <row r="86" spans="1:18" ht="16.5" thickTop="1" thickBot="1" x14ac:dyDescent="0.3">
      <c r="A86" s="308"/>
      <c r="B86" s="152" t="s">
        <v>89</v>
      </c>
      <c r="C86" s="152">
        <v>1440</v>
      </c>
      <c r="D86" s="152">
        <v>160</v>
      </c>
      <c r="E86" s="152">
        <v>39</v>
      </c>
      <c r="F86" s="152">
        <v>1</v>
      </c>
      <c r="G86" s="245">
        <f>E86-F86</f>
        <v>38</v>
      </c>
      <c r="H86" s="292" t="s">
        <v>672</v>
      </c>
      <c r="I86" s="301"/>
      <c r="J86" s="173"/>
      <c r="K86" s="173"/>
      <c r="L86" s="173"/>
      <c r="M86" s="173"/>
      <c r="N86" s="173"/>
      <c r="O86" s="173"/>
      <c r="P86" s="173"/>
      <c r="Q86" s="173"/>
      <c r="R86" s="173"/>
    </row>
    <row r="87" spans="1:18" ht="16.5" thickTop="1" thickBot="1" x14ac:dyDescent="0.3">
      <c r="A87" s="308"/>
      <c r="B87" s="153" t="s">
        <v>21</v>
      </c>
      <c r="C87" s="153">
        <v>1440</v>
      </c>
      <c r="D87" s="153">
        <v>161</v>
      </c>
      <c r="E87" s="153">
        <v>45</v>
      </c>
      <c r="F87" s="153">
        <f>1+1+1+1</f>
        <v>4</v>
      </c>
      <c r="G87" s="244">
        <f t="shared" si="2"/>
        <v>41</v>
      </c>
      <c r="H87" s="292" t="s">
        <v>673</v>
      </c>
      <c r="I87" s="301"/>
      <c r="J87" s="173"/>
      <c r="K87" s="173"/>
      <c r="L87" s="173"/>
      <c r="M87" s="173"/>
      <c r="N87" s="173"/>
      <c r="O87" s="173"/>
      <c r="P87" s="173"/>
      <c r="Q87" s="173"/>
      <c r="R87" s="173"/>
    </row>
    <row r="88" spans="1:18" ht="16.5" thickTop="1" thickBot="1" x14ac:dyDescent="0.3">
      <c r="A88" s="308"/>
      <c r="B88" s="152" t="s">
        <v>22</v>
      </c>
      <c r="C88" s="152">
        <v>1440</v>
      </c>
      <c r="D88" s="152">
        <v>192</v>
      </c>
      <c r="E88" s="152">
        <v>39</v>
      </c>
      <c r="F88" s="152">
        <f>1+1+1+1</f>
        <v>4</v>
      </c>
      <c r="G88" s="245">
        <f t="shared" si="2"/>
        <v>35</v>
      </c>
      <c r="H88" s="292" t="s">
        <v>674</v>
      </c>
      <c r="I88" s="301"/>
      <c r="J88" s="173"/>
      <c r="K88" s="173"/>
      <c r="L88" s="173"/>
      <c r="M88" s="173"/>
      <c r="N88" s="173"/>
      <c r="O88" s="173"/>
      <c r="P88" s="173"/>
      <c r="Q88" s="173"/>
      <c r="R88" s="173"/>
    </row>
    <row r="89" spans="1:18" ht="16.5" thickTop="1" thickBot="1" x14ac:dyDescent="0.3">
      <c r="A89" s="308"/>
      <c r="B89" s="152" t="s">
        <v>18</v>
      </c>
      <c r="C89" s="152">
        <v>1440</v>
      </c>
      <c r="D89" s="152">
        <v>215</v>
      </c>
      <c r="E89" s="152">
        <v>34</v>
      </c>
      <c r="F89" s="152">
        <f>1+1+1+1</f>
        <v>4</v>
      </c>
      <c r="G89" s="245">
        <f t="shared" si="2"/>
        <v>30</v>
      </c>
      <c r="H89" s="292" t="s">
        <v>675</v>
      </c>
      <c r="I89" s="301"/>
      <c r="J89" s="173"/>
      <c r="K89" s="173"/>
      <c r="L89" s="173"/>
      <c r="M89" s="173"/>
      <c r="N89" s="173"/>
      <c r="O89" s="173"/>
      <c r="P89" s="173"/>
      <c r="Q89" s="173"/>
      <c r="R89" s="173"/>
    </row>
    <row r="90" spans="1:18" ht="16.5" thickTop="1" thickBot="1" x14ac:dyDescent="0.3">
      <c r="A90" s="308"/>
      <c r="B90" s="152" t="s">
        <v>19</v>
      </c>
      <c r="C90" s="152">
        <v>1440</v>
      </c>
      <c r="D90" s="152">
        <v>292</v>
      </c>
      <c r="E90" s="152">
        <v>29</v>
      </c>
      <c r="F90" s="152">
        <v>1</v>
      </c>
      <c r="G90" s="245">
        <f t="shared" si="2"/>
        <v>28</v>
      </c>
      <c r="H90" s="292" t="s">
        <v>676</v>
      </c>
      <c r="I90" s="301"/>
      <c r="J90" s="173"/>
      <c r="K90" s="173"/>
      <c r="L90" s="173"/>
      <c r="M90" s="173"/>
      <c r="N90" s="173"/>
      <c r="O90" s="173"/>
      <c r="P90" s="173"/>
      <c r="Q90" s="173"/>
      <c r="R90" s="173"/>
    </row>
    <row r="91" spans="1:18" ht="16.5" thickTop="1" thickBot="1" x14ac:dyDescent="0.3">
      <c r="A91" s="308"/>
      <c r="B91" s="152" t="s">
        <v>0</v>
      </c>
      <c r="C91" s="152">
        <v>1440</v>
      </c>
      <c r="D91" s="152">
        <v>363</v>
      </c>
      <c r="E91" s="152">
        <v>49</v>
      </c>
      <c r="F91" s="152">
        <v>1</v>
      </c>
      <c r="G91" s="245">
        <f t="shared" si="2"/>
        <v>48</v>
      </c>
      <c r="H91" s="292" t="s">
        <v>677</v>
      </c>
      <c r="I91" s="301"/>
      <c r="J91" s="173"/>
      <c r="K91" s="173"/>
      <c r="L91" s="173"/>
      <c r="M91" s="173"/>
      <c r="N91" s="173"/>
      <c r="O91" s="173"/>
      <c r="P91" s="173"/>
      <c r="Q91" s="173"/>
      <c r="R91" s="173"/>
    </row>
    <row r="92" spans="1:18" ht="16.5" thickTop="1" thickBot="1" x14ac:dyDescent="0.3">
      <c r="A92" s="308"/>
      <c r="B92" s="152" t="s">
        <v>1</v>
      </c>
      <c r="C92" s="152">
        <v>1440</v>
      </c>
      <c r="D92" s="152">
        <v>583</v>
      </c>
      <c r="E92" s="152">
        <v>90</v>
      </c>
      <c r="F92" s="152">
        <v>1</v>
      </c>
      <c r="G92" s="245">
        <f t="shared" si="2"/>
        <v>89</v>
      </c>
      <c r="H92" s="292" t="s">
        <v>678</v>
      </c>
      <c r="I92" s="301"/>
      <c r="J92" s="173"/>
      <c r="K92" s="173"/>
      <c r="L92" s="173"/>
      <c r="M92" s="173"/>
      <c r="N92" s="173"/>
      <c r="O92" s="173"/>
      <c r="P92" s="173"/>
      <c r="Q92" s="173"/>
      <c r="R92" s="173"/>
    </row>
    <row r="93" spans="1:18" ht="16.5" thickTop="1" thickBot="1" x14ac:dyDescent="0.3">
      <c r="A93" s="308"/>
      <c r="B93" s="152" t="s">
        <v>2</v>
      </c>
      <c r="C93" s="152">
        <v>288</v>
      </c>
      <c r="D93" s="152">
        <v>333</v>
      </c>
      <c r="E93" s="152">
        <v>50</v>
      </c>
      <c r="F93" s="152"/>
      <c r="G93" s="245">
        <f t="shared" si="2"/>
        <v>50</v>
      </c>
      <c r="H93" s="292" t="s">
        <v>679</v>
      </c>
      <c r="I93" s="301"/>
      <c r="J93" s="173"/>
      <c r="K93" s="173"/>
      <c r="L93" s="173"/>
      <c r="M93" s="173"/>
      <c r="N93" s="173"/>
      <c r="O93" s="173"/>
      <c r="P93" s="173"/>
      <c r="Q93" s="173"/>
      <c r="R93" s="173"/>
    </row>
    <row r="94" spans="1:18" ht="16.5" thickTop="1" thickBot="1" x14ac:dyDescent="0.3">
      <c r="A94" s="309"/>
      <c r="B94" s="126" t="s">
        <v>20</v>
      </c>
      <c r="C94" s="126">
        <v>144</v>
      </c>
      <c r="D94" s="126">
        <v>553</v>
      </c>
      <c r="E94" s="126">
        <v>20</v>
      </c>
      <c r="F94" s="126">
        <v>1</v>
      </c>
      <c r="G94" s="246">
        <f t="shared" si="2"/>
        <v>19</v>
      </c>
      <c r="H94" s="295" t="s">
        <v>680</v>
      </c>
      <c r="I94" s="301"/>
      <c r="J94" s="173"/>
      <c r="K94" s="173"/>
      <c r="L94" s="173"/>
      <c r="M94" s="173"/>
      <c r="N94" s="173"/>
      <c r="O94" s="173"/>
      <c r="P94" s="173"/>
      <c r="Q94" s="173"/>
      <c r="R94" s="173"/>
    </row>
    <row r="95" spans="1:18" ht="16.5" thickTop="1" thickBot="1" x14ac:dyDescent="0.3">
      <c r="A95" s="307" t="s">
        <v>394</v>
      </c>
      <c r="B95" s="151" t="s">
        <v>90</v>
      </c>
      <c r="C95" s="151">
        <v>1440</v>
      </c>
      <c r="D95" s="30">
        <v>148</v>
      </c>
      <c r="E95" s="151">
        <v>49</v>
      </c>
      <c r="F95" s="151">
        <v>1</v>
      </c>
      <c r="G95" s="243">
        <f t="shared" si="2"/>
        <v>48</v>
      </c>
      <c r="H95" s="291" t="s">
        <v>681</v>
      </c>
      <c r="I95" s="301" t="s">
        <v>339</v>
      </c>
      <c r="J95" s="173"/>
      <c r="K95" s="173"/>
      <c r="L95" s="173"/>
      <c r="M95" s="173"/>
      <c r="N95" s="173"/>
      <c r="O95" s="173"/>
      <c r="P95" s="173"/>
      <c r="Q95" s="173"/>
      <c r="R95" s="173"/>
    </row>
    <row r="96" spans="1:18" ht="16.5" thickTop="1" thickBot="1" x14ac:dyDescent="0.3">
      <c r="A96" s="308"/>
      <c r="B96" s="152" t="s">
        <v>89</v>
      </c>
      <c r="C96" s="152">
        <v>1440</v>
      </c>
      <c r="D96" s="27">
        <v>160</v>
      </c>
      <c r="E96" s="152">
        <v>40</v>
      </c>
      <c r="F96" s="152"/>
      <c r="G96" s="245">
        <f>E96-F96</f>
        <v>40</v>
      </c>
      <c r="H96" s="292" t="s">
        <v>682</v>
      </c>
      <c r="I96" s="301"/>
      <c r="J96" s="173"/>
      <c r="K96" s="173"/>
      <c r="L96" s="173"/>
      <c r="M96" s="173"/>
      <c r="N96" s="173"/>
      <c r="O96" s="173"/>
      <c r="P96" s="173"/>
      <c r="Q96" s="173"/>
      <c r="R96" s="173"/>
    </row>
    <row r="97" spans="1:18" ht="16.5" thickTop="1" thickBot="1" x14ac:dyDescent="0.3">
      <c r="A97" s="308"/>
      <c r="B97" s="153" t="s">
        <v>21</v>
      </c>
      <c r="C97" s="153">
        <v>1440</v>
      </c>
      <c r="D97" s="26">
        <v>161.27777777777777</v>
      </c>
      <c r="E97" s="153">
        <f>16+42</f>
        <v>58</v>
      </c>
      <c r="F97" s="153">
        <f>2+1+2+1+1+1+1+2</f>
        <v>11</v>
      </c>
      <c r="G97" s="244">
        <f t="shared" si="2"/>
        <v>47</v>
      </c>
      <c r="H97" s="292" t="s">
        <v>683</v>
      </c>
      <c r="I97" s="301"/>
      <c r="J97" s="173"/>
      <c r="K97" s="173"/>
      <c r="L97" s="173"/>
      <c r="M97" s="173"/>
      <c r="N97" s="173"/>
      <c r="O97" s="173"/>
      <c r="P97" s="173"/>
      <c r="Q97" s="173"/>
      <c r="R97" s="173"/>
    </row>
    <row r="98" spans="1:18" ht="16.5" thickTop="1" thickBot="1" x14ac:dyDescent="0.3">
      <c r="A98" s="308"/>
      <c r="B98" s="152" t="s">
        <v>22</v>
      </c>
      <c r="C98" s="152">
        <v>1440</v>
      </c>
      <c r="D98" s="27">
        <v>192.44444444444446</v>
      </c>
      <c r="E98" s="152">
        <f>23+32</f>
        <v>55</v>
      </c>
      <c r="F98" s="152">
        <f>1+1+3+2+2+1+1+2+2+1+1</f>
        <v>17</v>
      </c>
      <c r="G98" s="245">
        <f t="shared" si="2"/>
        <v>38</v>
      </c>
      <c r="H98" s="292" t="s">
        <v>684</v>
      </c>
      <c r="I98" s="301"/>
      <c r="J98" s="173"/>
      <c r="K98" s="173"/>
      <c r="L98" s="173"/>
      <c r="M98" s="173"/>
      <c r="N98" s="173"/>
      <c r="O98" s="173"/>
      <c r="P98" s="173"/>
      <c r="Q98" s="173"/>
      <c r="R98" s="173"/>
    </row>
    <row r="99" spans="1:18" ht="16.5" thickTop="1" thickBot="1" x14ac:dyDescent="0.3">
      <c r="A99" s="308"/>
      <c r="B99" s="152" t="s">
        <v>18</v>
      </c>
      <c r="C99" s="152">
        <v>1440</v>
      </c>
      <c r="D99" s="27">
        <v>225.5</v>
      </c>
      <c r="E99" s="152">
        <v>46</v>
      </c>
      <c r="F99" s="154">
        <f>1+1+1+1+2+1+1</f>
        <v>8</v>
      </c>
      <c r="G99" s="247">
        <f t="shared" si="2"/>
        <v>38</v>
      </c>
      <c r="H99" s="292" t="s">
        <v>685</v>
      </c>
      <c r="I99" s="301"/>
      <c r="J99" s="173"/>
      <c r="K99" s="173"/>
      <c r="L99" s="173"/>
      <c r="M99" s="173"/>
      <c r="N99" s="173"/>
      <c r="O99" s="173"/>
      <c r="P99" s="173"/>
      <c r="Q99" s="173"/>
      <c r="R99" s="173"/>
    </row>
    <row r="100" spans="1:18" ht="16.5" thickTop="1" thickBot="1" x14ac:dyDescent="0.3">
      <c r="A100" s="308"/>
      <c r="B100" s="152" t="s">
        <v>19</v>
      </c>
      <c r="C100" s="152">
        <v>1440</v>
      </c>
      <c r="D100" s="27">
        <v>281.22222222222223</v>
      </c>
      <c r="E100" s="152">
        <v>30</v>
      </c>
      <c r="F100" s="152"/>
      <c r="G100" s="245">
        <f t="shared" ref="G100:G111" si="4">E100-F100</f>
        <v>30</v>
      </c>
      <c r="H100" s="292" t="s">
        <v>686</v>
      </c>
      <c r="I100" s="301"/>
      <c r="J100" s="173"/>
      <c r="K100" s="173"/>
      <c r="L100" s="173"/>
      <c r="M100" s="173"/>
      <c r="N100" s="173"/>
      <c r="O100" s="173"/>
      <c r="P100" s="173"/>
      <c r="Q100" s="173"/>
      <c r="R100" s="173"/>
    </row>
    <row r="101" spans="1:18" ht="16.5" thickTop="1" thickBot="1" x14ac:dyDescent="0.3">
      <c r="A101" s="308"/>
      <c r="B101" s="152" t="s">
        <v>0</v>
      </c>
      <c r="C101" s="152">
        <v>1440</v>
      </c>
      <c r="D101" s="27">
        <v>361.49999999999994</v>
      </c>
      <c r="E101" s="152">
        <v>39</v>
      </c>
      <c r="F101" s="152"/>
      <c r="G101" s="245">
        <f t="shared" si="4"/>
        <v>39</v>
      </c>
      <c r="H101" s="292" t="s">
        <v>687</v>
      </c>
      <c r="I101" s="301"/>
      <c r="J101" s="173"/>
      <c r="K101" s="173"/>
      <c r="L101" s="173"/>
      <c r="M101" s="173"/>
      <c r="N101" s="173"/>
      <c r="O101" s="173"/>
      <c r="P101" s="173"/>
      <c r="Q101" s="173"/>
      <c r="R101" s="173"/>
    </row>
    <row r="102" spans="1:18" ht="16.5" thickTop="1" thickBot="1" x14ac:dyDescent="0.3">
      <c r="A102" s="308"/>
      <c r="B102" s="152" t="s">
        <v>1</v>
      </c>
      <c r="C102" s="152">
        <v>1440</v>
      </c>
      <c r="D102" s="27">
        <v>582.5</v>
      </c>
      <c r="E102" s="152">
        <v>90</v>
      </c>
      <c r="F102" s="152"/>
      <c r="G102" s="245">
        <f t="shared" si="4"/>
        <v>90</v>
      </c>
      <c r="H102" s="292" t="s">
        <v>688</v>
      </c>
      <c r="I102" s="301"/>
      <c r="J102" s="173"/>
      <c r="K102" s="173"/>
      <c r="L102" s="173"/>
      <c r="M102" s="173"/>
      <c r="N102" s="173"/>
      <c r="O102" s="173"/>
      <c r="P102" s="173"/>
      <c r="Q102" s="173"/>
      <c r="R102" s="173"/>
    </row>
    <row r="103" spans="1:18" ht="16.5" thickTop="1" thickBot="1" x14ac:dyDescent="0.3">
      <c r="A103" s="308"/>
      <c r="B103" s="152" t="s">
        <v>2</v>
      </c>
      <c r="C103" s="152">
        <v>288</v>
      </c>
      <c r="D103" s="27">
        <v>332.22222222222223</v>
      </c>
      <c r="E103" s="152">
        <v>40</v>
      </c>
      <c r="F103" s="152"/>
      <c r="G103" s="245">
        <f t="shared" si="4"/>
        <v>40</v>
      </c>
      <c r="H103" s="292" t="s">
        <v>689</v>
      </c>
      <c r="I103" s="301"/>
      <c r="J103" s="173"/>
      <c r="K103" s="173"/>
      <c r="L103" s="173"/>
      <c r="M103" s="173"/>
      <c r="N103" s="173"/>
      <c r="O103" s="173"/>
      <c r="P103" s="173"/>
      <c r="Q103" s="173"/>
      <c r="R103" s="173"/>
    </row>
    <row r="104" spans="1:18" ht="16.5" thickTop="1" thickBot="1" x14ac:dyDescent="0.3">
      <c r="A104" s="309"/>
      <c r="B104" s="126" t="s">
        <v>5</v>
      </c>
      <c r="C104" s="126">
        <v>144</v>
      </c>
      <c r="D104" s="28">
        <v>856.38888888888891</v>
      </c>
      <c r="E104" s="126">
        <v>100</v>
      </c>
      <c r="F104" s="126"/>
      <c r="G104" s="246">
        <f t="shared" si="4"/>
        <v>100</v>
      </c>
      <c r="H104" s="295" t="s">
        <v>690</v>
      </c>
      <c r="I104" s="301"/>
      <c r="J104" s="173"/>
      <c r="K104" s="173"/>
      <c r="L104" s="173"/>
      <c r="M104" s="173"/>
      <c r="N104" s="173"/>
      <c r="O104" s="173"/>
      <c r="P104" s="173"/>
      <c r="Q104" s="173"/>
      <c r="R104" s="173"/>
    </row>
    <row r="105" spans="1:18" ht="16.5" thickTop="1" thickBot="1" x14ac:dyDescent="0.3">
      <c r="A105" s="307" t="s">
        <v>395</v>
      </c>
      <c r="B105" s="151" t="s">
        <v>90</v>
      </c>
      <c r="C105" s="151">
        <v>1440</v>
      </c>
      <c r="D105" s="30">
        <v>148</v>
      </c>
      <c r="E105" s="151">
        <v>49</v>
      </c>
      <c r="F105" s="151">
        <v>1</v>
      </c>
      <c r="G105" s="243">
        <f t="shared" si="4"/>
        <v>48</v>
      </c>
      <c r="H105" s="291" t="s">
        <v>691</v>
      </c>
      <c r="I105" s="301" t="s">
        <v>340</v>
      </c>
      <c r="J105" s="173"/>
      <c r="K105" s="173"/>
      <c r="L105" s="173"/>
      <c r="M105" s="173"/>
      <c r="N105" s="173"/>
      <c r="O105" s="173"/>
      <c r="P105" s="173"/>
      <c r="Q105" s="173"/>
      <c r="R105" s="173"/>
    </row>
    <row r="106" spans="1:18" ht="16.5" thickTop="1" thickBot="1" x14ac:dyDescent="0.3">
      <c r="A106" s="308"/>
      <c r="B106" s="152" t="s">
        <v>21</v>
      </c>
      <c r="C106" s="152">
        <v>1440</v>
      </c>
      <c r="D106" s="27">
        <v>160.33333333333334</v>
      </c>
      <c r="E106" s="152">
        <f>30+21</f>
        <v>51</v>
      </c>
      <c r="F106" s="152">
        <f>2+1+1+1+3+1+1+4+2+1+1+1+1+1+3+1+12+1+2+1+4</f>
        <v>45</v>
      </c>
      <c r="G106" s="245">
        <f t="shared" si="4"/>
        <v>6</v>
      </c>
      <c r="H106" s="292" t="s">
        <v>692</v>
      </c>
      <c r="I106" s="301"/>
      <c r="J106" s="173"/>
      <c r="K106" s="173"/>
      <c r="L106" s="173"/>
      <c r="M106" s="173"/>
      <c r="N106" s="173"/>
      <c r="O106" s="173"/>
      <c r="P106" s="173"/>
      <c r="Q106" s="173"/>
      <c r="R106" s="173"/>
    </row>
    <row r="107" spans="1:18" ht="16.5" thickTop="1" thickBot="1" x14ac:dyDescent="0.3">
      <c r="A107" s="308"/>
      <c r="B107" s="152" t="s">
        <v>22</v>
      </c>
      <c r="C107" s="152">
        <v>1440</v>
      </c>
      <c r="D107" s="27">
        <v>192.44444444444446</v>
      </c>
      <c r="E107" s="152">
        <v>38</v>
      </c>
      <c r="F107" s="152">
        <f>1+1+1+1+1+2+1+1+1+1+1+10+2+3+1+1+2+2+1</f>
        <v>34</v>
      </c>
      <c r="G107" s="245">
        <f t="shared" si="4"/>
        <v>4</v>
      </c>
      <c r="H107" s="292" t="s">
        <v>693</v>
      </c>
      <c r="I107" s="301"/>
      <c r="J107" s="173"/>
      <c r="K107" s="173"/>
      <c r="L107" s="173"/>
      <c r="M107" s="173"/>
      <c r="N107" s="173"/>
      <c r="O107" s="173"/>
      <c r="P107" s="173"/>
      <c r="Q107" s="173"/>
      <c r="R107" s="173"/>
    </row>
    <row r="108" spans="1:18" ht="16.5" thickTop="1" thickBot="1" x14ac:dyDescent="0.3">
      <c r="A108" s="308"/>
      <c r="B108" s="152" t="s">
        <v>18</v>
      </c>
      <c r="C108" s="152">
        <v>1440</v>
      </c>
      <c r="D108" s="27">
        <v>225.5</v>
      </c>
      <c r="E108" s="152">
        <v>31</v>
      </c>
      <c r="F108" s="152">
        <f>1+1+1+1+1+2+1+1</f>
        <v>9</v>
      </c>
      <c r="G108" s="245">
        <f t="shared" si="4"/>
        <v>22</v>
      </c>
      <c r="H108" s="292" t="s">
        <v>694</v>
      </c>
      <c r="I108" s="301"/>
      <c r="J108" s="173"/>
      <c r="K108" s="173"/>
      <c r="L108" s="173"/>
      <c r="M108" s="173"/>
      <c r="N108" s="173"/>
      <c r="O108" s="173"/>
      <c r="P108" s="173"/>
      <c r="Q108" s="173"/>
      <c r="R108" s="173"/>
    </row>
    <row r="109" spans="1:18" ht="16.5" thickTop="1" thickBot="1" x14ac:dyDescent="0.3">
      <c r="A109" s="308"/>
      <c r="B109" s="152" t="s">
        <v>19</v>
      </c>
      <c r="C109" s="152">
        <v>1440</v>
      </c>
      <c r="D109" s="27">
        <v>281.22222222222223</v>
      </c>
      <c r="E109" s="152">
        <v>29</v>
      </c>
      <c r="F109" s="152">
        <f>1+1</f>
        <v>2</v>
      </c>
      <c r="G109" s="245">
        <f t="shared" si="4"/>
        <v>27</v>
      </c>
      <c r="H109" s="292" t="s">
        <v>695</v>
      </c>
      <c r="I109" s="301"/>
      <c r="J109" s="173"/>
      <c r="K109" s="173"/>
      <c r="L109" s="173"/>
      <c r="M109" s="173"/>
      <c r="N109" s="173"/>
      <c r="O109" s="173"/>
      <c r="P109" s="173"/>
      <c r="Q109" s="173"/>
      <c r="R109" s="173"/>
    </row>
    <row r="110" spans="1:18" ht="16.5" thickTop="1" thickBot="1" x14ac:dyDescent="0.3">
      <c r="A110" s="308"/>
      <c r="B110" s="152" t="s">
        <v>0</v>
      </c>
      <c r="C110" s="152">
        <v>1440</v>
      </c>
      <c r="D110" s="27">
        <v>361.49999999999994</v>
      </c>
      <c r="E110" s="152">
        <v>39</v>
      </c>
      <c r="F110" s="152">
        <f>1+1+1+1+1+1</f>
        <v>6</v>
      </c>
      <c r="G110" s="245">
        <f t="shared" si="4"/>
        <v>33</v>
      </c>
      <c r="H110" s="292" t="s">
        <v>696</v>
      </c>
      <c r="I110" s="301"/>
      <c r="J110" s="173"/>
      <c r="K110" s="173"/>
      <c r="L110" s="173"/>
      <c r="M110" s="173"/>
      <c r="N110" s="173"/>
      <c r="O110" s="173"/>
      <c r="P110" s="173"/>
      <c r="Q110" s="173"/>
      <c r="R110" s="173"/>
    </row>
    <row r="111" spans="1:18" ht="16.5" thickTop="1" thickBot="1" x14ac:dyDescent="0.3">
      <c r="A111" s="308"/>
      <c r="B111" s="152" t="s">
        <v>1</v>
      </c>
      <c r="C111" s="152">
        <v>1440</v>
      </c>
      <c r="D111" s="27">
        <v>582.5</v>
      </c>
      <c r="E111" s="152">
        <v>97</v>
      </c>
      <c r="F111" s="154">
        <f>1+1</f>
        <v>2</v>
      </c>
      <c r="G111" s="247">
        <f t="shared" si="4"/>
        <v>95</v>
      </c>
      <c r="H111" s="292" t="s">
        <v>697</v>
      </c>
      <c r="I111" s="301"/>
      <c r="J111" s="173"/>
      <c r="K111" s="173"/>
      <c r="L111" s="173"/>
      <c r="M111" s="173"/>
      <c r="N111" s="173"/>
      <c r="O111" s="173"/>
      <c r="P111" s="173"/>
      <c r="Q111" s="173"/>
      <c r="R111" s="173"/>
    </row>
    <row r="112" spans="1:18" ht="16.5" thickTop="1" thickBot="1" x14ac:dyDescent="0.3">
      <c r="A112" s="308"/>
      <c r="B112" s="152" t="s">
        <v>2</v>
      </c>
      <c r="C112" s="152">
        <v>288</v>
      </c>
      <c r="D112" s="27">
        <v>332.22222222222223</v>
      </c>
      <c r="E112" s="152">
        <v>40</v>
      </c>
      <c r="F112" s="152"/>
      <c r="G112" s="245">
        <f t="shared" ref="G112:G213" si="5">E112-F112</f>
        <v>40</v>
      </c>
      <c r="H112" s="292" t="s">
        <v>698</v>
      </c>
      <c r="I112" s="301"/>
      <c r="J112" s="173"/>
      <c r="K112" s="173"/>
      <c r="L112" s="173"/>
      <c r="M112" s="173"/>
      <c r="N112" s="173"/>
      <c r="O112" s="173"/>
      <c r="P112" s="173"/>
      <c r="Q112" s="173"/>
      <c r="R112" s="173"/>
    </row>
    <row r="113" spans="1:18" ht="16.5" thickTop="1" thickBot="1" x14ac:dyDescent="0.3">
      <c r="A113" s="309"/>
      <c r="B113" s="126" t="s">
        <v>5</v>
      </c>
      <c r="C113" s="126">
        <v>144</v>
      </c>
      <c r="D113" s="28">
        <v>856.38888888888891</v>
      </c>
      <c r="E113" s="126">
        <v>100</v>
      </c>
      <c r="F113" s="126">
        <f>1+1</f>
        <v>2</v>
      </c>
      <c r="G113" s="246">
        <f t="shared" si="5"/>
        <v>98</v>
      </c>
      <c r="H113" s="295" t="s">
        <v>699</v>
      </c>
      <c r="I113" s="301"/>
      <c r="J113" s="173"/>
      <c r="K113" s="173"/>
      <c r="L113" s="173"/>
      <c r="M113" s="173"/>
      <c r="N113" s="173"/>
      <c r="O113" s="173"/>
      <c r="P113" s="173"/>
      <c r="Q113" s="173"/>
      <c r="R113" s="173"/>
    </row>
    <row r="114" spans="1:18" ht="16.5" thickTop="1" thickBot="1" x14ac:dyDescent="0.3">
      <c r="A114" s="307" t="s">
        <v>575</v>
      </c>
      <c r="B114" s="151" t="s">
        <v>90</v>
      </c>
      <c r="C114" s="151">
        <v>1440</v>
      </c>
      <c r="D114" s="151">
        <v>148</v>
      </c>
      <c r="E114" s="151">
        <v>38</v>
      </c>
      <c r="F114" s="151">
        <v>1</v>
      </c>
      <c r="G114" s="243">
        <f t="shared" si="5"/>
        <v>37</v>
      </c>
      <c r="H114" s="291" t="s">
        <v>700</v>
      </c>
      <c r="I114" s="301" t="s">
        <v>341</v>
      </c>
      <c r="J114" s="173"/>
      <c r="K114" s="173"/>
      <c r="L114" s="173"/>
      <c r="M114" s="173"/>
      <c r="N114" s="173"/>
      <c r="O114" s="173"/>
      <c r="P114" s="173"/>
      <c r="Q114" s="173"/>
      <c r="R114" s="173"/>
    </row>
    <row r="115" spans="1:18" ht="16.5" thickTop="1" thickBot="1" x14ac:dyDescent="0.3">
      <c r="A115" s="308"/>
      <c r="B115" s="152" t="s">
        <v>21</v>
      </c>
      <c r="C115" s="152">
        <v>1440</v>
      </c>
      <c r="D115" s="152">
        <v>160</v>
      </c>
      <c r="E115" s="152">
        <f>12+40+50</f>
        <v>102</v>
      </c>
      <c r="F115" s="152">
        <f>1+1+1+1+1+2+2+4+1+1+1+1+1+1+1+2+2+1+1+12+5+1+2+1+4+4+1+1+1</f>
        <v>58</v>
      </c>
      <c r="G115" s="245">
        <f t="shared" si="5"/>
        <v>44</v>
      </c>
      <c r="H115" s="292" t="s">
        <v>701</v>
      </c>
      <c r="I115" s="301"/>
      <c r="J115" s="173"/>
      <c r="K115" s="173"/>
      <c r="L115" s="173"/>
      <c r="M115" s="173"/>
      <c r="N115" s="173"/>
      <c r="O115" s="173"/>
      <c r="P115" s="173"/>
      <c r="Q115" s="173"/>
      <c r="R115" s="173"/>
    </row>
    <row r="116" spans="1:18" ht="16.5" thickTop="1" thickBot="1" x14ac:dyDescent="0.3">
      <c r="A116" s="308"/>
      <c r="B116" s="152" t="s">
        <v>22</v>
      </c>
      <c r="C116" s="152">
        <v>1440</v>
      </c>
      <c r="D116" s="152">
        <v>192</v>
      </c>
      <c r="E116" s="152">
        <v>38</v>
      </c>
      <c r="F116" s="152">
        <f>1+1+2+1+1+1+1+1+1+1+1+1+1+3+1+1+1+1+1+1+1+1+2+1+3+1+6</f>
        <v>38</v>
      </c>
      <c r="G116" s="245">
        <f t="shared" si="5"/>
        <v>0</v>
      </c>
      <c r="H116" s="292" t="s">
        <v>702</v>
      </c>
      <c r="I116" s="301"/>
      <c r="J116" s="173"/>
      <c r="K116" s="173"/>
      <c r="L116" s="173"/>
      <c r="M116" s="173"/>
      <c r="N116" s="173"/>
      <c r="O116" s="173"/>
      <c r="P116" s="173"/>
      <c r="Q116" s="173"/>
      <c r="R116" s="173"/>
    </row>
    <row r="117" spans="1:18" ht="16.5" thickTop="1" thickBot="1" x14ac:dyDescent="0.3">
      <c r="A117" s="308"/>
      <c r="B117" s="152" t="s">
        <v>18</v>
      </c>
      <c r="C117" s="152">
        <v>1440</v>
      </c>
      <c r="D117" s="152">
        <v>226</v>
      </c>
      <c r="E117" s="152">
        <v>35</v>
      </c>
      <c r="F117" s="152">
        <f>2+1+1+1+1+2+1+1+1+1</f>
        <v>12</v>
      </c>
      <c r="G117" s="245">
        <f t="shared" si="5"/>
        <v>23</v>
      </c>
      <c r="H117" s="292" t="s">
        <v>703</v>
      </c>
      <c r="I117" s="301"/>
      <c r="J117" s="173"/>
      <c r="K117" s="173"/>
      <c r="L117" s="173"/>
      <c r="M117" s="173"/>
      <c r="N117" s="173"/>
      <c r="O117" s="173"/>
      <c r="P117" s="173"/>
      <c r="Q117" s="173"/>
      <c r="R117" s="173"/>
    </row>
    <row r="118" spans="1:18" ht="16.5" thickTop="1" thickBot="1" x14ac:dyDescent="0.3">
      <c r="A118" s="308"/>
      <c r="B118" s="152" t="s">
        <v>19</v>
      </c>
      <c r="C118" s="152">
        <v>1440</v>
      </c>
      <c r="D118" s="152">
        <v>281</v>
      </c>
      <c r="E118" s="152">
        <v>30</v>
      </c>
      <c r="F118" s="152">
        <v>2</v>
      </c>
      <c r="G118" s="245">
        <f t="shared" si="5"/>
        <v>28</v>
      </c>
      <c r="H118" s="292" t="s">
        <v>704</v>
      </c>
      <c r="I118" s="301"/>
      <c r="J118" s="173"/>
      <c r="K118" s="173"/>
      <c r="L118" s="173"/>
      <c r="M118" s="173"/>
      <c r="N118" s="173"/>
      <c r="O118" s="173"/>
      <c r="P118" s="173"/>
      <c r="Q118" s="173"/>
      <c r="R118" s="173"/>
    </row>
    <row r="119" spans="1:18" ht="16.5" thickTop="1" thickBot="1" x14ac:dyDescent="0.3">
      <c r="A119" s="308"/>
      <c r="B119" s="152" t="s">
        <v>0</v>
      </c>
      <c r="C119" s="152">
        <v>1440</v>
      </c>
      <c r="D119" s="152">
        <v>362</v>
      </c>
      <c r="E119" s="152">
        <v>40</v>
      </c>
      <c r="F119" s="152">
        <f>2+1</f>
        <v>3</v>
      </c>
      <c r="G119" s="245">
        <f t="shared" si="5"/>
        <v>37</v>
      </c>
      <c r="H119" s="292" t="s">
        <v>705</v>
      </c>
      <c r="I119" s="301"/>
      <c r="J119" s="173"/>
      <c r="K119" s="173"/>
      <c r="L119" s="173"/>
      <c r="M119" s="173"/>
      <c r="N119" s="173"/>
      <c r="O119" s="173"/>
      <c r="P119" s="173"/>
      <c r="Q119" s="173"/>
      <c r="R119" s="173"/>
    </row>
    <row r="120" spans="1:18" ht="16.5" thickTop="1" thickBot="1" x14ac:dyDescent="0.3">
      <c r="A120" s="308"/>
      <c r="B120" s="152" t="s">
        <v>1</v>
      </c>
      <c r="C120" s="152">
        <v>1440</v>
      </c>
      <c r="D120" s="152">
        <v>583</v>
      </c>
      <c r="E120" s="152">
        <v>96</v>
      </c>
      <c r="F120" s="152">
        <v>2</v>
      </c>
      <c r="G120" s="245">
        <f t="shared" si="5"/>
        <v>94</v>
      </c>
      <c r="H120" s="292" t="s">
        <v>706</v>
      </c>
      <c r="I120" s="301"/>
      <c r="J120" s="173"/>
      <c r="K120" s="173"/>
      <c r="L120" s="173"/>
      <c r="M120" s="173"/>
      <c r="N120" s="173"/>
      <c r="O120" s="173"/>
      <c r="P120" s="173"/>
      <c r="Q120" s="173"/>
      <c r="R120" s="173"/>
    </row>
    <row r="121" spans="1:18" ht="16.5" thickTop="1" thickBot="1" x14ac:dyDescent="0.3">
      <c r="A121" s="308"/>
      <c r="B121" s="152" t="s">
        <v>2</v>
      </c>
      <c r="C121" s="152">
        <v>288</v>
      </c>
      <c r="D121" s="152">
        <v>332</v>
      </c>
      <c r="E121" s="152">
        <v>30</v>
      </c>
      <c r="F121" s="152"/>
      <c r="G121" s="245">
        <f t="shared" si="5"/>
        <v>30</v>
      </c>
      <c r="H121" s="292" t="s">
        <v>707</v>
      </c>
      <c r="I121" s="301"/>
      <c r="J121" s="173"/>
      <c r="K121" s="173"/>
      <c r="L121" s="173"/>
      <c r="M121" s="173"/>
      <c r="N121" s="173"/>
      <c r="O121" s="173"/>
      <c r="P121" s="173"/>
      <c r="Q121" s="173"/>
      <c r="R121" s="173"/>
    </row>
    <row r="122" spans="1:18" ht="16.5" thickTop="1" thickBot="1" x14ac:dyDescent="0.3">
      <c r="A122" s="308"/>
      <c r="B122" s="154" t="s">
        <v>5</v>
      </c>
      <c r="C122" s="154">
        <v>144</v>
      </c>
      <c r="D122" s="154">
        <v>856</v>
      </c>
      <c r="E122" s="154">
        <v>149</v>
      </c>
      <c r="F122" s="154"/>
      <c r="G122" s="247">
        <f t="shared" si="5"/>
        <v>149</v>
      </c>
      <c r="H122" s="292" t="s">
        <v>708</v>
      </c>
      <c r="I122" s="301"/>
      <c r="J122" s="173"/>
      <c r="K122" s="173"/>
      <c r="L122" s="173"/>
      <c r="M122" s="173"/>
      <c r="N122" s="173"/>
      <c r="O122" s="173"/>
      <c r="P122" s="173"/>
      <c r="Q122" s="173"/>
      <c r="R122" s="173"/>
    </row>
    <row r="123" spans="1:18" ht="16.5" thickTop="1" thickBot="1" x14ac:dyDescent="0.3">
      <c r="A123" s="309"/>
      <c r="B123" s="126" t="s">
        <v>20</v>
      </c>
      <c r="C123" s="126">
        <v>144</v>
      </c>
      <c r="D123" s="126">
        <v>584</v>
      </c>
      <c r="E123" s="126">
        <v>19</v>
      </c>
      <c r="F123" s="126"/>
      <c r="G123" s="246">
        <f t="shared" si="5"/>
        <v>19</v>
      </c>
      <c r="H123" s="295" t="s">
        <v>709</v>
      </c>
      <c r="I123" s="301"/>
      <c r="J123" s="173"/>
      <c r="K123" s="173"/>
      <c r="L123" s="173"/>
      <c r="M123" s="173"/>
      <c r="N123" s="173"/>
      <c r="O123" s="173"/>
      <c r="P123" s="173"/>
      <c r="Q123" s="173"/>
      <c r="R123" s="173"/>
    </row>
    <row r="124" spans="1:18" ht="16.5" thickTop="1" thickBot="1" x14ac:dyDescent="0.3">
      <c r="A124" s="307" t="s">
        <v>396</v>
      </c>
      <c r="B124" s="151" t="s">
        <v>90</v>
      </c>
      <c r="C124" s="151">
        <v>1440</v>
      </c>
      <c r="D124" s="151">
        <v>160</v>
      </c>
      <c r="E124" s="151">
        <f>50</f>
        <v>50</v>
      </c>
      <c r="F124" s="151">
        <f>2+1+4+1+1+3+1+1+1+1+1</f>
        <v>17</v>
      </c>
      <c r="G124" s="243">
        <f t="shared" si="5"/>
        <v>33</v>
      </c>
      <c r="H124" s="291" t="s">
        <v>710</v>
      </c>
      <c r="I124" s="301" t="s">
        <v>342</v>
      </c>
      <c r="J124" s="173"/>
      <c r="K124" s="173"/>
      <c r="L124" s="173"/>
      <c r="M124" s="173"/>
      <c r="N124" s="173"/>
      <c r="O124" s="173"/>
      <c r="P124" s="173"/>
      <c r="Q124" s="173"/>
      <c r="R124" s="173"/>
    </row>
    <row r="125" spans="1:18" ht="16.5" thickTop="1" thickBot="1" x14ac:dyDescent="0.3">
      <c r="A125" s="308"/>
      <c r="B125" s="152" t="s">
        <v>89</v>
      </c>
      <c r="C125" s="152">
        <v>1440</v>
      </c>
      <c r="D125" s="152">
        <v>171</v>
      </c>
      <c r="E125" s="152">
        <v>40</v>
      </c>
      <c r="F125" s="152">
        <f>1+1+2+2</f>
        <v>6</v>
      </c>
      <c r="G125" s="245">
        <f t="shared" si="5"/>
        <v>34</v>
      </c>
      <c r="H125" s="292" t="s">
        <v>711</v>
      </c>
      <c r="I125" s="301"/>
      <c r="J125" s="173"/>
      <c r="K125" s="173"/>
      <c r="L125" s="173"/>
      <c r="M125" s="173"/>
      <c r="N125" s="173"/>
      <c r="O125" s="173"/>
      <c r="P125" s="173"/>
      <c r="Q125" s="173"/>
      <c r="R125" s="173"/>
    </row>
    <row r="126" spans="1:18" ht="16.5" thickTop="1" thickBot="1" x14ac:dyDescent="0.3">
      <c r="A126" s="308"/>
      <c r="B126" s="152" t="s">
        <v>21</v>
      </c>
      <c r="C126" s="152">
        <v>1440</v>
      </c>
      <c r="D126" s="152">
        <v>170</v>
      </c>
      <c r="E126" s="152">
        <v>95</v>
      </c>
      <c r="F126" s="152">
        <f>1+1+1+5+1+1+1+1+1+1+1+1+1</f>
        <v>17</v>
      </c>
      <c r="G126" s="245">
        <f t="shared" si="5"/>
        <v>78</v>
      </c>
      <c r="H126" s="292" t="s">
        <v>712</v>
      </c>
      <c r="I126" s="301"/>
      <c r="J126" s="173"/>
      <c r="K126" s="173"/>
      <c r="L126" s="173"/>
      <c r="M126" s="173"/>
      <c r="N126" s="173"/>
      <c r="O126" s="173"/>
      <c r="P126" s="173"/>
      <c r="Q126" s="173"/>
      <c r="R126" s="173"/>
    </row>
    <row r="127" spans="1:18" ht="16.5" thickTop="1" thickBot="1" x14ac:dyDescent="0.3">
      <c r="A127" s="308"/>
      <c r="B127" s="152" t="s">
        <v>22</v>
      </c>
      <c r="C127" s="152">
        <v>1440</v>
      </c>
      <c r="D127" s="152">
        <v>204</v>
      </c>
      <c r="E127" s="152">
        <v>80</v>
      </c>
      <c r="F127" s="152">
        <f>1+2+1+1+2+2+1+1+1+1+1+3+2</f>
        <v>19</v>
      </c>
      <c r="G127" s="245">
        <f t="shared" si="5"/>
        <v>61</v>
      </c>
      <c r="H127" s="292" t="s">
        <v>713</v>
      </c>
      <c r="I127" s="301"/>
      <c r="J127" s="173"/>
      <c r="K127" s="173"/>
      <c r="L127" s="173"/>
      <c r="M127" s="173"/>
      <c r="N127" s="173"/>
      <c r="O127" s="173"/>
      <c r="P127" s="173"/>
      <c r="Q127" s="173"/>
      <c r="R127" s="173"/>
    </row>
    <row r="128" spans="1:18" ht="16.5" thickTop="1" thickBot="1" x14ac:dyDescent="0.3">
      <c r="A128" s="308"/>
      <c r="B128" s="152" t="s">
        <v>18</v>
      </c>
      <c r="C128" s="152">
        <v>1440</v>
      </c>
      <c r="D128" s="152">
        <v>236</v>
      </c>
      <c r="E128" s="152">
        <v>70</v>
      </c>
      <c r="F128" s="152">
        <f>1+1+1+1+3+2+1</f>
        <v>10</v>
      </c>
      <c r="G128" s="245">
        <f t="shared" si="5"/>
        <v>60</v>
      </c>
      <c r="H128" s="292" t="s">
        <v>714</v>
      </c>
      <c r="I128" s="301"/>
      <c r="J128" s="173"/>
      <c r="K128" s="173"/>
      <c r="L128" s="173"/>
      <c r="M128" s="173"/>
      <c r="N128" s="173"/>
      <c r="O128" s="173"/>
      <c r="P128" s="173"/>
      <c r="Q128" s="173"/>
      <c r="R128" s="173"/>
    </row>
    <row r="129" spans="1:18" ht="16.5" thickTop="1" thickBot="1" x14ac:dyDescent="0.3">
      <c r="A129" s="308"/>
      <c r="B129" s="152" t="s">
        <v>0</v>
      </c>
      <c r="C129" s="152">
        <v>1440</v>
      </c>
      <c r="D129" s="152">
        <v>588</v>
      </c>
      <c r="E129" s="152">
        <v>100</v>
      </c>
      <c r="F129" s="152">
        <f>1+1+1+1+1+2+1+1</f>
        <v>9</v>
      </c>
      <c r="G129" s="245">
        <f t="shared" si="5"/>
        <v>91</v>
      </c>
      <c r="H129" s="292" t="s">
        <v>715</v>
      </c>
      <c r="I129" s="301"/>
      <c r="J129" s="173"/>
      <c r="K129" s="173"/>
      <c r="L129" s="173"/>
      <c r="M129" s="173"/>
      <c r="N129" s="173"/>
      <c r="O129" s="173"/>
      <c r="P129" s="173"/>
      <c r="Q129" s="173"/>
      <c r="R129" s="173"/>
    </row>
    <row r="130" spans="1:18" ht="16.5" thickTop="1" thickBot="1" x14ac:dyDescent="0.3">
      <c r="A130" s="308"/>
      <c r="B130" s="152" t="s">
        <v>1</v>
      </c>
      <c r="C130" s="152">
        <v>1440</v>
      </c>
      <c r="D130" s="152">
        <v>870</v>
      </c>
      <c r="E130" s="152">
        <v>195</v>
      </c>
      <c r="F130" s="152">
        <f>1+1+1+1+1</f>
        <v>5</v>
      </c>
      <c r="G130" s="245">
        <f t="shared" si="5"/>
        <v>190</v>
      </c>
      <c r="H130" s="292" t="s">
        <v>716</v>
      </c>
      <c r="I130" s="301"/>
      <c r="J130" s="173"/>
      <c r="K130" s="173"/>
      <c r="L130" s="173"/>
      <c r="M130" s="173"/>
      <c r="N130" s="173"/>
      <c r="O130" s="173"/>
      <c r="P130" s="173"/>
      <c r="Q130" s="173"/>
      <c r="R130" s="173"/>
    </row>
    <row r="131" spans="1:18" ht="16.5" thickTop="1" thickBot="1" x14ac:dyDescent="0.3">
      <c r="A131" s="309"/>
      <c r="B131" s="126" t="s">
        <v>2</v>
      </c>
      <c r="C131" s="126">
        <v>288</v>
      </c>
      <c r="D131" s="126">
        <v>453</v>
      </c>
      <c r="E131" s="126">
        <v>91</v>
      </c>
      <c r="F131" s="126">
        <f>1+2</f>
        <v>3</v>
      </c>
      <c r="G131" s="246">
        <f t="shared" si="5"/>
        <v>88</v>
      </c>
      <c r="H131" s="295" t="s">
        <v>717</v>
      </c>
      <c r="I131" s="301"/>
      <c r="J131" s="173"/>
      <c r="K131" s="173"/>
      <c r="L131" s="173"/>
      <c r="M131" s="173"/>
      <c r="N131" s="173"/>
      <c r="O131" s="173"/>
      <c r="P131" s="173"/>
      <c r="Q131" s="173"/>
      <c r="R131" s="173"/>
    </row>
    <row r="132" spans="1:18" ht="16.5" thickTop="1" thickBot="1" x14ac:dyDescent="0.3">
      <c r="A132" s="307" t="s">
        <v>576</v>
      </c>
      <c r="B132" s="153" t="s">
        <v>90</v>
      </c>
      <c r="C132" s="153">
        <v>1440</v>
      </c>
      <c r="D132" s="26">
        <v>148</v>
      </c>
      <c r="E132" s="153">
        <v>99</v>
      </c>
      <c r="F132" s="151">
        <v>1</v>
      </c>
      <c r="G132" s="243">
        <f t="shared" si="5"/>
        <v>98</v>
      </c>
      <c r="H132" s="291" t="s">
        <v>718</v>
      </c>
      <c r="I132" s="301" t="s">
        <v>343</v>
      </c>
      <c r="J132" s="173"/>
      <c r="K132" s="173"/>
      <c r="L132" s="173"/>
      <c r="M132" s="173"/>
      <c r="N132" s="173"/>
      <c r="O132" s="173"/>
      <c r="P132" s="173"/>
      <c r="Q132" s="173"/>
      <c r="R132" s="173"/>
    </row>
    <row r="133" spans="1:18" ht="16.5" thickTop="1" thickBot="1" x14ac:dyDescent="0.3">
      <c r="A133" s="308"/>
      <c r="B133" s="152" t="s">
        <v>89</v>
      </c>
      <c r="C133" s="152">
        <v>1440</v>
      </c>
      <c r="D133" s="27">
        <v>160</v>
      </c>
      <c r="E133" s="152">
        <v>88</v>
      </c>
      <c r="F133" s="152"/>
      <c r="G133" s="245">
        <f t="shared" si="5"/>
        <v>88</v>
      </c>
      <c r="H133" s="292" t="s">
        <v>719</v>
      </c>
      <c r="I133" s="301"/>
      <c r="J133" s="173"/>
      <c r="K133" s="173"/>
      <c r="L133" s="173"/>
      <c r="M133" s="173"/>
      <c r="N133" s="173"/>
      <c r="O133" s="173"/>
      <c r="P133" s="173"/>
      <c r="Q133" s="173"/>
      <c r="R133" s="173"/>
    </row>
    <row r="134" spans="1:18" ht="16.5" thickTop="1" thickBot="1" x14ac:dyDescent="0.3">
      <c r="A134" s="308"/>
      <c r="B134" s="153" t="s">
        <v>21</v>
      </c>
      <c r="C134" s="153">
        <v>1440</v>
      </c>
      <c r="D134" s="26">
        <v>160.33333333333334</v>
      </c>
      <c r="E134" s="153">
        <v>40</v>
      </c>
      <c r="F134" s="153">
        <f>1+1+1+1</f>
        <v>4</v>
      </c>
      <c r="G134" s="244">
        <f t="shared" si="5"/>
        <v>36</v>
      </c>
      <c r="H134" s="292" t="s">
        <v>720</v>
      </c>
      <c r="I134" s="301"/>
      <c r="J134" s="173"/>
      <c r="K134" s="173"/>
      <c r="L134" s="173"/>
      <c r="M134" s="173"/>
      <c r="N134" s="173"/>
      <c r="O134" s="173"/>
      <c r="P134" s="173"/>
      <c r="Q134" s="173"/>
      <c r="R134" s="173"/>
    </row>
    <row r="135" spans="1:18" ht="16.5" thickTop="1" thickBot="1" x14ac:dyDescent="0.3">
      <c r="A135" s="308"/>
      <c r="B135" s="152" t="s">
        <v>22</v>
      </c>
      <c r="C135" s="152">
        <v>1440</v>
      </c>
      <c r="D135" s="26">
        <v>192.44444444444446</v>
      </c>
      <c r="E135" s="153">
        <v>40</v>
      </c>
      <c r="F135" s="153">
        <f>4+1+1+1+2+1+1+1+1</f>
        <v>13</v>
      </c>
      <c r="G135" s="244">
        <f t="shared" si="5"/>
        <v>27</v>
      </c>
      <c r="H135" s="292" t="s">
        <v>721</v>
      </c>
      <c r="I135" s="301"/>
      <c r="J135" s="173"/>
      <c r="K135" s="173"/>
      <c r="L135" s="173"/>
      <c r="M135" s="173"/>
      <c r="N135" s="173"/>
      <c r="O135" s="173"/>
      <c r="P135" s="173"/>
      <c r="Q135" s="173"/>
      <c r="R135" s="173"/>
    </row>
    <row r="136" spans="1:18" ht="16.5" thickTop="1" thickBot="1" x14ac:dyDescent="0.3">
      <c r="A136" s="308"/>
      <c r="B136" s="152" t="s">
        <v>18</v>
      </c>
      <c r="C136" s="152">
        <v>1440</v>
      </c>
      <c r="D136" s="27">
        <v>225.5</v>
      </c>
      <c r="E136" s="152">
        <v>33</v>
      </c>
      <c r="F136" s="152">
        <v>1</v>
      </c>
      <c r="G136" s="245">
        <f t="shared" si="5"/>
        <v>32</v>
      </c>
      <c r="H136" s="292" t="s">
        <v>722</v>
      </c>
      <c r="I136" s="301"/>
      <c r="J136" s="173"/>
      <c r="K136" s="173"/>
      <c r="L136" s="173"/>
      <c r="M136" s="173"/>
      <c r="N136" s="173"/>
      <c r="O136" s="173"/>
      <c r="P136" s="173"/>
      <c r="Q136" s="173"/>
      <c r="R136" s="173"/>
    </row>
    <row r="137" spans="1:18" ht="16.5" thickTop="1" thickBot="1" x14ac:dyDescent="0.3">
      <c r="A137" s="308"/>
      <c r="B137" s="152" t="s">
        <v>19</v>
      </c>
      <c r="C137" s="152">
        <v>1440</v>
      </c>
      <c r="D137" s="27">
        <v>281.22222222222223</v>
      </c>
      <c r="E137" s="152">
        <v>30</v>
      </c>
      <c r="F137" s="152">
        <v>1</v>
      </c>
      <c r="G137" s="245">
        <f t="shared" si="5"/>
        <v>29</v>
      </c>
      <c r="H137" s="292" t="s">
        <v>723</v>
      </c>
      <c r="I137" s="301"/>
      <c r="J137" s="173"/>
      <c r="K137" s="173"/>
      <c r="L137" s="173"/>
      <c r="M137" s="173"/>
      <c r="N137" s="173"/>
      <c r="O137" s="173"/>
      <c r="P137" s="173"/>
      <c r="Q137" s="173"/>
      <c r="R137" s="173"/>
    </row>
    <row r="138" spans="1:18" ht="16.5" thickTop="1" thickBot="1" x14ac:dyDescent="0.3">
      <c r="A138" s="308"/>
      <c r="B138" s="152" t="s">
        <v>0</v>
      </c>
      <c r="C138" s="152">
        <v>1440</v>
      </c>
      <c r="D138" s="27">
        <v>361.49999999999994</v>
      </c>
      <c r="E138" s="152">
        <v>44</v>
      </c>
      <c r="F138" s="152">
        <f>3+1+1</f>
        <v>5</v>
      </c>
      <c r="G138" s="245">
        <f t="shared" si="5"/>
        <v>39</v>
      </c>
      <c r="H138" s="292" t="s">
        <v>724</v>
      </c>
      <c r="I138" s="301"/>
      <c r="J138" s="173"/>
      <c r="K138" s="173"/>
      <c r="L138" s="173"/>
      <c r="M138" s="173"/>
      <c r="N138" s="173"/>
      <c r="O138" s="173"/>
      <c r="P138" s="173"/>
      <c r="Q138" s="173"/>
      <c r="R138" s="173"/>
    </row>
    <row r="139" spans="1:18" ht="16.5" thickTop="1" thickBot="1" x14ac:dyDescent="0.3">
      <c r="A139" s="308"/>
      <c r="B139" s="152" t="s">
        <v>1</v>
      </c>
      <c r="C139" s="152">
        <v>1440</v>
      </c>
      <c r="D139" s="27">
        <v>582.5</v>
      </c>
      <c r="E139" s="152">
        <v>83</v>
      </c>
      <c r="F139" s="152">
        <f>3+1+1</f>
        <v>5</v>
      </c>
      <c r="G139" s="245">
        <f t="shared" si="5"/>
        <v>78</v>
      </c>
      <c r="H139" s="292" t="s">
        <v>725</v>
      </c>
      <c r="I139" s="301"/>
      <c r="J139" s="173"/>
      <c r="K139" s="173"/>
      <c r="L139" s="173"/>
      <c r="M139" s="173"/>
      <c r="N139" s="173"/>
      <c r="O139" s="173"/>
      <c r="P139" s="173"/>
      <c r="Q139" s="173"/>
      <c r="R139" s="173"/>
    </row>
    <row r="140" spans="1:18" ht="16.5" thickTop="1" thickBot="1" x14ac:dyDescent="0.3">
      <c r="A140" s="308"/>
      <c r="B140" s="152" t="s">
        <v>2</v>
      </c>
      <c r="C140" s="152">
        <v>288</v>
      </c>
      <c r="D140" s="27">
        <v>332.22222222222223</v>
      </c>
      <c r="E140" s="152">
        <v>44</v>
      </c>
      <c r="F140" s="152">
        <f>1+1</f>
        <v>2</v>
      </c>
      <c r="G140" s="245">
        <f t="shared" si="5"/>
        <v>42</v>
      </c>
      <c r="H140" s="292" t="s">
        <v>726</v>
      </c>
      <c r="I140" s="301"/>
      <c r="J140" s="173"/>
      <c r="K140" s="173"/>
      <c r="L140" s="173"/>
      <c r="M140" s="173"/>
      <c r="N140" s="173"/>
      <c r="O140" s="173"/>
      <c r="P140" s="173"/>
      <c r="Q140" s="173"/>
      <c r="R140" s="173"/>
    </row>
    <row r="141" spans="1:18" ht="16.5" thickTop="1" thickBot="1" x14ac:dyDescent="0.3">
      <c r="A141" s="308"/>
      <c r="B141" s="154" t="s">
        <v>5</v>
      </c>
      <c r="C141" s="154">
        <v>144</v>
      </c>
      <c r="D141" s="29">
        <v>856.38888888888891</v>
      </c>
      <c r="E141" s="154">
        <v>99</v>
      </c>
      <c r="F141" s="154"/>
      <c r="G141" s="247">
        <f t="shared" si="5"/>
        <v>99</v>
      </c>
      <c r="H141" s="292" t="s">
        <v>727</v>
      </c>
      <c r="I141" s="301"/>
      <c r="J141" s="173"/>
      <c r="K141" s="173"/>
      <c r="L141" s="173"/>
      <c r="M141" s="173"/>
      <c r="N141" s="173"/>
      <c r="O141" s="173"/>
      <c r="P141" s="173"/>
      <c r="Q141" s="173"/>
      <c r="R141" s="173"/>
    </row>
    <row r="142" spans="1:18" ht="16.5" thickTop="1" thickBot="1" x14ac:dyDescent="0.3">
      <c r="A142" s="309"/>
      <c r="B142" s="126" t="s">
        <v>20</v>
      </c>
      <c r="C142" s="126">
        <v>144</v>
      </c>
      <c r="D142" s="28">
        <v>856</v>
      </c>
      <c r="E142" s="126">
        <v>18</v>
      </c>
      <c r="F142" s="126"/>
      <c r="G142" s="247">
        <f t="shared" si="5"/>
        <v>18</v>
      </c>
      <c r="H142" s="295" t="s">
        <v>728</v>
      </c>
      <c r="I142" s="301"/>
      <c r="J142" s="173"/>
      <c r="K142" s="173"/>
      <c r="L142" s="173"/>
      <c r="M142" s="173"/>
      <c r="N142" s="173"/>
      <c r="O142" s="173"/>
      <c r="P142" s="173"/>
      <c r="Q142" s="173"/>
      <c r="R142" s="173"/>
    </row>
    <row r="143" spans="1:18" ht="16.5" thickTop="1" thickBot="1" x14ac:dyDescent="0.3">
      <c r="A143" s="307" t="s">
        <v>577</v>
      </c>
      <c r="B143" s="151" t="s">
        <v>90</v>
      </c>
      <c r="C143" s="151">
        <v>1440</v>
      </c>
      <c r="D143" s="30">
        <v>148</v>
      </c>
      <c r="E143" s="151">
        <f>20+51</f>
        <v>71</v>
      </c>
      <c r="F143" s="151">
        <f>2+1+2+1+1+1+1+2+4+1+1+2</f>
        <v>19</v>
      </c>
      <c r="G143" s="243">
        <f t="shared" si="5"/>
        <v>52</v>
      </c>
      <c r="H143" s="291" t="s">
        <v>729</v>
      </c>
      <c r="I143" s="301" t="s">
        <v>344</v>
      </c>
      <c r="J143" s="173"/>
      <c r="K143" s="173"/>
      <c r="L143" s="173"/>
      <c r="M143" s="173"/>
      <c r="N143" s="173"/>
      <c r="O143" s="173"/>
      <c r="P143" s="173"/>
      <c r="Q143" s="173"/>
      <c r="R143" s="173"/>
    </row>
    <row r="144" spans="1:18" ht="16.5" thickTop="1" thickBot="1" x14ac:dyDescent="0.3">
      <c r="A144" s="308"/>
      <c r="B144" s="152" t="s">
        <v>89</v>
      </c>
      <c r="C144" s="118">
        <v>1440</v>
      </c>
      <c r="D144" s="118">
        <v>148</v>
      </c>
      <c r="E144" s="118">
        <f>20+50</f>
        <v>70</v>
      </c>
      <c r="F144" s="153">
        <f>2+2+3</f>
        <v>7</v>
      </c>
      <c r="G144" s="244">
        <f t="shared" si="5"/>
        <v>63</v>
      </c>
      <c r="H144" s="292" t="s">
        <v>730</v>
      </c>
      <c r="I144" s="301"/>
      <c r="J144" s="173"/>
      <c r="K144" s="173"/>
      <c r="L144" s="173"/>
      <c r="M144" s="173"/>
      <c r="N144" s="173"/>
      <c r="O144" s="173"/>
      <c r="P144" s="173"/>
      <c r="Q144" s="173"/>
      <c r="R144" s="173"/>
    </row>
    <row r="145" spans="1:18" ht="16.5" thickTop="1" thickBot="1" x14ac:dyDescent="0.3">
      <c r="A145" s="308"/>
      <c r="B145" s="152" t="s">
        <v>21</v>
      </c>
      <c r="C145" s="152">
        <v>1440</v>
      </c>
      <c r="D145" s="27">
        <v>160.33333333333334</v>
      </c>
      <c r="E145" s="152">
        <f>29+31+50</f>
        <v>110</v>
      </c>
      <c r="F145" s="152">
        <f>1+2+1+1+1+1+1+1+1+1+1+1+1+1+2+1+1+1+1</f>
        <v>21</v>
      </c>
      <c r="G145" s="245">
        <f t="shared" si="5"/>
        <v>89</v>
      </c>
      <c r="H145" s="292" t="s">
        <v>731</v>
      </c>
      <c r="I145" s="301"/>
      <c r="J145" s="173"/>
      <c r="K145" s="173"/>
      <c r="L145" s="173"/>
      <c r="M145" s="173"/>
      <c r="N145" s="173"/>
      <c r="O145" s="173"/>
      <c r="P145" s="173"/>
      <c r="Q145" s="173"/>
      <c r="R145" s="173"/>
    </row>
    <row r="146" spans="1:18" ht="16.5" thickTop="1" thickBot="1" x14ac:dyDescent="0.3">
      <c r="A146" s="308"/>
      <c r="B146" s="152" t="s">
        <v>22</v>
      </c>
      <c r="C146" s="152">
        <v>1440</v>
      </c>
      <c r="D146" s="27">
        <v>192.44444444444446</v>
      </c>
      <c r="E146" s="152">
        <f>36+30</f>
        <v>66</v>
      </c>
      <c r="F146" s="152">
        <f>4+4+1+1+3+2+1+1+10+1+1+1+1</f>
        <v>31</v>
      </c>
      <c r="G146" s="245">
        <f t="shared" si="5"/>
        <v>35</v>
      </c>
      <c r="H146" s="292" t="s">
        <v>732</v>
      </c>
      <c r="I146" s="301"/>
      <c r="J146" s="173"/>
      <c r="K146" s="173"/>
      <c r="L146" s="173"/>
      <c r="M146" s="173"/>
      <c r="N146" s="173"/>
      <c r="O146" s="173"/>
      <c r="P146" s="173"/>
      <c r="Q146" s="173"/>
      <c r="R146" s="173"/>
    </row>
    <row r="147" spans="1:18" ht="16.5" thickTop="1" thickBot="1" x14ac:dyDescent="0.3">
      <c r="A147" s="308"/>
      <c r="B147" s="152" t="s">
        <v>18</v>
      </c>
      <c r="C147" s="152">
        <v>1440</v>
      </c>
      <c r="D147" s="27">
        <v>225.5</v>
      </c>
      <c r="E147" s="152">
        <f>15+24+35+30</f>
        <v>104</v>
      </c>
      <c r="F147" s="152">
        <f>1+2+1+1+1+1+2+1+5</f>
        <v>15</v>
      </c>
      <c r="G147" s="245">
        <f t="shared" si="5"/>
        <v>89</v>
      </c>
      <c r="H147" s="292" t="s">
        <v>733</v>
      </c>
      <c r="I147" s="301"/>
      <c r="J147" s="173"/>
      <c r="K147" s="173"/>
      <c r="L147" s="173"/>
      <c r="M147" s="173"/>
      <c r="N147" s="173"/>
      <c r="O147" s="173"/>
      <c r="P147" s="173"/>
      <c r="Q147" s="173"/>
      <c r="R147" s="173"/>
    </row>
    <row r="148" spans="1:18" ht="16.5" thickTop="1" thickBot="1" x14ac:dyDescent="0.3">
      <c r="A148" s="308"/>
      <c r="B148" s="152" t="s">
        <v>19</v>
      </c>
      <c r="C148" s="152">
        <v>1440</v>
      </c>
      <c r="D148" s="27">
        <v>281.22222222222223</v>
      </c>
      <c r="E148" s="152">
        <f>28+30</f>
        <v>58</v>
      </c>
      <c r="F148" s="152">
        <f>1+2+1</f>
        <v>4</v>
      </c>
      <c r="G148" s="245">
        <f t="shared" si="5"/>
        <v>54</v>
      </c>
      <c r="H148" s="292" t="s">
        <v>734</v>
      </c>
      <c r="I148" s="301"/>
      <c r="J148" s="173"/>
      <c r="K148" s="173"/>
      <c r="L148" s="173"/>
      <c r="M148" s="173"/>
      <c r="N148" s="173"/>
      <c r="O148" s="173"/>
      <c r="P148" s="173"/>
      <c r="Q148" s="173"/>
      <c r="R148" s="173"/>
    </row>
    <row r="149" spans="1:18" ht="16.5" thickTop="1" thickBot="1" x14ac:dyDescent="0.3">
      <c r="A149" s="308"/>
      <c r="B149" s="152" t="s">
        <v>0</v>
      </c>
      <c r="C149" s="152">
        <v>1440</v>
      </c>
      <c r="D149" s="27">
        <v>361.49999999999994</v>
      </c>
      <c r="E149" s="152">
        <f>38+25</f>
        <v>63</v>
      </c>
      <c r="F149" s="152">
        <f>1+1+2+2</f>
        <v>6</v>
      </c>
      <c r="G149" s="245">
        <f t="shared" si="5"/>
        <v>57</v>
      </c>
      <c r="H149" s="292" t="s">
        <v>735</v>
      </c>
      <c r="I149" s="301"/>
      <c r="J149" s="173"/>
      <c r="K149" s="173"/>
      <c r="L149" s="173"/>
      <c r="M149" s="173"/>
      <c r="N149" s="173"/>
      <c r="O149" s="173"/>
      <c r="P149" s="173"/>
      <c r="Q149" s="173"/>
      <c r="R149" s="173"/>
    </row>
    <row r="150" spans="1:18" ht="16.5" thickTop="1" thickBot="1" x14ac:dyDescent="0.3">
      <c r="A150" s="308"/>
      <c r="B150" s="152" t="s">
        <v>1</v>
      </c>
      <c r="C150" s="152">
        <v>1440</v>
      </c>
      <c r="D150" s="27">
        <v>582.5</v>
      </c>
      <c r="E150" s="152">
        <f>95+30</f>
        <v>125</v>
      </c>
      <c r="F150" s="152">
        <f>1+2+1+2+1</f>
        <v>7</v>
      </c>
      <c r="G150" s="245">
        <f t="shared" si="5"/>
        <v>118</v>
      </c>
      <c r="H150" s="292" t="s">
        <v>736</v>
      </c>
      <c r="I150" s="301"/>
      <c r="J150" s="173"/>
      <c r="K150" s="173"/>
      <c r="L150" s="173"/>
      <c r="M150" s="173"/>
      <c r="N150" s="173"/>
      <c r="O150" s="173"/>
      <c r="P150" s="173"/>
      <c r="Q150" s="173"/>
      <c r="R150" s="173"/>
    </row>
    <row r="151" spans="1:18" ht="16.5" thickTop="1" thickBot="1" x14ac:dyDescent="0.3">
      <c r="A151" s="308"/>
      <c r="B151" s="152" t="s">
        <v>2</v>
      </c>
      <c r="C151" s="152">
        <v>288</v>
      </c>
      <c r="D151" s="27">
        <v>332.22222222222223</v>
      </c>
      <c r="E151" s="152">
        <f>38+30</f>
        <v>68</v>
      </c>
      <c r="F151" s="152">
        <f>1+1+2+2</f>
        <v>6</v>
      </c>
      <c r="G151" s="245">
        <f t="shared" si="5"/>
        <v>62</v>
      </c>
      <c r="H151" s="292" t="s">
        <v>737</v>
      </c>
      <c r="I151" s="301"/>
      <c r="J151" s="173"/>
      <c r="K151" s="173"/>
      <c r="L151" s="173"/>
      <c r="M151" s="173"/>
      <c r="N151" s="173"/>
      <c r="O151" s="173"/>
      <c r="P151" s="173"/>
      <c r="Q151" s="173"/>
      <c r="R151" s="173"/>
    </row>
    <row r="152" spans="1:18" ht="16.5" thickTop="1" thickBot="1" x14ac:dyDescent="0.3">
      <c r="A152" s="308"/>
      <c r="B152" s="154" t="s">
        <v>5</v>
      </c>
      <c r="C152" s="154">
        <v>144</v>
      </c>
      <c r="D152" s="29">
        <v>856.38888888888891</v>
      </c>
      <c r="E152" s="154">
        <v>81</v>
      </c>
      <c r="F152" s="154">
        <f>2+1</f>
        <v>3</v>
      </c>
      <c r="G152" s="247">
        <f t="shared" si="5"/>
        <v>78</v>
      </c>
      <c r="H152" s="292" t="s">
        <v>738</v>
      </c>
      <c r="I152" s="301"/>
      <c r="J152" s="173"/>
      <c r="K152" s="173"/>
      <c r="L152" s="173"/>
      <c r="M152" s="173"/>
      <c r="N152" s="173"/>
      <c r="O152" s="173"/>
      <c r="P152" s="173"/>
      <c r="Q152" s="173"/>
      <c r="R152" s="173"/>
    </row>
    <row r="153" spans="1:18" ht="16.5" thickTop="1" thickBot="1" x14ac:dyDescent="0.3">
      <c r="A153" s="309"/>
      <c r="B153" s="126" t="s">
        <v>20</v>
      </c>
      <c r="C153" s="126">
        <v>144</v>
      </c>
      <c r="D153" s="28">
        <v>856</v>
      </c>
      <c r="E153" s="126">
        <v>20</v>
      </c>
      <c r="F153" s="126"/>
      <c r="G153" s="246">
        <f t="shared" si="5"/>
        <v>20</v>
      </c>
      <c r="H153" s="295" t="s">
        <v>739</v>
      </c>
      <c r="I153" s="301"/>
      <c r="J153" s="173"/>
      <c r="K153" s="173"/>
      <c r="L153" s="173"/>
      <c r="M153" s="173"/>
      <c r="N153" s="173"/>
      <c r="O153" s="173"/>
      <c r="P153" s="173"/>
      <c r="Q153" s="173"/>
      <c r="R153" s="173"/>
    </row>
    <row r="154" spans="1:18" ht="16.5" thickTop="1" thickBot="1" x14ac:dyDescent="0.3">
      <c r="A154" s="307" t="s">
        <v>397</v>
      </c>
      <c r="B154" s="151" t="s">
        <v>90</v>
      </c>
      <c r="C154" s="151">
        <v>1440</v>
      </c>
      <c r="D154" s="151">
        <v>148</v>
      </c>
      <c r="E154" s="151">
        <v>100</v>
      </c>
      <c r="F154" s="151"/>
      <c r="G154" s="243">
        <f t="shared" si="5"/>
        <v>100</v>
      </c>
      <c r="H154" s="291" t="s">
        <v>740</v>
      </c>
      <c r="I154" s="301" t="s">
        <v>345</v>
      </c>
      <c r="J154" s="173"/>
      <c r="K154" s="173"/>
      <c r="L154" s="173"/>
      <c r="M154" s="173"/>
      <c r="N154" s="173"/>
      <c r="O154" s="173"/>
      <c r="P154" s="173"/>
      <c r="Q154" s="173"/>
      <c r="R154" s="173"/>
    </row>
    <row r="155" spans="1:18" ht="16.5" thickTop="1" thickBot="1" x14ac:dyDescent="0.3">
      <c r="A155" s="308"/>
      <c r="B155" s="152" t="s">
        <v>89</v>
      </c>
      <c r="C155" s="118">
        <v>1440</v>
      </c>
      <c r="D155" s="118">
        <v>143</v>
      </c>
      <c r="E155" s="118">
        <v>20</v>
      </c>
      <c r="F155" s="153"/>
      <c r="G155" s="244">
        <f>E155-F155</f>
        <v>20</v>
      </c>
      <c r="H155" s="292" t="s">
        <v>741</v>
      </c>
      <c r="I155" s="301"/>
      <c r="J155" s="173"/>
      <c r="K155" s="173"/>
      <c r="L155" s="173"/>
      <c r="M155" s="173"/>
      <c r="N155" s="173"/>
      <c r="O155" s="173"/>
      <c r="P155" s="173"/>
      <c r="Q155" s="173"/>
      <c r="R155" s="173"/>
    </row>
    <row r="156" spans="1:18" ht="16.5" thickTop="1" thickBot="1" x14ac:dyDescent="0.3">
      <c r="A156" s="308"/>
      <c r="B156" s="152" t="s">
        <v>21</v>
      </c>
      <c r="C156" s="152">
        <v>1440</v>
      </c>
      <c r="D156" s="152">
        <v>160</v>
      </c>
      <c r="E156" s="152">
        <v>50</v>
      </c>
      <c r="F156" s="152">
        <v>1</v>
      </c>
      <c r="G156" s="245">
        <f t="shared" si="5"/>
        <v>49</v>
      </c>
      <c r="H156" s="292" t="s">
        <v>742</v>
      </c>
      <c r="I156" s="301"/>
      <c r="J156" s="173"/>
      <c r="K156" s="173"/>
      <c r="L156" s="173"/>
      <c r="M156" s="173"/>
      <c r="N156" s="173"/>
      <c r="O156" s="173"/>
      <c r="P156" s="173"/>
      <c r="Q156" s="173"/>
      <c r="R156" s="173"/>
    </row>
    <row r="157" spans="1:18" ht="16.5" thickTop="1" thickBot="1" x14ac:dyDescent="0.3">
      <c r="A157" s="308"/>
      <c r="B157" s="152" t="s">
        <v>22</v>
      </c>
      <c r="C157" s="152">
        <v>1440</v>
      </c>
      <c r="D157" s="152">
        <v>192</v>
      </c>
      <c r="E157" s="152">
        <v>40</v>
      </c>
      <c r="F157" s="152"/>
      <c r="G157" s="245">
        <f t="shared" si="5"/>
        <v>40</v>
      </c>
      <c r="H157" s="292" t="s">
        <v>743</v>
      </c>
      <c r="I157" s="301"/>
      <c r="J157" s="173"/>
      <c r="K157" s="173"/>
      <c r="L157" s="173"/>
      <c r="M157" s="173"/>
      <c r="N157" s="173"/>
      <c r="O157" s="173"/>
      <c r="P157" s="173"/>
      <c r="Q157" s="173"/>
      <c r="R157" s="173"/>
    </row>
    <row r="158" spans="1:18" ht="16.5" thickTop="1" thickBot="1" x14ac:dyDescent="0.3">
      <c r="A158" s="308"/>
      <c r="B158" s="152" t="s">
        <v>18</v>
      </c>
      <c r="C158" s="152">
        <v>1440</v>
      </c>
      <c r="D158" s="152">
        <v>226</v>
      </c>
      <c r="E158" s="152">
        <v>34</v>
      </c>
      <c r="F158" s="152">
        <v>1</v>
      </c>
      <c r="G158" s="245">
        <f t="shared" si="5"/>
        <v>33</v>
      </c>
      <c r="H158" s="292" t="s">
        <v>744</v>
      </c>
      <c r="I158" s="301"/>
      <c r="J158" s="173"/>
      <c r="K158" s="173"/>
      <c r="L158" s="173"/>
      <c r="M158" s="173"/>
      <c r="N158" s="173"/>
      <c r="O158" s="173"/>
      <c r="P158" s="173"/>
      <c r="Q158" s="173"/>
      <c r="R158" s="173"/>
    </row>
    <row r="159" spans="1:18" ht="16.5" thickTop="1" thickBot="1" x14ac:dyDescent="0.3">
      <c r="A159" s="308"/>
      <c r="B159" s="152" t="s">
        <v>19</v>
      </c>
      <c r="C159" s="152">
        <v>1440</v>
      </c>
      <c r="D159" s="152">
        <v>281</v>
      </c>
      <c r="E159" s="152">
        <v>29</v>
      </c>
      <c r="F159" s="152"/>
      <c r="G159" s="245">
        <f t="shared" si="5"/>
        <v>29</v>
      </c>
      <c r="H159" s="292" t="s">
        <v>745</v>
      </c>
      <c r="I159" s="301"/>
      <c r="J159" s="173"/>
      <c r="K159" s="173"/>
      <c r="L159" s="173"/>
      <c r="M159" s="173"/>
      <c r="N159" s="173"/>
      <c r="O159" s="173"/>
      <c r="P159" s="173"/>
      <c r="Q159" s="173"/>
      <c r="R159" s="173"/>
    </row>
    <row r="160" spans="1:18" ht="16.5" thickTop="1" thickBot="1" x14ac:dyDescent="0.3">
      <c r="A160" s="308"/>
      <c r="B160" s="152" t="s">
        <v>0</v>
      </c>
      <c r="C160" s="152">
        <v>1440</v>
      </c>
      <c r="D160" s="152">
        <v>362</v>
      </c>
      <c r="E160" s="152">
        <v>39</v>
      </c>
      <c r="F160" s="152"/>
      <c r="G160" s="245">
        <f t="shared" si="5"/>
        <v>39</v>
      </c>
      <c r="H160" s="292" t="s">
        <v>746</v>
      </c>
      <c r="I160" s="301"/>
      <c r="J160" s="173"/>
      <c r="K160" s="173"/>
      <c r="L160" s="173"/>
      <c r="M160" s="173"/>
      <c r="N160" s="173"/>
      <c r="O160" s="173"/>
      <c r="P160" s="173"/>
      <c r="Q160" s="173"/>
      <c r="R160" s="173"/>
    </row>
    <row r="161" spans="1:18" ht="16.5" thickTop="1" thickBot="1" x14ac:dyDescent="0.3">
      <c r="A161" s="308"/>
      <c r="B161" s="152" t="s">
        <v>1</v>
      </c>
      <c r="C161" s="152">
        <v>1440</v>
      </c>
      <c r="D161" s="152">
        <v>583</v>
      </c>
      <c r="E161" s="152">
        <v>95</v>
      </c>
      <c r="F161" s="152"/>
      <c r="G161" s="245">
        <f t="shared" si="5"/>
        <v>95</v>
      </c>
      <c r="H161" s="292" t="s">
        <v>747</v>
      </c>
      <c r="I161" s="301"/>
      <c r="J161" s="173"/>
      <c r="K161" s="173"/>
      <c r="L161" s="173"/>
      <c r="M161" s="173"/>
      <c r="N161" s="173"/>
      <c r="O161" s="173"/>
      <c r="P161" s="173"/>
      <c r="Q161" s="173"/>
      <c r="R161" s="173"/>
    </row>
    <row r="162" spans="1:18" ht="16.5" thickTop="1" thickBot="1" x14ac:dyDescent="0.3">
      <c r="A162" s="309"/>
      <c r="B162" s="126" t="s">
        <v>2</v>
      </c>
      <c r="C162" s="126">
        <v>288</v>
      </c>
      <c r="D162" s="126">
        <v>332</v>
      </c>
      <c r="E162" s="126">
        <v>39</v>
      </c>
      <c r="F162" s="126"/>
      <c r="G162" s="246">
        <f t="shared" si="5"/>
        <v>39</v>
      </c>
      <c r="H162" s="295" t="s">
        <v>748</v>
      </c>
      <c r="I162" s="301"/>
      <c r="J162" s="173"/>
      <c r="K162" s="173"/>
      <c r="L162" s="173"/>
      <c r="M162" s="173"/>
      <c r="N162" s="173"/>
      <c r="O162" s="173"/>
      <c r="P162" s="173"/>
      <c r="Q162" s="173"/>
      <c r="R162" s="173"/>
    </row>
    <row r="163" spans="1:18" ht="16.5" thickTop="1" thickBot="1" x14ac:dyDescent="0.3">
      <c r="A163" s="307" t="s">
        <v>398</v>
      </c>
      <c r="B163" s="151" t="s">
        <v>90</v>
      </c>
      <c r="C163" s="151">
        <v>1440</v>
      </c>
      <c r="D163" s="151">
        <v>148</v>
      </c>
      <c r="E163" s="151">
        <v>100</v>
      </c>
      <c r="F163" s="151">
        <v>1</v>
      </c>
      <c r="G163" s="243">
        <f t="shared" si="5"/>
        <v>99</v>
      </c>
      <c r="H163" s="291" t="s">
        <v>749</v>
      </c>
      <c r="I163" s="301" t="s">
        <v>346</v>
      </c>
      <c r="J163" s="173"/>
      <c r="K163" s="173"/>
      <c r="L163" s="173"/>
      <c r="M163" s="173"/>
      <c r="N163" s="173"/>
      <c r="O163" s="173"/>
      <c r="P163" s="173"/>
      <c r="Q163" s="173"/>
      <c r="R163" s="173"/>
    </row>
    <row r="164" spans="1:18" ht="16.5" thickTop="1" thickBot="1" x14ac:dyDescent="0.3">
      <c r="A164" s="308"/>
      <c r="B164" s="152" t="s">
        <v>89</v>
      </c>
      <c r="C164" s="152">
        <v>1440</v>
      </c>
      <c r="D164" s="152">
        <v>148</v>
      </c>
      <c r="E164" s="152">
        <v>50</v>
      </c>
      <c r="F164" s="152"/>
      <c r="G164" s="245">
        <f t="shared" si="5"/>
        <v>50</v>
      </c>
      <c r="H164" s="292" t="s">
        <v>750</v>
      </c>
      <c r="I164" s="301"/>
      <c r="J164" s="173"/>
      <c r="K164" s="173"/>
      <c r="L164" s="173"/>
      <c r="M164" s="173"/>
      <c r="N164" s="173"/>
      <c r="O164" s="173"/>
      <c r="P164" s="173"/>
      <c r="Q164" s="173"/>
      <c r="R164" s="173"/>
    </row>
    <row r="165" spans="1:18" ht="16.5" thickTop="1" thickBot="1" x14ac:dyDescent="0.3">
      <c r="A165" s="308"/>
      <c r="B165" s="153" t="s">
        <v>21</v>
      </c>
      <c r="C165" s="153">
        <v>1440</v>
      </c>
      <c r="D165" s="153">
        <v>160</v>
      </c>
      <c r="E165" s="153">
        <v>50</v>
      </c>
      <c r="F165" s="153">
        <f>1+1+2+5+1+1</f>
        <v>11</v>
      </c>
      <c r="G165" s="244">
        <f>E165-F165</f>
        <v>39</v>
      </c>
      <c r="H165" s="292" t="s">
        <v>751</v>
      </c>
      <c r="I165" s="301"/>
      <c r="J165" s="173"/>
      <c r="K165" s="173"/>
      <c r="L165" s="173"/>
      <c r="M165" s="173"/>
      <c r="N165" s="173"/>
      <c r="O165" s="173"/>
      <c r="P165" s="173"/>
      <c r="Q165" s="173"/>
      <c r="R165" s="173"/>
    </row>
    <row r="166" spans="1:18" ht="16.5" thickTop="1" thickBot="1" x14ac:dyDescent="0.3">
      <c r="A166" s="308"/>
      <c r="B166" s="152" t="s">
        <v>22</v>
      </c>
      <c r="C166" s="152">
        <v>1440</v>
      </c>
      <c r="D166" s="152">
        <v>192</v>
      </c>
      <c r="E166" s="152">
        <v>37</v>
      </c>
      <c r="F166" s="152">
        <f>2+1+1+2+1+1</f>
        <v>8</v>
      </c>
      <c r="G166" s="245">
        <f>E166-F166</f>
        <v>29</v>
      </c>
      <c r="H166" s="292" t="s">
        <v>752</v>
      </c>
      <c r="I166" s="301"/>
      <c r="J166" s="173"/>
      <c r="K166" s="173"/>
      <c r="L166" s="173"/>
      <c r="M166" s="173"/>
      <c r="N166" s="173"/>
      <c r="O166" s="173"/>
      <c r="P166" s="173"/>
      <c r="Q166" s="173"/>
      <c r="R166" s="173"/>
    </row>
    <row r="167" spans="1:18" ht="16.5" thickTop="1" thickBot="1" x14ac:dyDescent="0.3">
      <c r="A167" s="308"/>
      <c r="B167" s="152" t="s">
        <v>18</v>
      </c>
      <c r="C167" s="152">
        <v>1440</v>
      </c>
      <c r="D167" s="152">
        <v>226</v>
      </c>
      <c r="E167" s="152">
        <v>34</v>
      </c>
      <c r="F167" s="152">
        <f>1+1+2+1</f>
        <v>5</v>
      </c>
      <c r="G167" s="245">
        <f t="shared" ref="G167:G176" si="6">E167-F167</f>
        <v>29</v>
      </c>
      <c r="H167" s="292" t="s">
        <v>753</v>
      </c>
      <c r="I167" s="301"/>
      <c r="J167" s="173"/>
      <c r="K167" s="173"/>
      <c r="L167" s="173"/>
      <c r="M167" s="173"/>
      <c r="N167" s="173"/>
      <c r="O167" s="173"/>
      <c r="P167" s="173"/>
      <c r="Q167" s="173"/>
      <c r="R167" s="173"/>
    </row>
    <row r="168" spans="1:18" ht="16.5" thickTop="1" thickBot="1" x14ac:dyDescent="0.3">
      <c r="A168" s="308"/>
      <c r="B168" s="152" t="s">
        <v>19</v>
      </c>
      <c r="C168" s="152">
        <v>1440</v>
      </c>
      <c r="D168" s="152">
        <v>281</v>
      </c>
      <c r="E168" s="152">
        <v>30</v>
      </c>
      <c r="F168" s="152"/>
      <c r="G168" s="245">
        <f t="shared" si="6"/>
        <v>30</v>
      </c>
      <c r="H168" s="292" t="s">
        <v>754</v>
      </c>
      <c r="I168" s="301"/>
      <c r="J168" s="173"/>
      <c r="K168" s="173"/>
      <c r="L168" s="173"/>
      <c r="M168" s="173"/>
      <c r="N168" s="173"/>
      <c r="O168" s="173"/>
      <c r="P168" s="173"/>
      <c r="Q168" s="173"/>
      <c r="R168" s="173"/>
    </row>
    <row r="169" spans="1:18" ht="16.5" thickTop="1" thickBot="1" x14ac:dyDescent="0.3">
      <c r="A169" s="308"/>
      <c r="B169" s="152" t="s">
        <v>0</v>
      </c>
      <c r="C169" s="152">
        <v>1440</v>
      </c>
      <c r="D169" s="152">
        <v>362</v>
      </c>
      <c r="E169" s="152">
        <v>50</v>
      </c>
      <c r="F169" s="152">
        <f>1+1</f>
        <v>2</v>
      </c>
      <c r="G169" s="245">
        <f t="shared" si="6"/>
        <v>48</v>
      </c>
      <c r="H169" s="292" t="s">
        <v>755</v>
      </c>
      <c r="I169" s="301"/>
      <c r="J169" s="173"/>
      <c r="K169" s="173"/>
      <c r="L169" s="173"/>
      <c r="M169" s="173"/>
      <c r="N169" s="173"/>
      <c r="O169" s="173"/>
      <c r="P169" s="173"/>
      <c r="Q169" s="173"/>
      <c r="R169" s="173"/>
    </row>
    <row r="170" spans="1:18" ht="16.5" thickTop="1" thickBot="1" x14ac:dyDescent="0.3">
      <c r="A170" s="308"/>
      <c r="B170" s="152" t="s">
        <v>1</v>
      </c>
      <c r="C170" s="152">
        <v>1440</v>
      </c>
      <c r="D170" s="152">
        <v>583</v>
      </c>
      <c r="E170" s="152">
        <v>90</v>
      </c>
      <c r="F170" s="152">
        <f>1+1</f>
        <v>2</v>
      </c>
      <c r="G170" s="245">
        <f t="shared" si="6"/>
        <v>88</v>
      </c>
      <c r="H170" s="292" t="s">
        <v>756</v>
      </c>
      <c r="I170" s="301"/>
      <c r="J170" s="173"/>
      <c r="K170" s="173"/>
      <c r="L170" s="173"/>
      <c r="M170" s="173"/>
      <c r="N170" s="173"/>
      <c r="O170" s="173"/>
      <c r="P170" s="173"/>
      <c r="Q170" s="173"/>
      <c r="R170" s="173"/>
    </row>
    <row r="171" spans="1:18" ht="16.5" thickTop="1" thickBot="1" x14ac:dyDescent="0.3">
      <c r="A171" s="308"/>
      <c r="B171" s="152" t="s">
        <v>2</v>
      </c>
      <c r="C171" s="152">
        <v>288</v>
      </c>
      <c r="D171" s="152">
        <v>332</v>
      </c>
      <c r="E171" s="152">
        <v>50</v>
      </c>
      <c r="F171" s="152">
        <v>1</v>
      </c>
      <c r="G171" s="245">
        <f t="shared" si="6"/>
        <v>49</v>
      </c>
      <c r="H171" s="292" t="s">
        <v>757</v>
      </c>
      <c r="I171" s="301"/>
      <c r="J171" s="173"/>
      <c r="K171" s="173"/>
      <c r="L171" s="173"/>
      <c r="M171" s="173"/>
      <c r="N171" s="173"/>
      <c r="O171" s="173"/>
      <c r="P171" s="173"/>
      <c r="Q171" s="173"/>
      <c r="R171" s="173"/>
    </row>
    <row r="172" spans="1:18" ht="16.5" thickTop="1" thickBot="1" x14ac:dyDescent="0.3">
      <c r="A172" s="308"/>
      <c r="B172" s="152" t="s">
        <v>5</v>
      </c>
      <c r="C172" s="152">
        <v>144</v>
      </c>
      <c r="D172" s="152">
        <v>856</v>
      </c>
      <c r="E172" s="152">
        <v>49</v>
      </c>
      <c r="F172" s="152">
        <v>2</v>
      </c>
      <c r="G172" s="245">
        <f t="shared" si="6"/>
        <v>47</v>
      </c>
      <c r="H172" s="292" t="s">
        <v>758</v>
      </c>
      <c r="I172" s="301"/>
      <c r="J172" s="173"/>
      <c r="K172" s="173"/>
      <c r="L172" s="173"/>
      <c r="M172" s="173"/>
      <c r="N172" s="173"/>
      <c r="O172" s="173"/>
      <c r="P172" s="173"/>
      <c r="Q172" s="173"/>
      <c r="R172" s="173"/>
    </row>
    <row r="173" spans="1:18" ht="16.5" thickTop="1" thickBot="1" x14ac:dyDescent="0.3">
      <c r="A173" s="309"/>
      <c r="B173" s="126" t="s">
        <v>20</v>
      </c>
      <c r="C173" s="126">
        <v>144</v>
      </c>
      <c r="D173" s="126">
        <v>856</v>
      </c>
      <c r="E173" s="126">
        <v>19</v>
      </c>
      <c r="F173" s="126"/>
      <c r="G173" s="247">
        <f t="shared" si="6"/>
        <v>19</v>
      </c>
      <c r="H173" s="295" t="s">
        <v>759</v>
      </c>
      <c r="I173" s="301"/>
      <c r="J173" s="173"/>
      <c r="K173" s="173"/>
      <c r="L173" s="173"/>
      <c r="M173" s="173"/>
      <c r="N173" s="173"/>
      <c r="O173" s="173"/>
      <c r="P173" s="173"/>
      <c r="Q173" s="173"/>
      <c r="R173" s="173"/>
    </row>
    <row r="174" spans="1:18" ht="16.5" thickTop="1" thickBot="1" x14ac:dyDescent="0.3">
      <c r="A174" s="307" t="s">
        <v>10</v>
      </c>
      <c r="B174" s="151" t="s">
        <v>90</v>
      </c>
      <c r="C174" s="151">
        <v>1440</v>
      </c>
      <c r="D174" s="30">
        <v>148</v>
      </c>
      <c r="E174" s="151">
        <v>50</v>
      </c>
      <c r="F174" s="153">
        <f>1+1+3+1</f>
        <v>6</v>
      </c>
      <c r="G174" s="243">
        <f t="shared" si="6"/>
        <v>44</v>
      </c>
      <c r="H174" s="291" t="s">
        <v>760</v>
      </c>
      <c r="I174" s="301" t="s">
        <v>347</v>
      </c>
      <c r="J174" s="173"/>
      <c r="K174" s="173"/>
      <c r="L174" s="173"/>
      <c r="M174" s="173"/>
      <c r="N174" s="173"/>
      <c r="O174" s="173"/>
      <c r="P174" s="173"/>
      <c r="Q174" s="173"/>
      <c r="R174" s="173"/>
    </row>
    <row r="175" spans="1:18" ht="16.5" thickTop="1" thickBot="1" x14ac:dyDescent="0.3">
      <c r="A175" s="308"/>
      <c r="B175" s="83" t="s">
        <v>89</v>
      </c>
      <c r="C175" s="145">
        <v>1440</v>
      </c>
      <c r="D175" s="145">
        <v>148</v>
      </c>
      <c r="E175" s="145">
        <v>20</v>
      </c>
      <c r="F175" s="153"/>
      <c r="G175" s="244">
        <f>E175-F175</f>
        <v>20</v>
      </c>
      <c r="H175" s="292" t="s">
        <v>761</v>
      </c>
      <c r="I175" s="301"/>
      <c r="J175" s="173"/>
      <c r="K175" s="173"/>
      <c r="L175" s="173"/>
      <c r="M175" s="173"/>
      <c r="N175" s="173"/>
      <c r="O175" s="173"/>
      <c r="P175" s="173"/>
      <c r="Q175" s="173"/>
      <c r="R175" s="173"/>
    </row>
    <row r="176" spans="1:18" ht="16.5" thickTop="1" thickBot="1" x14ac:dyDescent="0.3">
      <c r="A176" s="308"/>
      <c r="B176" s="152" t="s">
        <v>22</v>
      </c>
      <c r="C176" s="152">
        <v>1440</v>
      </c>
      <c r="D176" s="27">
        <v>192.44444444444446</v>
      </c>
      <c r="E176" s="152">
        <v>38</v>
      </c>
      <c r="F176" s="152">
        <f>2+2+1+2+2+1+3+1</f>
        <v>14</v>
      </c>
      <c r="G176" s="245">
        <f t="shared" si="6"/>
        <v>24</v>
      </c>
      <c r="H176" s="292" t="s">
        <v>762</v>
      </c>
      <c r="I176" s="301"/>
      <c r="J176" s="173"/>
      <c r="K176" s="173"/>
      <c r="L176" s="173"/>
      <c r="M176" s="173"/>
      <c r="N176" s="173"/>
      <c r="O176" s="173"/>
      <c r="P176" s="173"/>
      <c r="Q176" s="173"/>
      <c r="R176" s="173"/>
    </row>
    <row r="177" spans="1:18" ht="16.5" thickTop="1" thickBot="1" x14ac:dyDescent="0.3">
      <c r="A177" s="308"/>
      <c r="B177" s="152" t="s">
        <v>18</v>
      </c>
      <c r="C177" s="152">
        <v>1440</v>
      </c>
      <c r="D177" s="27">
        <v>225.5</v>
      </c>
      <c r="E177" s="152">
        <v>33</v>
      </c>
      <c r="F177" s="152">
        <f>1+3</f>
        <v>4</v>
      </c>
      <c r="G177" s="245">
        <f t="shared" si="5"/>
        <v>29</v>
      </c>
      <c r="H177" s="292" t="s">
        <v>763</v>
      </c>
      <c r="I177" s="301"/>
      <c r="J177" s="173"/>
      <c r="K177" s="173"/>
      <c r="L177" s="173"/>
      <c r="M177" s="173"/>
      <c r="N177" s="173"/>
      <c r="O177" s="173"/>
      <c r="P177" s="173"/>
      <c r="Q177" s="173"/>
      <c r="R177" s="173"/>
    </row>
    <row r="178" spans="1:18" ht="16.5" thickTop="1" thickBot="1" x14ac:dyDescent="0.3">
      <c r="A178" s="308"/>
      <c r="B178" s="152" t="s">
        <v>19</v>
      </c>
      <c r="C178" s="152">
        <v>1440</v>
      </c>
      <c r="D178" s="27">
        <v>281.22222222222223</v>
      </c>
      <c r="E178" s="152">
        <v>29</v>
      </c>
      <c r="F178" s="152">
        <v>1</v>
      </c>
      <c r="G178" s="245">
        <f t="shared" si="5"/>
        <v>28</v>
      </c>
      <c r="H178" s="292" t="s">
        <v>764</v>
      </c>
      <c r="I178" s="301"/>
      <c r="J178" s="173"/>
      <c r="K178" s="173"/>
      <c r="L178" s="173"/>
      <c r="M178" s="173"/>
      <c r="N178" s="173"/>
      <c r="O178" s="173"/>
      <c r="P178" s="173"/>
      <c r="Q178" s="173"/>
      <c r="R178" s="173"/>
    </row>
    <row r="179" spans="1:18" ht="16.5" thickTop="1" thickBot="1" x14ac:dyDescent="0.3">
      <c r="A179" s="308"/>
      <c r="B179" s="152" t="s">
        <v>0</v>
      </c>
      <c r="C179" s="152">
        <v>1440</v>
      </c>
      <c r="D179" s="27">
        <v>361.49999999999994</v>
      </c>
      <c r="E179" s="152">
        <v>40</v>
      </c>
      <c r="F179" s="152">
        <f>1+1+1</f>
        <v>3</v>
      </c>
      <c r="G179" s="245">
        <f t="shared" si="5"/>
        <v>37</v>
      </c>
      <c r="H179" s="292" t="s">
        <v>765</v>
      </c>
      <c r="I179" s="301"/>
      <c r="J179" s="173"/>
      <c r="K179" s="173"/>
      <c r="L179" s="173"/>
      <c r="M179" s="173"/>
      <c r="N179" s="173"/>
      <c r="O179" s="173"/>
      <c r="P179" s="173"/>
      <c r="Q179" s="173"/>
      <c r="R179" s="173"/>
    </row>
    <row r="180" spans="1:18" ht="16.5" thickTop="1" thickBot="1" x14ac:dyDescent="0.3">
      <c r="A180" s="308"/>
      <c r="B180" s="152" t="s">
        <v>1</v>
      </c>
      <c r="C180" s="152">
        <v>1440</v>
      </c>
      <c r="D180" s="27">
        <v>582.5</v>
      </c>
      <c r="E180" s="152">
        <v>95</v>
      </c>
      <c r="F180" s="152">
        <v>1</v>
      </c>
      <c r="G180" s="245">
        <f t="shared" si="5"/>
        <v>94</v>
      </c>
      <c r="H180" s="292" t="s">
        <v>766</v>
      </c>
      <c r="I180" s="301"/>
      <c r="J180" s="173"/>
      <c r="K180" s="173"/>
      <c r="L180" s="173"/>
      <c r="M180" s="173"/>
      <c r="N180" s="173"/>
      <c r="O180" s="173"/>
      <c r="P180" s="173"/>
      <c r="Q180" s="173"/>
      <c r="R180" s="173"/>
    </row>
    <row r="181" spans="1:18" ht="16.5" thickTop="1" thickBot="1" x14ac:dyDescent="0.3">
      <c r="A181" s="308"/>
      <c r="B181" s="152" t="s">
        <v>2</v>
      </c>
      <c r="C181" s="152">
        <v>288</v>
      </c>
      <c r="D181" s="27">
        <v>332.22222222222223</v>
      </c>
      <c r="E181" s="152">
        <v>40</v>
      </c>
      <c r="F181" s="152"/>
      <c r="G181" s="245">
        <f t="shared" si="5"/>
        <v>40</v>
      </c>
      <c r="H181" s="292" t="s">
        <v>767</v>
      </c>
      <c r="I181" s="301"/>
      <c r="J181" s="173"/>
      <c r="K181" s="173"/>
      <c r="L181" s="173"/>
      <c r="M181" s="173"/>
      <c r="N181" s="173"/>
      <c r="O181" s="173"/>
      <c r="P181" s="173"/>
      <c r="Q181" s="173"/>
      <c r="R181" s="173"/>
    </row>
    <row r="182" spans="1:18" ht="16.5" thickTop="1" thickBot="1" x14ac:dyDescent="0.3">
      <c r="A182" s="309"/>
      <c r="B182" s="126" t="s">
        <v>5</v>
      </c>
      <c r="C182" s="126">
        <v>144</v>
      </c>
      <c r="D182" s="28">
        <v>856.38888888888891</v>
      </c>
      <c r="E182" s="126">
        <v>97</v>
      </c>
      <c r="F182" s="126">
        <v>1</v>
      </c>
      <c r="G182" s="246">
        <f t="shared" si="5"/>
        <v>96</v>
      </c>
      <c r="H182" s="295" t="s">
        <v>768</v>
      </c>
      <c r="I182" s="301"/>
      <c r="J182" s="173"/>
      <c r="K182" s="173"/>
      <c r="L182" s="173"/>
      <c r="M182" s="173"/>
      <c r="N182" s="173"/>
      <c r="O182" s="173"/>
      <c r="P182" s="173"/>
      <c r="Q182" s="173"/>
      <c r="R182" s="173"/>
    </row>
    <row r="183" spans="1:18" ht="16.5" thickTop="1" thickBot="1" x14ac:dyDescent="0.3">
      <c r="A183" s="313" t="s">
        <v>148</v>
      </c>
      <c r="B183" s="151" t="s">
        <v>90</v>
      </c>
      <c r="C183" s="151">
        <v>1440</v>
      </c>
      <c r="D183" s="151">
        <v>148</v>
      </c>
      <c r="E183" s="151">
        <v>99</v>
      </c>
      <c r="F183" s="151"/>
      <c r="G183" s="243">
        <f t="shared" ref="G183:G184" si="7">E183-F183</f>
        <v>99</v>
      </c>
      <c r="H183" s="291" t="s">
        <v>769</v>
      </c>
      <c r="I183" s="301" t="s">
        <v>348</v>
      </c>
      <c r="J183" s="173"/>
      <c r="K183" s="173"/>
      <c r="L183" s="173"/>
      <c r="M183" s="173"/>
      <c r="N183" s="173"/>
      <c r="O183" s="173"/>
      <c r="P183" s="173"/>
      <c r="Q183" s="173"/>
      <c r="R183" s="173"/>
    </row>
    <row r="184" spans="1:18" ht="16.5" thickTop="1" thickBot="1" x14ac:dyDescent="0.3">
      <c r="A184" s="314"/>
      <c r="B184" s="152" t="s">
        <v>89</v>
      </c>
      <c r="C184" s="152">
        <v>1440</v>
      </c>
      <c r="D184" s="152">
        <v>148</v>
      </c>
      <c r="E184" s="152">
        <f>50+20</f>
        <v>70</v>
      </c>
      <c r="F184" s="152"/>
      <c r="G184" s="245">
        <f t="shared" si="7"/>
        <v>70</v>
      </c>
      <c r="H184" s="292" t="s">
        <v>770</v>
      </c>
      <c r="I184" s="301"/>
      <c r="J184" s="173"/>
      <c r="K184" s="173"/>
      <c r="L184" s="173"/>
      <c r="M184" s="173"/>
      <c r="N184" s="173"/>
      <c r="O184" s="173"/>
      <c r="P184" s="173"/>
      <c r="Q184" s="173"/>
      <c r="R184" s="173"/>
    </row>
    <row r="185" spans="1:18" ht="16.5" thickTop="1" thickBot="1" x14ac:dyDescent="0.3">
      <c r="A185" s="314"/>
      <c r="B185" s="152" t="s">
        <v>21</v>
      </c>
      <c r="C185" s="152">
        <v>1440</v>
      </c>
      <c r="D185" s="152">
        <v>160</v>
      </c>
      <c r="E185" s="152">
        <v>44</v>
      </c>
      <c r="F185" s="152">
        <f>1+1+1+1+1+1</f>
        <v>6</v>
      </c>
      <c r="G185" s="245">
        <f t="shared" si="5"/>
        <v>38</v>
      </c>
      <c r="H185" s="292" t="s">
        <v>771</v>
      </c>
      <c r="I185" s="301"/>
      <c r="J185" s="173"/>
      <c r="K185" s="173"/>
      <c r="L185" s="173"/>
      <c r="M185" s="173"/>
      <c r="N185" s="173"/>
      <c r="O185" s="173"/>
      <c r="P185" s="173"/>
      <c r="Q185" s="173"/>
      <c r="R185" s="173"/>
    </row>
    <row r="186" spans="1:18" ht="16.5" thickTop="1" thickBot="1" x14ac:dyDescent="0.3">
      <c r="A186" s="314"/>
      <c r="B186" s="152" t="s">
        <v>22</v>
      </c>
      <c r="C186" s="152">
        <v>1440</v>
      </c>
      <c r="D186" s="152">
        <v>192</v>
      </c>
      <c r="E186" s="152">
        <v>39</v>
      </c>
      <c r="F186" s="152">
        <f>1+1+1+1</f>
        <v>4</v>
      </c>
      <c r="G186" s="245">
        <f t="shared" si="5"/>
        <v>35</v>
      </c>
      <c r="H186" s="292" t="s">
        <v>772</v>
      </c>
      <c r="I186" s="301"/>
      <c r="J186" s="173"/>
      <c r="K186" s="173"/>
      <c r="L186" s="173"/>
      <c r="M186" s="173"/>
      <c r="N186" s="173"/>
      <c r="O186" s="173"/>
      <c r="P186" s="173"/>
      <c r="Q186" s="173"/>
      <c r="R186" s="173"/>
    </row>
    <row r="187" spans="1:18" ht="16.5" thickTop="1" thickBot="1" x14ac:dyDescent="0.3">
      <c r="A187" s="314"/>
      <c r="B187" s="152" t="s">
        <v>18</v>
      </c>
      <c r="C187" s="152">
        <v>1440</v>
      </c>
      <c r="D187" s="152">
        <v>226</v>
      </c>
      <c r="E187" s="152">
        <v>35</v>
      </c>
      <c r="F187" s="152">
        <f>2+1</f>
        <v>3</v>
      </c>
      <c r="G187" s="245">
        <f t="shared" si="5"/>
        <v>32</v>
      </c>
      <c r="H187" s="292" t="s">
        <v>773</v>
      </c>
      <c r="I187" s="301"/>
      <c r="J187" s="173"/>
      <c r="K187" s="173"/>
      <c r="L187" s="173"/>
      <c r="M187" s="173"/>
      <c r="N187" s="173"/>
      <c r="O187" s="173"/>
      <c r="P187" s="173"/>
      <c r="Q187" s="173"/>
      <c r="R187" s="173"/>
    </row>
    <row r="188" spans="1:18" ht="16.5" thickTop="1" thickBot="1" x14ac:dyDescent="0.3">
      <c r="A188" s="314"/>
      <c r="B188" s="152" t="s">
        <v>0</v>
      </c>
      <c r="C188" s="152">
        <v>1440</v>
      </c>
      <c r="D188" s="152">
        <v>362</v>
      </c>
      <c r="E188" s="152">
        <v>40</v>
      </c>
      <c r="F188" s="152">
        <v>1</v>
      </c>
      <c r="G188" s="245">
        <f t="shared" si="5"/>
        <v>39</v>
      </c>
      <c r="H188" s="292" t="s">
        <v>774</v>
      </c>
      <c r="I188" s="301"/>
      <c r="J188" s="173"/>
      <c r="K188" s="173"/>
      <c r="L188" s="173"/>
      <c r="M188" s="173"/>
      <c r="N188" s="173"/>
      <c r="O188" s="173"/>
      <c r="P188" s="173"/>
      <c r="Q188" s="173"/>
      <c r="R188" s="173"/>
    </row>
    <row r="189" spans="1:18" ht="16.5" thickTop="1" thickBot="1" x14ac:dyDescent="0.3">
      <c r="A189" s="314"/>
      <c r="B189" s="152" t="s">
        <v>1</v>
      </c>
      <c r="C189" s="152">
        <v>1440</v>
      </c>
      <c r="D189" s="152">
        <v>583</v>
      </c>
      <c r="E189" s="152">
        <v>91</v>
      </c>
      <c r="F189" s="152">
        <v>1</v>
      </c>
      <c r="G189" s="245">
        <f t="shared" si="5"/>
        <v>90</v>
      </c>
      <c r="H189" s="292" t="s">
        <v>775</v>
      </c>
      <c r="I189" s="301"/>
      <c r="J189" s="173"/>
      <c r="K189" s="173"/>
      <c r="L189" s="173"/>
      <c r="M189" s="173"/>
      <c r="N189" s="173"/>
      <c r="O189" s="173"/>
      <c r="P189" s="173"/>
      <c r="Q189" s="173"/>
      <c r="R189" s="173"/>
    </row>
    <row r="190" spans="1:18" ht="16.5" thickTop="1" thickBot="1" x14ac:dyDescent="0.3">
      <c r="A190" s="314"/>
      <c r="B190" s="152" t="s">
        <v>2</v>
      </c>
      <c r="C190" s="152">
        <v>288</v>
      </c>
      <c r="D190" s="152">
        <v>332</v>
      </c>
      <c r="E190" s="152">
        <v>40</v>
      </c>
      <c r="F190" s="152">
        <v>1</v>
      </c>
      <c r="G190" s="245">
        <f t="shared" si="5"/>
        <v>39</v>
      </c>
      <c r="H190" s="292" t="s">
        <v>776</v>
      </c>
      <c r="I190" s="301"/>
      <c r="J190" s="173"/>
      <c r="K190" s="173"/>
      <c r="L190" s="173"/>
      <c r="M190" s="173"/>
      <c r="N190" s="173"/>
      <c r="O190" s="173"/>
      <c r="P190" s="173"/>
      <c r="Q190" s="173"/>
      <c r="R190" s="173"/>
    </row>
    <row r="191" spans="1:18" ht="16.5" thickTop="1" thickBot="1" x14ac:dyDescent="0.3">
      <c r="A191" s="314"/>
      <c r="B191" s="152" t="s">
        <v>5</v>
      </c>
      <c r="C191" s="152">
        <v>144</v>
      </c>
      <c r="D191" s="152">
        <v>856</v>
      </c>
      <c r="E191" s="152">
        <v>82</v>
      </c>
      <c r="F191" s="152"/>
      <c r="G191" s="245">
        <f>E191-F191</f>
        <v>82</v>
      </c>
      <c r="H191" s="292" t="s">
        <v>777</v>
      </c>
      <c r="I191" s="301"/>
      <c r="J191" s="173"/>
      <c r="K191" s="173"/>
      <c r="L191" s="173"/>
      <c r="M191" s="173"/>
      <c r="N191" s="173"/>
      <c r="O191" s="173"/>
      <c r="P191" s="173"/>
      <c r="Q191" s="173"/>
      <c r="R191" s="173"/>
    </row>
    <row r="192" spans="1:18" ht="16.5" thickTop="1" thickBot="1" x14ac:dyDescent="0.3">
      <c r="A192" s="314"/>
      <c r="B192" s="152" t="s">
        <v>20</v>
      </c>
      <c r="C192" s="152">
        <v>144</v>
      </c>
      <c r="D192" s="154">
        <v>856</v>
      </c>
      <c r="E192" s="152">
        <v>19</v>
      </c>
      <c r="F192" s="152"/>
      <c r="G192" s="245">
        <f t="shared" si="5"/>
        <v>19</v>
      </c>
      <c r="H192" s="295" t="s">
        <v>778</v>
      </c>
      <c r="I192" s="301"/>
      <c r="J192" s="173"/>
      <c r="K192" s="173"/>
      <c r="L192" s="173"/>
      <c r="M192" s="173"/>
      <c r="N192" s="173"/>
      <c r="O192" s="173"/>
      <c r="P192" s="173"/>
      <c r="Q192" s="173"/>
      <c r="R192" s="173"/>
    </row>
    <row r="193" spans="1:18" ht="16.5" thickTop="1" thickBot="1" x14ac:dyDescent="0.3">
      <c r="A193" s="307" t="s">
        <v>7</v>
      </c>
      <c r="B193" s="151" t="s">
        <v>90</v>
      </c>
      <c r="C193" s="151">
        <v>1440</v>
      </c>
      <c r="D193" s="151">
        <v>148</v>
      </c>
      <c r="E193" s="151">
        <v>50</v>
      </c>
      <c r="F193" s="151">
        <f>2+1</f>
        <v>3</v>
      </c>
      <c r="G193" s="243">
        <f>E193-F193</f>
        <v>47</v>
      </c>
      <c r="H193" s="291" t="s">
        <v>779</v>
      </c>
      <c r="I193" s="301" t="s">
        <v>349</v>
      </c>
      <c r="J193" s="173"/>
      <c r="K193" s="173"/>
      <c r="L193" s="173"/>
      <c r="M193" s="173"/>
      <c r="N193" s="173"/>
      <c r="O193" s="173"/>
      <c r="P193" s="173"/>
      <c r="Q193" s="173"/>
      <c r="R193" s="173"/>
    </row>
    <row r="194" spans="1:18" ht="16.5" thickTop="1" thickBot="1" x14ac:dyDescent="0.3">
      <c r="A194" s="308"/>
      <c r="B194" s="152" t="s">
        <v>89</v>
      </c>
      <c r="C194" s="152">
        <v>1440</v>
      </c>
      <c r="D194" s="152">
        <v>160</v>
      </c>
      <c r="E194" s="152">
        <v>40</v>
      </c>
      <c r="F194" s="152"/>
      <c r="G194" s="245">
        <f>E194-F194</f>
        <v>40</v>
      </c>
      <c r="H194" s="292" t="s">
        <v>780</v>
      </c>
      <c r="I194" s="301"/>
      <c r="J194" s="173"/>
      <c r="K194" s="173"/>
      <c r="L194" s="173"/>
      <c r="M194" s="173"/>
      <c r="N194" s="173"/>
      <c r="O194" s="173"/>
      <c r="P194" s="173"/>
      <c r="Q194" s="173"/>
      <c r="R194" s="173"/>
    </row>
    <row r="195" spans="1:18" ht="16.5" thickTop="1" thickBot="1" x14ac:dyDescent="0.3">
      <c r="A195" s="308"/>
      <c r="B195" s="153" t="s">
        <v>21</v>
      </c>
      <c r="C195" s="153">
        <v>1440</v>
      </c>
      <c r="D195" s="153">
        <v>160</v>
      </c>
      <c r="E195" s="153">
        <f>11+34+50</f>
        <v>95</v>
      </c>
      <c r="F195" s="153">
        <f>2+5+1+1+3+1+1+1+1+1+1</f>
        <v>18</v>
      </c>
      <c r="G195" s="244">
        <f t="shared" si="5"/>
        <v>77</v>
      </c>
      <c r="H195" s="292" t="s">
        <v>781</v>
      </c>
      <c r="I195" s="301"/>
      <c r="J195" s="173"/>
      <c r="K195" s="173"/>
      <c r="L195" s="173"/>
      <c r="M195" s="173"/>
      <c r="N195" s="173"/>
      <c r="O195" s="173"/>
      <c r="P195" s="173"/>
      <c r="Q195" s="173"/>
      <c r="R195" s="173"/>
    </row>
    <row r="196" spans="1:18" ht="16.5" thickTop="1" thickBot="1" x14ac:dyDescent="0.3">
      <c r="A196" s="308"/>
      <c r="B196" s="153" t="s">
        <v>22</v>
      </c>
      <c r="C196" s="153">
        <v>1440</v>
      </c>
      <c r="D196" s="153">
        <v>192</v>
      </c>
      <c r="E196" s="153">
        <f>30+30+40</f>
        <v>100</v>
      </c>
      <c r="F196" s="152">
        <f>1+4+2+1+1+1+1+1</f>
        <v>12</v>
      </c>
      <c r="G196" s="245">
        <f t="shared" si="5"/>
        <v>88</v>
      </c>
      <c r="H196" s="292" t="s">
        <v>782</v>
      </c>
      <c r="I196" s="301"/>
      <c r="J196" s="173"/>
      <c r="K196" s="173"/>
      <c r="L196" s="173"/>
      <c r="M196" s="173"/>
      <c r="N196" s="173"/>
      <c r="O196" s="173"/>
      <c r="P196" s="173"/>
      <c r="Q196" s="173"/>
      <c r="R196" s="173"/>
    </row>
    <row r="197" spans="1:18" ht="16.5" thickTop="1" thickBot="1" x14ac:dyDescent="0.3">
      <c r="A197" s="308"/>
      <c r="B197" s="153" t="s">
        <v>18</v>
      </c>
      <c r="C197" s="153">
        <v>1440</v>
      </c>
      <c r="D197" s="153">
        <v>226</v>
      </c>
      <c r="E197" s="153">
        <v>34</v>
      </c>
      <c r="F197" s="152">
        <f>1+1+5</f>
        <v>7</v>
      </c>
      <c r="G197" s="245">
        <f t="shared" si="5"/>
        <v>27</v>
      </c>
      <c r="H197" s="292" t="s">
        <v>783</v>
      </c>
      <c r="I197" s="301"/>
      <c r="J197" s="173"/>
      <c r="K197" s="173"/>
      <c r="L197" s="173"/>
      <c r="M197" s="173"/>
      <c r="N197" s="173"/>
      <c r="O197" s="173"/>
      <c r="P197" s="173"/>
      <c r="Q197" s="173"/>
      <c r="R197" s="173"/>
    </row>
    <row r="198" spans="1:18" ht="16.5" thickTop="1" thickBot="1" x14ac:dyDescent="0.3">
      <c r="A198" s="308"/>
      <c r="B198" s="153" t="s">
        <v>19</v>
      </c>
      <c r="C198" s="153">
        <v>1440</v>
      </c>
      <c r="D198" s="153">
        <v>281</v>
      </c>
      <c r="E198" s="153">
        <v>30</v>
      </c>
      <c r="F198" s="152">
        <f>1+1+1+1+1</f>
        <v>5</v>
      </c>
      <c r="G198" s="245">
        <f t="shared" si="5"/>
        <v>25</v>
      </c>
      <c r="H198" s="292" t="s">
        <v>784</v>
      </c>
      <c r="I198" s="301"/>
      <c r="J198" s="173"/>
      <c r="K198" s="173"/>
      <c r="L198" s="173"/>
      <c r="M198" s="173"/>
      <c r="N198" s="173"/>
      <c r="O198" s="173"/>
      <c r="P198" s="173"/>
      <c r="Q198" s="173"/>
      <c r="R198" s="173"/>
    </row>
    <row r="199" spans="1:18" ht="16.5" thickTop="1" thickBot="1" x14ac:dyDescent="0.3">
      <c r="A199" s="308"/>
      <c r="B199" s="153" t="s">
        <v>0</v>
      </c>
      <c r="C199" s="153">
        <v>1440</v>
      </c>
      <c r="D199" s="153">
        <v>362</v>
      </c>
      <c r="E199" s="153">
        <v>50</v>
      </c>
      <c r="F199" s="152">
        <f>1+1+1+1+1+1</f>
        <v>6</v>
      </c>
      <c r="G199" s="245">
        <f t="shared" si="5"/>
        <v>44</v>
      </c>
      <c r="H199" s="292" t="s">
        <v>785</v>
      </c>
      <c r="I199" s="301"/>
      <c r="J199" s="173"/>
      <c r="K199" s="173"/>
      <c r="L199" s="173"/>
      <c r="M199" s="173"/>
      <c r="N199" s="173"/>
      <c r="O199" s="173"/>
      <c r="P199" s="173"/>
      <c r="Q199" s="173"/>
      <c r="R199" s="173"/>
    </row>
    <row r="200" spans="1:18" ht="16.5" thickTop="1" thickBot="1" x14ac:dyDescent="0.3">
      <c r="A200" s="308"/>
      <c r="B200" s="153" t="s">
        <v>1</v>
      </c>
      <c r="C200" s="153">
        <v>1440</v>
      </c>
      <c r="D200" s="153">
        <v>583</v>
      </c>
      <c r="E200" s="153">
        <v>79</v>
      </c>
      <c r="F200" s="152">
        <f>1+1+1+1+1</f>
        <v>5</v>
      </c>
      <c r="G200" s="245">
        <f t="shared" si="5"/>
        <v>74</v>
      </c>
      <c r="H200" s="292" t="s">
        <v>786</v>
      </c>
      <c r="I200" s="301"/>
      <c r="J200" s="173"/>
      <c r="K200" s="173"/>
      <c r="L200" s="173"/>
      <c r="M200" s="173"/>
      <c r="N200" s="173"/>
      <c r="O200" s="173"/>
      <c r="P200" s="173"/>
      <c r="Q200" s="173"/>
      <c r="R200" s="173"/>
    </row>
    <row r="201" spans="1:18" ht="16.5" thickTop="1" thickBot="1" x14ac:dyDescent="0.3">
      <c r="A201" s="308"/>
      <c r="B201" s="153" t="s">
        <v>2</v>
      </c>
      <c r="C201" s="153">
        <v>288</v>
      </c>
      <c r="D201" s="153">
        <v>332</v>
      </c>
      <c r="E201" s="153">
        <v>50</v>
      </c>
      <c r="F201" s="152">
        <f>1+1+1+1</f>
        <v>4</v>
      </c>
      <c r="G201" s="245">
        <f t="shared" si="5"/>
        <v>46</v>
      </c>
      <c r="H201" s="295" t="s">
        <v>787</v>
      </c>
      <c r="I201" s="301"/>
      <c r="J201" s="173"/>
      <c r="K201" s="173"/>
      <c r="L201" s="173"/>
      <c r="M201" s="173"/>
      <c r="N201" s="173"/>
      <c r="O201" s="173"/>
      <c r="P201" s="173"/>
      <c r="Q201" s="173"/>
      <c r="R201" s="173"/>
    </row>
    <row r="202" spans="1:18" ht="16.5" thickTop="1" thickBot="1" x14ac:dyDescent="0.3">
      <c r="A202" s="313" t="s">
        <v>578</v>
      </c>
      <c r="B202" s="151" t="s">
        <v>90</v>
      </c>
      <c r="C202" s="151">
        <v>1440</v>
      </c>
      <c r="D202" s="151">
        <v>148</v>
      </c>
      <c r="E202" s="151">
        <v>49</v>
      </c>
      <c r="F202" s="151"/>
      <c r="G202" s="243">
        <f t="shared" si="5"/>
        <v>49</v>
      </c>
      <c r="H202" s="291" t="s">
        <v>788</v>
      </c>
      <c r="I202" s="301" t="s">
        <v>350</v>
      </c>
      <c r="J202" s="173"/>
      <c r="K202" s="173"/>
      <c r="L202" s="173"/>
      <c r="M202" s="173"/>
      <c r="N202" s="173"/>
      <c r="O202" s="173"/>
      <c r="P202" s="173"/>
      <c r="Q202" s="173"/>
      <c r="R202" s="173"/>
    </row>
    <row r="203" spans="1:18" ht="16.5" thickTop="1" thickBot="1" x14ac:dyDescent="0.3">
      <c r="A203" s="314"/>
      <c r="B203" s="152" t="s">
        <v>89</v>
      </c>
      <c r="C203" s="152">
        <v>1440</v>
      </c>
      <c r="D203" s="152">
        <v>148</v>
      </c>
      <c r="E203" s="152">
        <v>40</v>
      </c>
      <c r="F203" s="152">
        <v>2</v>
      </c>
      <c r="G203" s="245">
        <f t="shared" si="5"/>
        <v>38</v>
      </c>
      <c r="H203" s="292" t="s">
        <v>789</v>
      </c>
      <c r="I203" s="301"/>
      <c r="J203" s="173"/>
      <c r="K203" s="173"/>
      <c r="L203" s="173"/>
      <c r="M203" s="173"/>
      <c r="N203" s="173"/>
      <c r="O203" s="173"/>
      <c r="P203" s="173"/>
      <c r="Q203" s="173"/>
      <c r="R203" s="173"/>
    </row>
    <row r="204" spans="1:18" ht="16.5" thickTop="1" thickBot="1" x14ac:dyDescent="0.3">
      <c r="A204" s="314"/>
      <c r="B204" s="152" t="s">
        <v>21</v>
      </c>
      <c r="C204" s="152">
        <v>1440</v>
      </c>
      <c r="D204" s="152">
        <v>161</v>
      </c>
      <c r="E204" s="152">
        <v>91</v>
      </c>
      <c r="F204" s="152">
        <f>2+3</f>
        <v>5</v>
      </c>
      <c r="G204" s="245">
        <f t="shared" si="5"/>
        <v>86</v>
      </c>
      <c r="H204" s="292" t="s">
        <v>790</v>
      </c>
      <c r="I204" s="301"/>
      <c r="J204" s="173"/>
      <c r="K204" s="173"/>
      <c r="L204" s="173"/>
      <c r="M204" s="173"/>
      <c r="N204" s="173"/>
      <c r="O204" s="173"/>
      <c r="P204" s="173"/>
      <c r="Q204" s="173"/>
      <c r="R204" s="173"/>
    </row>
    <row r="205" spans="1:18" ht="16.5" thickTop="1" thickBot="1" x14ac:dyDescent="0.3">
      <c r="A205" s="314"/>
      <c r="B205" s="152" t="s">
        <v>22</v>
      </c>
      <c r="C205" s="152">
        <v>1440</v>
      </c>
      <c r="D205" s="152">
        <v>192</v>
      </c>
      <c r="E205" s="152">
        <v>79</v>
      </c>
      <c r="F205" s="152">
        <f>2+1+4+1+2</f>
        <v>10</v>
      </c>
      <c r="G205" s="245">
        <f t="shared" si="5"/>
        <v>69</v>
      </c>
      <c r="H205" s="292" t="s">
        <v>791</v>
      </c>
      <c r="I205" s="301"/>
      <c r="J205" s="173"/>
      <c r="K205" s="173"/>
      <c r="L205" s="173"/>
      <c r="M205" s="173"/>
      <c r="N205" s="173"/>
      <c r="O205" s="173"/>
      <c r="P205" s="173"/>
      <c r="Q205" s="173"/>
      <c r="R205" s="173"/>
    </row>
    <row r="206" spans="1:18" ht="16.5" thickTop="1" thickBot="1" x14ac:dyDescent="0.3">
      <c r="A206" s="314"/>
      <c r="B206" s="152" t="s">
        <v>19</v>
      </c>
      <c r="C206" s="152">
        <v>1440</v>
      </c>
      <c r="D206" s="152">
        <v>281</v>
      </c>
      <c r="E206" s="152">
        <v>30</v>
      </c>
      <c r="F206" s="152">
        <f>1+2</f>
        <v>3</v>
      </c>
      <c r="G206" s="245">
        <f t="shared" si="5"/>
        <v>27</v>
      </c>
      <c r="H206" s="292" t="s">
        <v>792</v>
      </c>
      <c r="I206" s="301"/>
      <c r="J206" s="173"/>
      <c r="K206" s="173"/>
      <c r="L206" s="173"/>
      <c r="M206" s="173"/>
      <c r="N206" s="173"/>
      <c r="O206" s="173"/>
      <c r="P206" s="173"/>
      <c r="Q206" s="173"/>
      <c r="R206" s="173"/>
    </row>
    <row r="207" spans="1:18" ht="16.5" thickTop="1" thickBot="1" x14ac:dyDescent="0.3">
      <c r="A207" s="314"/>
      <c r="B207" s="152" t="s">
        <v>0</v>
      </c>
      <c r="C207" s="152">
        <v>1440</v>
      </c>
      <c r="D207" s="152">
        <v>378</v>
      </c>
      <c r="E207" s="152">
        <v>120</v>
      </c>
      <c r="F207" s="152">
        <f>1+2+1+1</f>
        <v>5</v>
      </c>
      <c r="G207" s="245">
        <f t="shared" si="5"/>
        <v>115</v>
      </c>
      <c r="H207" s="292" t="s">
        <v>793</v>
      </c>
      <c r="I207" s="301"/>
      <c r="J207" s="173"/>
      <c r="K207" s="173"/>
      <c r="L207" s="173"/>
      <c r="M207" s="173"/>
      <c r="N207" s="173"/>
      <c r="O207" s="173"/>
      <c r="P207" s="173"/>
      <c r="Q207" s="173"/>
      <c r="R207" s="173"/>
    </row>
    <row r="208" spans="1:18" ht="16.5" thickTop="1" thickBot="1" x14ac:dyDescent="0.3">
      <c r="A208" s="314"/>
      <c r="B208" s="152" t="s">
        <v>1</v>
      </c>
      <c r="C208" s="152">
        <v>1440</v>
      </c>
      <c r="D208" s="152">
        <v>681</v>
      </c>
      <c r="E208" s="152">
        <v>200</v>
      </c>
      <c r="F208" s="152">
        <f>1+2+1</f>
        <v>4</v>
      </c>
      <c r="G208" s="245">
        <f t="shared" si="5"/>
        <v>196</v>
      </c>
      <c r="H208" s="292" t="s">
        <v>794</v>
      </c>
      <c r="I208" s="301"/>
      <c r="J208" s="173"/>
      <c r="K208" s="173"/>
      <c r="L208" s="173"/>
      <c r="M208" s="173"/>
      <c r="N208" s="173"/>
      <c r="O208" s="173"/>
      <c r="P208" s="173"/>
      <c r="Q208" s="173"/>
      <c r="R208" s="173"/>
    </row>
    <row r="209" spans="1:18" ht="16.5" thickTop="1" thickBot="1" x14ac:dyDescent="0.3">
      <c r="A209" s="314"/>
      <c r="B209" s="152" t="s">
        <v>2</v>
      </c>
      <c r="C209" s="152">
        <v>288</v>
      </c>
      <c r="D209" s="152">
        <v>349</v>
      </c>
      <c r="E209" s="152">
        <v>99</v>
      </c>
      <c r="F209" s="152">
        <f>1+1</f>
        <v>2</v>
      </c>
      <c r="G209" s="245">
        <f t="shared" si="5"/>
        <v>97</v>
      </c>
      <c r="H209" s="292" t="s">
        <v>795</v>
      </c>
      <c r="I209" s="301"/>
      <c r="J209" s="173"/>
      <c r="K209" s="173"/>
      <c r="L209" s="173"/>
      <c r="M209" s="173"/>
      <c r="N209" s="173"/>
      <c r="O209" s="173"/>
      <c r="P209" s="173"/>
      <c r="Q209" s="173"/>
      <c r="R209" s="173"/>
    </row>
    <row r="210" spans="1:18" ht="16.5" thickTop="1" thickBot="1" x14ac:dyDescent="0.3">
      <c r="A210" s="315"/>
      <c r="B210" s="126" t="s">
        <v>5</v>
      </c>
      <c r="C210" s="126">
        <v>144</v>
      </c>
      <c r="D210" s="126">
        <v>349</v>
      </c>
      <c r="E210" s="126">
        <v>118</v>
      </c>
      <c r="F210" s="126">
        <v>1</v>
      </c>
      <c r="G210" s="246">
        <f t="shared" si="5"/>
        <v>117</v>
      </c>
      <c r="H210" s="295" t="s">
        <v>796</v>
      </c>
      <c r="I210" s="301"/>
      <c r="J210" s="173"/>
      <c r="K210" s="173"/>
      <c r="L210" s="173"/>
      <c r="M210" s="173"/>
      <c r="N210" s="173"/>
      <c r="O210" s="173"/>
      <c r="P210" s="173"/>
      <c r="Q210" s="173"/>
      <c r="R210" s="173"/>
    </row>
    <row r="211" spans="1:18" ht="16.5" thickTop="1" thickBot="1" x14ac:dyDescent="0.3">
      <c r="A211" s="359" t="s">
        <v>6</v>
      </c>
      <c r="B211" s="151" t="s">
        <v>90</v>
      </c>
      <c r="C211" s="151">
        <v>1440</v>
      </c>
      <c r="D211" s="30">
        <v>148</v>
      </c>
      <c r="E211" s="151">
        <v>43</v>
      </c>
      <c r="F211" s="151">
        <f>6+1+1+1+1+2+1</f>
        <v>13</v>
      </c>
      <c r="G211" s="243">
        <f t="shared" si="5"/>
        <v>30</v>
      </c>
      <c r="H211" s="291" t="s">
        <v>797</v>
      </c>
      <c r="I211" s="301" t="s">
        <v>351</v>
      </c>
      <c r="J211" s="173"/>
      <c r="K211" s="173"/>
      <c r="L211" s="173"/>
      <c r="M211" s="173"/>
      <c r="N211" s="173"/>
      <c r="O211" s="173"/>
      <c r="P211" s="173"/>
      <c r="Q211" s="173"/>
      <c r="R211" s="173"/>
    </row>
    <row r="212" spans="1:18" ht="15.75" customHeight="1" thickTop="1" thickBot="1" x14ac:dyDescent="0.3">
      <c r="A212" s="360"/>
      <c r="B212" s="152" t="s">
        <v>89</v>
      </c>
      <c r="C212" s="153">
        <v>1440</v>
      </c>
      <c r="D212" s="27">
        <v>148</v>
      </c>
      <c r="E212" s="152">
        <f>89+50</f>
        <v>139</v>
      </c>
      <c r="F212" s="152">
        <f>1+6+1+1+1+1</f>
        <v>11</v>
      </c>
      <c r="G212" s="245">
        <f t="shared" si="5"/>
        <v>128</v>
      </c>
      <c r="H212" s="292" t="s">
        <v>798</v>
      </c>
      <c r="I212" s="301"/>
      <c r="J212" s="173"/>
      <c r="K212" s="173"/>
      <c r="L212" s="173"/>
      <c r="M212" s="173"/>
      <c r="N212" s="173"/>
      <c r="O212" s="173"/>
      <c r="P212" s="173"/>
      <c r="Q212" s="173"/>
      <c r="R212" s="173"/>
    </row>
    <row r="213" spans="1:18" ht="15" customHeight="1" thickTop="1" thickBot="1" x14ac:dyDescent="0.3">
      <c r="A213" s="360"/>
      <c r="B213" s="153" t="s">
        <v>21</v>
      </c>
      <c r="C213" s="153">
        <v>1440</v>
      </c>
      <c r="D213" s="27">
        <v>160</v>
      </c>
      <c r="E213" s="152">
        <f>37+50</f>
        <v>87</v>
      </c>
      <c r="F213" s="152">
        <f>1+3+1+1+1+1+1+1+10+1+1+1+1+2</f>
        <v>26</v>
      </c>
      <c r="G213" s="245">
        <f t="shared" si="5"/>
        <v>61</v>
      </c>
      <c r="H213" s="292" t="s">
        <v>799</v>
      </c>
      <c r="I213" s="301"/>
      <c r="J213" s="173"/>
      <c r="K213" s="173"/>
      <c r="L213" s="173"/>
      <c r="M213" s="173"/>
      <c r="N213" s="173"/>
      <c r="O213" s="173"/>
      <c r="P213" s="173"/>
      <c r="Q213" s="173"/>
      <c r="R213" s="173"/>
    </row>
    <row r="214" spans="1:18" ht="15" customHeight="1" thickTop="1" thickBot="1" x14ac:dyDescent="0.3">
      <c r="A214" s="360"/>
      <c r="B214" s="153" t="s">
        <v>22</v>
      </c>
      <c r="C214" s="153">
        <v>1440</v>
      </c>
      <c r="D214" s="26">
        <v>191.5</v>
      </c>
      <c r="E214" s="153">
        <f>33+40</f>
        <v>73</v>
      </c>
      <c r="F214" s="153">
        <f>1+1+1+1+1+1+2+1+1+1+1+1+10+1+1+1+1+10</f>
        <v>37</v>
      </c>
      <c r="G214" s="244">
        <f t="shared" ref="G214:G347" si="8">E214-F214</f>
        <v>36</v>
      </c>
      <c r="H214" s="292" t="s">
        <v>800</v>
      </c>
      <c r="I214" s="301"/>
      <c r="J214" s="173"/>
      <c r="K214" s="173"/>
      <c r="L214" s="173"/>
      <c r="M214" s="173"/>
      <c r="N214" s="173"/>
      <c r="O214" s="173"/>
      <c r="P214" s="173"/>
      <c r="Q214" s="173"/>
      <c r="R214" s="173"/>
    </row>
    <row r="215" spans="1:18" ht="15" customHeight="1" thickTop="1" thickBot="1" x14ac:dyDescent="0.3">
      <c r="A215" s="360"/>
      <c r="B215" s="152" t="s">
        <v>18</v>
      </c>
      <c r="C215" s="152">
        <v>1440</v>
      </c>
      <c r="D215" s="27">
        <v>225.5</v>
      </c>
      <c r="E215" s="152">
        <f>33+35</f>
        <v>68</v>
      </c>
      <c r="F215" s="152">
        <f>1+1+1+1+1+2+1+10+1+2+2</f>
        <v>23</v>
      </c>
      <c r="G215" s="245">
        <f t="shared" si="8"/>
        <v>45</v>
      </c>
      <c r="H215" s="292" t="s">
        <v>801</v>
      </c>
      <c r="I215" s="301"/>
      <c r="J215" s="173"/>
      <c r="K215" s="173"/>
      <c r="L215" s="173"/>
      <c r="M215" s="173"/>
      <c r="N215" s="173"/>
      <c r="O215" s="173"/>
      <c r="P215" s="173"/>
      <c r="Q215" s="173"/>
      <c r="R215" s="173"/>
    </row>
    <row r="216" spans="1:18" ht="15" customHeight="1" thickTop="1" thickBot="1" x14ac:dyDescent="0.3">
      <c r="A216" s="360"/>
      <c r="B216" s="152" t="s">
        <v>19</v>
      </c>
      <c r="C216" s="152">
        <v>1440</v>
      </c>
      <c r="D216" s="27">
        <v>281.22222222222223</v>
      </c>
      <c r="E216" s="152">
        <f>26+50</f>
        <v>76</v>
      </c>
      <c r="F216" s="152">
        <f>1+1+1+4+1+2+1+1+10+1</f>
        <v>23</v>
      </c>
      <c r="G216" s="245">
        <f t="shared" si="8"/>
        <v>53</v>
      </c>
      <c r="H216" s="292" t="s">
        <v>802</v>
      </c>
      <c r="I216" s="301"/>
      <c r="J216" s="173"/>
      <c r="K216" s="173"/>
      <c r="L216" s="173"/>
      <c r="M216" s="173"/>
      <c r="N216" s="173"/>
      <c r="O216" s="173"/>
      <c r="P216" s="173"/>
      <c r="Q216" s="173"/>
      <c r="R216" s="173"/>
    </row>
    <row r="217" spans="1:18" ht="15" customHeight="1" thickTop="1" thickBot="1" x14ac:dyDescent="0.3">
      <c r="A217" s="360"/>
      <c r="B217" s="152" t="s">
        <v>0</v>
      </c>
      <c r="C217" s="152">
        <v>1440</v>
      </c>
      <c r="D217" s="27">
        <v>361.49999999999994</v>
      </c>
      <c r="E217" s="152">
        <f>35+50</f>
        <v>85</v>
      </c>
      <c r="F217" s="152">
        <f>1+1+1+4+1+10+1</f>
        <v>19</v>
      </c>
      <c r="G217" s="245">
        <f t="shared" si="8"/>
        <v>66</v>
      </c>
      <c r="H217" s="292" t="s">
        <v>803</v>
      </c>
      <c r="I217" s="301"/>
      <c r="J217" s="173"/>
      <c r="K217" s="173"/>
      <c r="L217" s="173"/>
      <c r="M217" s="173"/>
      <c r="N217" s="173"/>
      <c r="O217" s="173"/>
      <c r="P217" s="173"/>
      <c r="Q217" s="173"/>
      <c r="R217" s="173"/>
    </row>
    <row r="218" spans="1:18" ht="15" customHeight="1" thickTop="1" thickBot="1" x14ac:dyDescent="0.3">
      <c r="A218" s="360"/>
      <c r="B218" s="152" t="s">
        <v>1</v>
      </c>
      <c r="C218" s="152">
        <v>1440</v>
      </c>
      <c r="D218" s="27">
        <v>582.5</v>
      </c>
      <c r="E218" s="152">
        <f>91+50</f>
        <v>141</v>
      </c>
      <c r="F218" s="152">
        <f>1+1+1+1</f>
        <v>4</v>
      </c>
      <c r="G218" s="245">
        <f t="shared" si="8"/>
        <v>137</v>
      </c>
      <c r="H218" s="292" t="s">
        <v>804</v>
      </c>
      <c r="I218" s="301"/>
      <c r="J218" s="173"/>
      <c r="K218" s="173"/>
      <c r="L218" s="173"/>
      <c r="M218" s="173"/>
      <c r="N218" s="173"/>
      <c r="O218" s="173"/>
      <c r="P218" s="173"/>
      <c r="Q218" s="173"/>
      <c r="R218" s="173"/>
    </row>
    <row r="219" spans="1:18" ht="15" customHeight="1" thickTop="1" thickBot="1" x14ac:dyDescent="0.3">
      <c r="A219" s="360"/>
      <c r="B219" s="152" t="s">
        <v>2</v>
      </c>
      <c r="C219" s="152">
        <v>288</v>
      </c>
      <c r="D219" s="27">
        <v>332.22222222222223</v>
      </c>
      <c r="E219" s="152">
        <f>37+50</f>
        <v>87</v>
      </c>
      <c r="F219" s="152">
        <f>1+1+1+1+10</f>
        <v>14</v>
      </c>
      <c r="G219" s="245">
        <f t="shared" si="8"/>
        <v>73</v>
      </c>
      <c r="H219" s="292" t="s">
        <v>805</v>
      </c>
      <c r="I219" s="301"/>
      <c r="J219" s="173"/>
      <c r="K219" s="173"/>
      <c r="L219" s="173"/>
      <c r="M219" s="173"/>
      <c r="N219" s="173"/>
      <c r="O219" s="173"/>
      <c r="P219" s="173"/>
      <c r="Q219" s="173"/>
      <c r="R219" s="173"/>
    </row>
    <row r="220" spans="1:18" ht="15" customHeight="1" thickTop="1" thickBot="1" x14ac:dyDescent="0.3">
      <c r="A220" s="360"/>
      <c r="B220" s="154" t="s">
        <v>5</v>
      </c>
      <c r="C220" s="154">
        <v>144</v>
      </c>
      <c r="D220" s="29">
        <v>856.38888888888891</v>
      </c>
      <c r="E220" s="154">
        <v>60</v>
      </c>
      <c r="F220" s="154">
        <v>1</v>
      </c>
      <c r="G220" s="247">
        <f t="shared" ref="G220:G224" si="9">E220-F220</f>
        <v>59</v>
      </c>
      <c r="H220" s="292" t="s">
        <v>806</v>
      </c>
      <c r="I220" s="301"/>
      <c r="J220" s="173"/>
      <c r="K220" s="173"/>
      <c r="L220" s="173"/>
      <c r="M220" s="173"/>
      <c r="N220" s="173"/>
      <c r="O220" s="173"/>
      <c r="P220" s="173"/>
      <c r="Q220" s="173"/>
      <c r="R220" s="173"/>
    </row>
    <row r="221" spans="1:18" ht="15.75" customHeight="1" thickTop="1" thickBot="1" x14ac:dyDescent="0.3">
      <c r="A221" s="361"/>
      <c r="B221" s="126" t="s">
        <v>20</v>
      </c>
      <c r="C221" s="126">
        <v>144</v>
      </c>
      <c r="D221" s="28">
        <v>856</v>
      </c>
      <c r="E221" s="126">
        <v>19</v>
      </c>
      <c r="F221" s="126">
        <v>1</v>
      </c>
      <c r="G221" s="246">
        <f t="shared" si="9"/>
        <v>18</v>
      </c>
      <c r="H221" s="295" t="s">
        <v>807</v>
      </c>
      <c r="I221" s="301"/>
      <c r="J221" s="173"/>
      <c r="K221" s="173"/>
      <c r="L221" s="173"/>
      <c r="M221" s="173"/>
      <c r="N221" s="173"/>
      <c r="O221" s="173"/>
      <c r="P221" s="173"/>
      <c r="Q221" s="173"/>
      <c r="R221" s="173"/>
    </row>
    <row r="222" spans="1:18" ht="15.75" customHeight="1" thickTop="1" thickBot="1" x14ac:dyDescent="0.3">
      <c r="A222" s="313" t="s">
        <v>579</v>
      </c>
      <c r="B222" s="151" t="s">
        <v>90</v>
      </c>
      <c r="C222" s="151">
        <v>1440</v>
      </c>
      <c r="D222" s="151">
        <v>143</v>
      </c>
      <c r="E222" s="151">
        <v>100</v>
      </c>
      <c r="F222" s="151">
        <v>2</v>
      </c>
      <c r="G222" s="243">
        <f t="shared" si="9"/>
        <v>98</v>
      </c>
      <c r="H222" s="291" t="s">
        <v>808</v>
      </c>
      <c r="I222" s="301" t="s">
        <v>352</v>
      </c>
      <c r="J222" s="173"/>
      <c r="K222" s="173"/>
      <c r="L222" s="173"/>
      <c r="M222" s="173"/>
      <c r="N222" s="173"/>
      <c r="O222" s="173"/>
      <c r="P222" s="173"/>
      <c r="Q222" s="173"/>
      <c r="R222" s="173"/>
    </row>
    <row r="223" spans="1:18" ht="15.75" customHeight="1" thickTop="1" thickBot="1" x14ac:dyDescent="0.3">
      <c r="A223" s="315"/>
      <c r="B223" s="126" t="s">
        <v>89</v>
      </c>
      <c r="C223" s="126">
        <v>1440</v>
      </c>
      <c r="D223" s="126">
        <v>143</v>
      </c>
      <c r="E223" s="126">
        <v>20</v>
      </c>
      <c r="F223" s="126"/>
      <c r="G223" s="246">
        <f>E223-F223</f>
        <v>20</v>
      </c>
      <c r="H223" s="295" t="s">
        <v>809</v>
      </c>
      <c r="I223" s="301"/>
      <c r="J223" s="173"/>
      <c r="K223" s="173"/>
      <c r="L223" s="173"/>
      <c r="M223" s="173"/>
      <c r="N223" s="173"/>
      <c r="O223" s="173"/>
      <c r="P223" s="173"/>
      <c r="Q223" s="173"/>
      <c r="R223" s="173"/>
    </row>
    <row r="224" spans="1:18" ht="15.75" customHeight="1" thickTop="1" thickBot="1" x14ac:dyDescent="0.3">
      <c r="A224" s="307" t="s">
        <v>25</v>
      </c>
      <c r="B224" s="151" t="s">
        <v>90</v>
      </c>
      <c r="C224" s="151">
        <v>1440</v>
      </c>
      <c r="D224" s="30">
        <v>143</v>
      </c>
      <c r="E224" s="151">
        <v>50</v>
      </c>
      <c r="F224" s="151">
        <v>3</v>
      </c>
      <c r="G224" s="243">
        <f t="shared" si="9"/>
        <v>47</v>
      </c>
      <c r="H224" s="291" t="s">
        <v>810</v>
      </c>
      <c r="I224" s="301" t="s">
        <v>353</v>
      </c>
      <c r="J224" s="173"/>
      <c r="K224" s="173"/>
      <c r="L224" s="173"/>
      <c r="M224" s="173"/>
      <c r="N224" s="173"/>
      <c r="O224" s="173"/>
      <c r="P224" s="173"/>
      <c r="Q224" s="173"/>
      <c r="R224" s="173"/>
    </row>
    <row r="225" spans="1:18" ht="15.75" customHeight="1" thickTop="1" thickBot="1" x14ac:dyDescent="0.3">
      <c r="A225" s="308"/>
      <c r="B225" s="152" t="s">
        <v>89</v>
      </c>
      <c r="C225" s="152">
        <v>1440</v>
      </c>
      <c r="D225" s="152">
        <v>143</v>
      </c>
      <c r="E225" s="152">
        <v>20</v>
      </c>
      <c r="F225" s="153">
        <v>3</v>
      </c>
      <c r="G225" s="244">
        <f>E225-F225</f>
        <v>17</v>
      </c>
      <c r="H225" s="292" t="s">
        <v>811</v>
      </c>
      <c r="I225" s="301"/>
      <c r="J225" s="173"/>
      <c r="K225" s="173"/>
      <c r="L225" s="173"/>
      <c r="M225" s="173"/>
      <c r="N225" s="173"/>
      <c r="O225" s="173"/>
      <c r="P225" s="173"/>
      <c r="Q225" s="173"/>
      <c r="R225" s="173"/>
    </row>
    <row r="226" spans="1:18" ht="16.5" thickTop="1" thickBot="1" x14ac:dyDescent="0.3">
      <c r="A226" s="308"/>
      <c r="B226" s="152" t="s">
        <v>21</v>
      </c>
      <c r="C226" s="152">
        <v>1440</v>
      </c>
      <c r="D226" s="27">
        <v>160.33333333333334</v>
      </c>
      <c r="E226" s="152">
        <v>50</v>
      </c>
      <c r="F226" s="152">
        <f>1+1+1+1+20+1</f>
        <v>25</v>
      </c>
      <c r="G226" s="245">
        <f t="shared" si="8"/>
        <v>25</v>
      </c>
      <c r="H226" s="292" t="s">
        <v>812</v>
      </c>
      <c r="I226" s="301"/>
      <c r="J226" s="173"/>
      <c r="K226" s="173"/>
      <c r="L226" s="173"/>
      <c r="M226" s="173"/>
      <c r="N226" s="173"/>
      <c r="O226" s="173"/>
      <c r="P226" s="173"/>
      <c r="Q226" s="173"/>
      <c r="R226" s="173"/>
    </row>
    <row r="227" spans="1:18" ht="16.5" thickTop="1" thickBot="1" x14ac:dyDescent="0.3">
      <c r="A227" s="308"/>
      <c r="B227" s="152" t="s">
        <v>22</v>
      </c>
      <c r="C227" s="152">
        <v>1440</v>
      </c>
      <c r="D227" s="27">
        <v>191.5</v>
      </c>
      <c r="E227" s="152">
        <v>40</v>
      </c>
      <c r="F227" s="152">
        <f>2+1+1+2+1+1</f>
        <v>8</v>
      </c>
      <c r="G227" s="245">
        <f t="shared" si="8"/>
        <v>32</v>
      </c>
      <c r="H227" s="292" t="s">
        <v>813</v>
      </c>
      <c r="I227" s="301"/>
      <c r="J227" s="173"/>
      <c r="K227" s="173"/>
      <c r="L227" s="173"/>
      <c r="M227" s="173"/>
      <c r="N227" s="173"/>
      <c r="O227" s="173"/>
      <c r="P227" s="173"/>
      <c r="Q227" s="173"/>
      <c r="R227" s="173"/>
    </row>
    <row r="228" spans="1:18" ht="16.5" thickTop="1" thickBot="1" x14ac:dyDescent="0.3">
      <c r="A228" s="308"/>
      <c r="B228" s="152" t="s">
        <v>18</v>
      </c>
      <c r="C228" s="152">
        <v>1440</v>
      </c>
      <c r="D228" s="27">
        <v>225.5</v>
      </c>
      <c r="E228" s="152">
        <v>35</v>
      </c>
      <c r="F228" s="152">
        <v>1</v>
      </c>
      <c r="G228" s="245">
        <f t="shared" si="8"/>
        <v>34</v>
      </c>
      <c r="H228" s="292" t="s">
        <v>814</v>
      </c>
      <c r="I228" s="301"/>
      <c r="J228" s="173"/>
      <c r="K228" s="173"/>
      <c r="L228" s="173"/>
      <c r="M228" s="173"/>
      <c r="N228" s="173"/>
      <c r="O228" s="173"/>
      <c r="P228" s="173"/>
      <c r="Q228" s="173"/>
      <c r="R228" s="173"/>
    </row>
    <row r="229" spans="1:18" ht="16.5" thickTop="1" thickBot="1" x14ac:dyDescent="0.3">
      <c r="A229" s="308"/>
      <c r="B229" s="152" t="s">
        <v>19</v>
      </c>
      <c r="C229" s="152">
        <v>1440</v>
      </c>
      <c r="D229" s="27">
        <v>281.22222222222223</v>
      </c>
      <c r="E229" s="152">
        <v>30</v>
      </c>
      <c r="F229" s="152">
        <f>1+1</f>
        <v>2</v>
      </c>
      <c r="G229" s="245">
        <f t="shared" si="8"/>
        <v>28</v>
      </c>
      <c r="H229" s="292" t="s">
        <v>815</v>
      </c>
      <c r="I229" s="301"/>
      <c r="J229" s="173"/>
      <c r="K229" s="173"/>
      <c r="L229" s="173"/>
      <c r="M229" s="173"/>
      <c r="N229" s="173"/>
      <c r="O229" s="173"/>
      <c r="P229" s="173"/>
      <c r="Q229" s="173"/>
      <c r="R229" s="173"/>
    </row>
    <row r="230" spans="1:18" ht="16.5" thickTop="1" thickBot="1" x14ac:dyDescent="0.3">
      <c r="A230" s="308"/>
      <c r="B230" s="152" t="s">
        <v>0</v>
      </c>
      <c r="C230" s="152">
        <v>1440</v>
      </c>
      <c r="D230" s="27">
        <v>361.49999999999994</v>
      </c>
      <c r="E230" s="152">
        <v>39</v>
      </c>
      <c r="F230" s="152"/>
      <c r="G230" s="245">
        <f t="shared" si="8"/>
        <v>39</v>
      </c>
      <c r="H230" s="292" t="s">
        <v>816</v>
      </c>
      <c r="I230" s="301"/>
      <c r="J230" s="173"/>
      <c r="K230" s="173"/>
      <c r="L230" s="173"/>
      <c r="M230" s="173"/>
      <c r="N230" s="173"/>
      <c r="O230" s="173"/>
      <c r="P230" s="173"/>
      <c r="Q230" s="173"/>
      <c r="R230" s="173"/>
    </row>
    <row r="231" spans="1:18" ht="16.5" thickTop="1" thickBot="1" x14ac:dyDescent="0.3">
      <c r="A231" s="308"/>
      <c r="B231" s="152" t="s">
        <v>1</v>
      </c>
      <c r="C231" s="152">
        <v>1440</v>
      </c>
      <c r="D231" s="27">
        <v>582.5</v>
      </c>
      <c r="E231" s="152">
        <v>96</v>
      </c>
      <c r="F231" s="152"/>
      <c r="G231" s="245">
        <f t="shared" si="8"/>
        <v>96</v>
      </c>
      <c r="H231" s="292" t="s">
        <v>817</v>
      </c>
      <c r="I231" s="301"/>
      <c r="J231" s="173"/>
      <c r="K231" s="173"/>
      <c r="L231" s="173"/>
      <c r="M231" s="173"/>
      <c r="N231" s="173"/>
      <c r="O231" s="173"/>
      <c r="P231" s="173"/>
      <c r="Q231" s="173"/>
      <c r="R231" s="173"/>
    </row>
    <row r="232" spans="1:18" ht="16.5" thickTop="1" thickBot="1" x14ac:dyDescent="0.3">
      <c r="A232" s="308"/>
      <c r="B232" s="152" t="s">
        <v>2</v>
      </c>
      <c r="C232" s="152">
        <v>288</v>
      </c>
      <c r="D232" s="27">
        <v>332.22222222222223</v>
      </c>
      <c r="E232" s="152">
        <v>41</v>
      </c>
      <c r="F232" s="152"/>
      <c r="G232" s="245">
        <f t="shared" si="8"/>
        <v>41</v>
      </c>
      <c r="H232" s="292" t="s">
        <v>818</v>
      </c>
      <c r="I232" s="301"/>
      <c r="J232" s="173"/>
      <c r="K232" s="173"/>
      <c r="L232" s="173"/>
      <c r="M232" s="173"/>
      <c r="N232" s="173"/>
      <c r="O232" s="173"/>
      <c r="P232" s="173"/>
      <c r="Q232" s="173"/>
      <c r="R232" s="173"/>
    </row>
    <row r="233" spans="1:18" ht="16.5" thickTop="1" thickBot="1" x14ac:dyDescent="0.3">
      <c r="A233" s="309"/>
      <c r="B233" s="126" t="s">
        <v>20</v>
      </c>
      <c r="C233" s="126">
        <v>144</v>
      </c>
      <c r="D233" s="28">
        <v>565.5</v>
      </c>
      <c r="E233" s="126">
        <v>20</v>
      </c>
      <c r="F233" s="126"/>
      <c r="G233" s="246">
        <f t="shared" si="8"/>
        <v>20</v>
      </c>
      <c r="H233" s="295" t="s">
        <v>819</v>
      </c>
      <c r="I233" s="301"/>
      <c r="J233" s="173"/>
      <c r="K233" s="173"/>
      <c r="L233" s="173"/>
      <c r="M233" s="173"/>
      <c r="N233" s="173"/>
      <c r="O233" s="173"/>
      <c r="P233" s="173"/>
      <c r="Q233" s="173"/>
      <c r="R233" s="173"/>
    </row>
    <row r="234" spans="1:18" ht="16.5" thickTop="1" thickBot="1" x14ac:dyDescent="0.3">
      <c r="A234" s="307" t="s">
        <v>580</v>
      </c>
      <c r="B234" s="151" t="s">
        <v>90</v>
      </c>
      <c r="C234" s="151">
        <v>1440</v>
      </c>
      <c r="D234" s="151">
        <v>143</v>
      </c>
      <c r="E234" s="151">
        <f>48+50</f>
        <v>98</v>
      </c>
      <c r="F234" s="151">
        <f>1+1+1+1+1</f>
        <v>5</v>
      </c>
      <c r="G234" s="243">
        <f t="shared" si="8"/>
        <v>93</v>
      </c>
      <c r="H234" s="291" t="s">
        <v>820</v>
      </c>
      <c r="I234" s="301" t="s">
        <v>354</v>
      </c>
      <c r="J234" s="173"/>
      <c r="K234" s="173"/>
      <c r="L234" s="173"/>
      <c r="M234" s="173"/>
      <c r="N234" s="173"/>
      <c r="O234" s="173"/>
      <c r="P234" s="173"/>
      <c r="Q234" s="173"/>
      <c r="R234" s="173"/>
    </row>
    <row r="235" spans="1:18" ht="16.5" thickTop="1" thickBot="1" x14ac:dyDescent="0.3">
      <c r="A235" s="308"/>
      <c r="B235" s="152" t="s">
        <v>89</v>
      </c>
      <c r="C235" s="152">
        <v>1440</v>
      </c>
      <c r="D235" s="152">
        <v>143</v>
      </c>
      <c r="E235" s="152">
        <f>50+20</f>
        <v>70</v>
      </c>
      <c r="F235" s="152">
        <v>1</v>
      </c>
      <c r="G235" s="245">
        <f t="shared" si="8"/>
        <v>69</v>
      </c>
      <c r="H235" s="292" t="s">
        <v>821</v>
      </c>
      <c r="I235" s="301"/>
      <c r="J235" s="173"/>
      <c r="K235" s="173"/>
      <c r="L235" s="173"/>
      <c r="M235" s="173"/>
      <c r="N235" s="173"/>
      <c r="O235" s="173"/>
      <c r="P235" s="173"/>
      <c r="Q235" s="173"/>
      <c r="R235" s="173"/>
    </row>
    <row r="236" spans="1:18" ht="16.5" thickTop="1" thickBot="1" x14ac:dyDescent="0.3">
      <c r="A236" s="308"/>
      <c r="B236" s="152" t="s">
        <v>21</v>
      </c>
      <c r="C236" s="152">
        <v>1440</v>
      </c>
      <c r="D236" s="152">
        <v>160</v>
      </c>
      <c r="E236" s="152">
        <v>39</v>
      </c>
      <c r="F236" s="152">
        <f>2+1+1+1+1+1+30+1+1</f>
        <v>39</v>
      </c>
      <c r="G236" s="245">
        <f t="shared" si="8"/>
        <v>0</v>
      </c>
      <c r="H236" s="292" t="s">
        <v>822</v>
      </c>
      <c r="I236" s="301"/>
      <c r="J236" s="173"/>
      <c r="K236" s="173"/>
      <c r="L236" s="173"/>
      <c r="M236" s="173"/>
      <c r="N236" s="173"/>
      <c r="O236" s="173"/>
      <c r="P236" s="173"/>
      <c r="Q236" s="173"/>
      <c r="R236" s="173"/>
    </row>
    <row r="237" spans="1:18" ht="16.5" thickTop="1" thickBot="1" x14ac:dyDescent="0.3">
      <c r="A237" s="308"/>
      <c r="B237" s="153" t="s">
        <v>22</v>
      </c>
      <c r="C237" s="153">
        <v>1440</v>
      </c>
      <c r="D237" s="153">
        <v>192</v>
      </c>
      <c r="E237" s="153">
        <v>40</v>
      </c>
      <c r="F237" s="153">
        <f>1+1+1+1+1+1+3</f>
        <v>9</v>
      </c>
      <c r="G237" s="244">
        <f t="shared" si="8"/>
        <v>31</v>
      </c>
      <c r="H237" s="292" t="s">
        <v>823</v>
      </c>
      <c r="I237" s="301"/>
      <c r="J237" s="173"/>
      <c r="K237" s="173"/>
      <c r="L237" s="173"/>
      <c r="M237" s="173"/>
      <c r="N237" s="173"/>
      <c r="O237" s="173"/>
      <c r="P237" s="173"/>
      <c r="Q237" s="173"/>
      <c r="R237" s="173"/>
    </row>
    <row r="238" spans="1:18" ht="16.5" thickTop="1" thickBot="1" x14ac:dyDescent="0.3">
      <c r="A238" s="308"/>
      <c r="B238" s="152" t="s">
        <v>18</v>
      </c>
      <c r="C238" s="152">
        <v>1440</v>
      </c>
      <c r="D238" s="152">
        <v>226</v>
      </c>
      <c r="E238" s="152">
        <v>32</v>
      </c>
      <c r="F238" s="152">
        <f>1+1+1+3</f>
        <v>6</v>
      </c>
      <c r="G238" s="245">
        <f t="shared" si="8"/>
        <v>26</v>
      </c>
      <c r="H238" s="292" t="s">
        <v>824</v>
      </c>
      <c r="I238" s="301"/>
      <c r="J238" s="173"/>
      <c r="K238" s="173"/>
      <c r="L238" s="173"/>
      <c r="M238" s="173"/>
      <c r="N238" s="173"/>
      <c r="O238" s="173"/>
      <c r="P238" s="173"/>
      <c r="Q238" s="173"/>
      <c r="R238" s="173"/>
    </row>
    <row r="239" spans="1:18" ht="16.5" thickTop="1" thickBot="1" x14ac:dyDescent="0.3">
      <c r="A239" s="308"/>
      <c r="B239" s="152" t="s">
        <v>19</v>
      </c>
      <c r="C239" s="152">
        <v>1440</v>
      </c>
      <c r="D239" s="152">
        <v>281</v>
      </c>
      <c r="E239" s="152">
        <v>30</v>
      </c>
      <c r="F239" s="152">
        <v>1</v>
      </c>
      <c r="G239" s="245">
        <f t="shared" si="8"/>
        <v>29</v>
      </c>
      <c r="H239" s="292" t="s">
        <v>825</v>
      </c>
      <c r="I239" s="301"/>
      <c r="J239" s="173"/>
      <c r="K239" s="173"/>
      <c r="L239" s="173"/>
      <c r="M239" s="173"/>
      <c r="N239" s="173"/>
      <c r="O239" s="173"/>
      <c r="P239" s="173"/>
      <c r="Q239" s="173"/>
      <c r="R239" s="173"/>
    </row>
    <row r="240" spans="1:18" ht="16.5" thickTop="1" thickBot="1" x14ac:dyDescent="0.3">
      <c r="A240" s="308"/>
      <c r="B240" s="152" t="s">
        <v>0</v>
      </c>
      <c r="C240" s="152">
        <v>1440</v>
      </c>
      <c r="D240" s="152">
        <v>362</v>
      </c>
      <c r="E240" s="152">
        <v>49</v>
      </c>
      <c r="F240" s="152">
        <f>1+1</f>
        <v>2</v>
      </c>
      <c r="G240" s="245">
        <f t="shared" si="8"/>
        <v>47</v>
      </c>
      <c r="H240" s="292" t="s">
        <v>826</v>
      </c>
      <c r="I240" s="301"/>
      <c r="J240" s="173"/>
      <c r="K240" s="173"/>
      <c r="L240" s="173"/>
      <c r="M240" s="173"/>
      <c r="N240" s="173"/>
      <c r="O240" s="173"/>
      <c r="P240" s="173"/>
      <c r="Q240" s="173"/>
      <c r="R240" s="173"/>
    </row>
    <row r="241" spans="1:18" ht="16.5" thickTop="1" thickBot="1" x14ac:dyDescent="0.3">
      <c r="A241" s="308"/>
      <c r="B241" s="152" t="s">
        <v>1</v>
      </c>
      <c r="C241" s="152">
        <v>1440</v>
      </c>
      <c r="D241" s="152">
        <v>583</v>
      </c>
      <c r="E241" s="152">
        <v>87</v>
      </c>
      <c r="F241" s="152">
        <f>1+1</f>
        <v>2</v>
      </c>
      <c r="G241" s="245">
        <f t="shared" si="8"/>
        <v>85</v>
      </c>
      <c r="H241" s="292" t="s">
        <v>827</v>
      </c>
      <c r="I241" s="301"/>
      <c r="J241" s="173"/>
      <c r="K241" s="173"/>
      <c r="L241" s="173"/>
      <c r="M241" s="173"/>
      <c r="N241" s="173"/>
      <c r="O241" s="173"/>
      <c r="P241" s="173"/>
      <c r="Q241" s="173"/>
      <c r="R241" s="173"/>
    </row>
    <row r="242" spans="1:18" ht="16.5" thickTop="1" thickBot="1" x14ac:dyDescent="0.3">
      <c r="A242" s="308"/>
      <c r="B242" s="152" t="s">
        <v>2</v>
      </c>
      <c r="C242" s="152">
        <v>288</v>
      </c>
      <c r="D242" s="152">
        <v>332</v>
      </c>
      <c r="E242" s="152">
        <v>49</v>
      </c>
      <c r="F242" s="152"/>
      <c r="G242" s="245">
        <f t="shared" si="8"/>
        <v>49</v>
      </c>
      <c r="H242" s="292" t="s">
        <v>828</v>
      </c>
      <c r="I242" s="301"/>
      <c r="J242" s="173"/>
      <c r="K242" s="173"/>
      <c r="L242" s="173"/>
      <c r="M242" s="173"/>
      <c r="N242" s="173"/>
      <c r="O242" s="173"/>
      <c r="P242" s="173"/>
      <c r="Q242" s="173"/>
      <c r="R242" s="173"/>
    </row>
    <row r="243" spans="1:18" ht="16.5" thickTop="1" thickBot="1" x14ac:dyDescent="0.3">
      <c r="A243" s="308"/>
      <c r="B243" s="152" t="s">
        <v>5</v>
      </c>
      <c r="C243" s="152">
        <v>144</v>
      </c>
      <c r="D243" s="152">
        <v>856</v>
      </c>
      <c r="E243" s="152">
        <v>99</v>
      </c>
      <c r="F243" s="152"/>
      <c r="G243" s="245">
        <f t="shared" si="8"/>
        <v>99</v>
      </c>
      <c r="H243" s="292" t="s">
        <v>829</v>
      </c>
      <c r="I243" s="301"/>
      <c r="J243" s="173"/>
      <c r="K243" s="173"/>
      <c r="L243" s="173"/>
      <c r="M243" s="173"/>
      <c r="N243" s="173"/>
      <c r="O243" s="173"/>
      <c r="P243" s="173"/>
      <c r="Q243" s="173"/>
      <c r="R243" s="173"/>
    </row>
    <row r="244" spans="1:18" ht="16.5" thickTop="1" thickBot="1" x14ac:dyDescent="0.3">
      <c r="A244" s="309"/>
      <c r="B244" s="126" t="s">
        <v>20</v>
      </c>
      <c r="C244" s="126">
        <v>144</v>
      </c>
      <c r="D244" s="126">
        <v>566</v>
      </c>
      <c r="E244" s="126">
        <v>20</v>
      </c>
      <c r="F244" s="126"/>
      <c r="G244" s="246">
        <f t="shared" si="8"/>
        <v>20</v>
      </c>
      <c r="H244" s="295" t="s">
        <v>830</v>
      </c>
      <c r="I244" s="301"/>
      <c r="J244" s="173"/>
      <c r="K244" s="173"/>
      <c r="L244" s="173"/>
      <c r="M244" s="173"/>
      <c r="N244" s="173"/>
      <c r="O244" s="173"/>
      <c r="P244" s="173"/>
      <c r="Q244" s="173"/>
      <c r="R244" s="173"/>
    </row>
    <row r="245" spans="1:18" ht="16.5" thickTop="1" thickBot="1" x14ac:dyDescent="0.3">
      <c r="A245" s="307" t="s">
        <v>78</v>
      </c>
      <c r="B245" s="151" t="s">
        <v>90</v>
      </c>
      <c r="C245" s="151">
        <v>1440</v>
      </c>
      <c r="D245" s="151">
        <v>143</v>
      </c>
      <c r="E245" s="151">
        <v>50</v>
      </c>
      <c r="F245" s="151">
        <v>1</v>
      </c>
      <c r="G245" s="243">
        <f t="shared" si="8"/>
        <v>49</v>
      </c>
      <c r="H245" s="291" t="s">
        <v>831</v>
      </c>
      <c r="I245" s="301" t="s">
        <v>355</v>
      </c>
      <c r="J245" s="173"/>
      <c r="K245" s="173"/>
      <c r="L245" s="173"/>
      <c r="M245" s="173"/>
      <c r="N245" s="173"/>
      <c r="O245" s="173"/>
      <c r="P245" s="173"/>
      <c r="Q245" s="173"/>
      <c r="R245" s="173"/>
    </row>
    <row r="246" spans="1:18" ht="16.5" thickTop="1" thickBot="1" x14ac:dyDescent="0.3">
      <c r="A246" s="308"/>
      <c r="B246" s="152" t="s">
        <v>89</v>
      </c>
      <c r="C246" s="152">
        <v>1440</v>
      </c>
      <c r="D246" s="152">
        <v>143</v>
      </c>
      <c r="E246" s="152">
        <v>20</v>
      </c>
      <c r="F246" s="153"/>
      <c r="G246" s="244">
        <f>E246-F246</f>
        <v>20</v>
      </c>
      <c r="H246" s="292" t="s">
        <v>832</v>
      </c>
      <c r="I246" s="301"/>
      <c r="J246" s="173"/>
      <c r="K246" s="173"/>
      <c r="L246" s="173"/>
      <c r="M246" s="173"/>
      <c r="N246" s="173"/>
      <c r="O246" s="173"/>
      <c r="P246" s="173"/>
      <c r="Q246" s="173"/>
      <c r="R246" s="173"/>
    </row>
    <row r="247" spans="1:18" ht="16.5" thickTop="1" thickBot="1" x14ac:dyDescent="0.3">
      <c r="A247" s="308"/>
      <c r="B247" s="152" t="s">
        <v>22</v>
      </c>
      <c r="C247" s="152">
        <v>1440</v>
      </c>
      <c r="D247" s="152">
        <v>192</v>
      </c>
      <c r="E247" s="152">
        <v>38</v>
      </c>
      <c r="F247" s="152">
        <f>2+1+1+1+2+1+1+1+1+1</f>
        <v>12</v>
      </c>
      <c r="G247" s="245">
        <f t="shared" si="8"/>
        <v>26</v>
      </c>
      <c r="H247" s="292" t="s">
        <v>833</v>
      </c>
      <c r="I247" s="301"/>
      <c r="J247" s="173"/>
      <c r="K247" s="173"/>
      <c r="L247" s="173"/>
      <c r="M247" s="173"/>
      <c r="N247" s="173"/>
      <c r="O247" s="173"/>
      <c r="P247" s="173"/>
      <c r="Q247" s="173"/>
      <c r="R247" s="173"/>
    </row>
    <row r="248" spans="1:18" ht="16.5" thickTop="1" thickBot="1" x14ac:dyDescent="0.3">
      <c r="A248" s="308"/>
      <c r="B248" s="153" t="s">
        <v>18</v>
      </c>
      <c r="C248" s="153">
        <v>1440</v>
      </c>
      <c r="D248" s="153">
        <v>226</v>
      </c>
      <c r="E248" s="153">
        <f>35+38</f>
        <v>73</v>
      </c>
      <c r="F248" s="153">
        <f>1+1+1+1+1</f>
        <v>5</v>
      </c>
      <c r="G248" s="244">
        <f t="shared" si="8"/>
        <v>68</v>
      </c>
      <c r="H248" s="292" t="s">
        <v>834</v>
      </c>
      <c r="I248" s="301"/>
      <c r="J248" s="173"/>
      <c r="K248" s="173"/>
      <c r="L248" s="173"/>
      <c r="M248" s="173"/>
      <c r="N248" s="173"/>
      <c r="O248" s="173"/>
      <c r="P248" s="173"/>
      <c r="Q248" s="173"/>
      <c r="R248" s="173"/>
    </row>
    <row r="249" spans="1:18" ht="16.5" thickTop="1" thickBot="1" x14ac:dyDescent="0.3">
      <c r="A249" s="308"/>
      <c r="B249" s="152" t="s">
        <v>19</v>
      </c>
      <c r="C249" s="152">
        <v>1440</v>
      </c>
      <c r="D249" s="152">
        <v>281</v>
      </c>
      <c r="E249" s="152">
        <f>30+28</f>
        <v>58</v>
      </c>
      <c r="F249" s="152">
        <f>1+1</f>
        <v>2</v>
      </c>
      <c r="G249" s="245">
        <f t="shared" si="8"/>
        <v>56</v>
      </c>
      <c r="H249" s="292" t="s">
        <v>835</v>
      </c>
      <c r="I249" s="301"/>
      <c r="J249" s="173"/>
      <c r="K249" s="173"/>
      <c r="L249" s="173"/>
      <c r="M249" s="173"/>
      <c r="N249" s="173"/>
      <c r="O249" s="173"/>
      <c r="P249" s="173"/>
      <c r="Q249" s="173"/>
      <c r="R249" s="173"/>
    </row>
    <row r="250" spans="1:18" ht="16.5" thickTop="1" thickBot="1" x14ac:dyDescent="0.3">
      <c r="A250" s="308"/>
      <c r="B250" s="152" t="s">
        <v>0</v>
      </c>
      <c r="C250" s="152">
        <v>1440</v>
      </c>
      <c r="D250" s="152">
        <v>362</v>
      </c>
      <c r="E250" s="152">
        <f>50+29</f>
        <v>79</v>
      </c>
      <c r="F250" s="152">
        <f>1+1+1</f>
        <v>3</v>
      </c>
      <c r="G250" s="245">
        <f t="shared" si="8"/>
        <v>76</v>
      </c>
      <c r="H250" s="292" t="s">
        <v>836</v>
      </c>
      <c r="I250" s="301"/>
      <c r="J250" s="173"/>
      <c r="K250" s="173"/>
      <c r="L250" s="173"/>
      <c r="M250" s="173"/>
      <c r="N250" s="173"/>
      <c r="O250" s="173"/>
      <c r="P250" s="173"/>
      <c r="Q250" s="173"/>
      <c r="R250" s="173"/>
    </row>
    <row r="251" spans="1:18" ht="16.5" thickTop="1" thickBot="1" x14ac:dyDescent="0.3">
      <c r="A251" s="308"/>
      <c r="B251" s="152" t="s">
        <v>1</v>
      </c>
      <c r="C251" s="152">
        <v>1440</v>
      </c>
      <c r="D251" s="152">
        <v>583</v>
      </c>
      <c r="E251" s="152">
        <v>90</v>
      </c>
      <c r="F251" s="152">
        <f>1+1</f>
        <v>2</v>
      </c>
      <c r="G251" s="245">
        <f t="shared" si="8"/>
        <v>88</v>
      </c>
      <c r="H251" s="292" t="s">
        <v>837</v>
      </c>
      <c r="I251" s="301"/>
      <c r="J251" s="173"/>
      <c r="K251" s="173"/>
      <c r="L251" s="173"/>
      <c r="M251" s="173"/>
      <c r="N251" s="173"/>
      <c r="O251" s="173"/>
      <c r="P251" s="173"/>
      <c r="Q251" s="173"/>
      <c r="R251" s="173"/>
    </row>
    <row r="252" spans="1:18" ht="16.5" thickTop="1" thickBot="1" x14ac:dyDescent="0.3">
      <c r="A252" s="308"/>
      <c r="B252" s="152" t="s">
        <v>2</v>
      </c>
      <c r="C252" s="152">
        <v>288</v>
      </c>
      <c r="D252" s="152">
        <v>332</v>
      </c>
      <c r="E252" s="152">
        <v>50</v>
      </c>
      <c r="F252" s="152">
        <v>1</v>
      </c>
      <c r="G252" s="245">
        <f t="shared" si="8"/>
        <v>49</v>
      </c>
      <c r="H252" s="292" t="s">
        <v>838</v>
      </c>
      <c r="I252" s="301"/>
      <c r="J252" s="173"/>
      <c r="K252" s="173"/>
      <c r="L252" s="173"/>
      <c r="M252" s="173"/>
      <c r="N252" s="173"/>
      <c r="O252" s="173"/>
      <c r="P252" s="173"/>
      <c r="Q252" s="173"/>
      <c r="R252" s="173"/>
    </row>
    <row r="253" spans="1:18" ht="16.5" thickTop="1" thickBot="1" x14ac:dyDescent="0.3">
      <c r="A253" s="308"/>
      <c r="B253" s="152" t="s">
        <v>5</v>
      </c>
      <c r="C253" s="152">
        <v>144</v>
      </c>
      <c r="D253" s="152">
        <v>856</v>
      </c>
      <c r="E253" s="152">
        <v>75</v>
      </c>
      <c r="F253" s="152">
        <v>1</v>
      </c>
      <c r="G253" s="245">
        <f t="shared" si="8"/>
        <v>74</v>
      </c>
      <c r="H253" s="292" t="s">
        <v>839</v>
      </c>
      <c r="I253" s="301"/>
      <c r="J253" s="173"/>
      <c r="K253" s="173"/>
      <c r="L253" s="173"/>
      <c r="M253" s="173"/>
      <c r="N253" s="173"/>
      <c r="O253" s="173"/>
      <c r="P253" s="173"/>
      <c r="Q253" s="173"/>
      <c r="R253" s="173"/>
    </row>
    <row r="254" spans="1:18" ht="16.5" thickTop="1" thickBot="1" x14ac:dyDescent="0.3">
      <c r="A254" s="309"/>
      <c r="B254" s="154" t="s">
        <v>20</v>
      </c>
      <c r="C254" s="154">
        <v>144</v>
      </c>
      <c r="D254" s="154">
        <v>566</v>
      </c>
      <c r="E254" s="154">
        <v>20</v>
      </c>
      <c r="F254" s="154">
        <v>5</v>
      </c>
      <c r="G254" s="247">
        <f t="shared" si="8"/>
        <v>15</v>
      </c>
      <c r="H254" s="295" t="s">
        <v>840</v>
      </c>
      <c r="I254" s="301"/>
      <c r="J254" s="173"/>
      <c r="K254" s="173"/>
      <c r="L254" s="173"/>
      <c r="M254" s="173"/>
      <c r="N254" s="173"/>
      <c r="O254" s="173"/>
      <c r="P254" s="173"/>
      <c r="Q254" s="173"/>
      <c r="R254" s="173"/>
    </row>
    <row r="255" spans="1:18" ht="16.5" thickTop="1" thickBot="1" x14ac:dyDescent="0.3">
      <c r="A255" s="307" t="s">
        <v>11</v>
      </c>
      <c r="B255" s="151" t="s">
        <v>90</v>
      </c>
      <c r="C255" s="151">
        <v>1440</v>
      </c>
      <c r="D255" s="151">
        <v>148</v>
      </c>
      <c r="E255" s="151">
        <v>50</v>
      </c>
      <c r="F255" s="151">
        <f>1+1+2+1</f>
        <v>5</v>
      </c>
      <c r="G255" s="243">
        <f t="shared" si="8"/>
        <v>45</v>
      </c>
      <c r="H255" s="291" t="s">
        <v>841</v>
      </c>
      <c r="I255" s="301" t="s">
        <v>356</v>
      </c>
      <c r="J255" s="173"/>
      <c r="K255" s="173"/>
      <c r="L255" s="173"/>
      <c r="M255" s="173"/>
      <c r="N255" s="173"/>
      <c r="O255" s="173"/>
      <c r="P255" s="173"/>
      <c r="Q255" s="173"/>
      <c r="R255" s="173"/>
    </row>
    <row r="256" spans="1:18" ht="16.5" thickTop="1" thickBot="1" x14ac:dyDescent="0.3">
      <c r="A256" s="308"/>
      <c r="B256" s="152" t="s">
        <v>89</v>
      </c>
      <c r="C256" s="152">
        <v>1440</v>
      </c>
      <c r="D256" s="152">
        <v>160</v>
      </c>
      <c r="E256" s="152">
        <v>42</v>
      </c>
      <c r="F256" s="152"/>
      <c r="G256" s="245">
        <f>E256-F256</f>
        <v>42</v>
      </c>
      <c r="H256" s="292" t="s">
        <v>842</v>
      </c>
      <c r="I256" s="301"/>
      <c r="J256" s="173"/>
      <c r="K256" s="173"/>
      <c r="L256" s="173"/>
      <c r="M256" s="173"/>
      <c r="N256" s="173"/>
      <c r="O256" s="173"/>
      <c r="P256" s="173"/>
      <c r="Q256" s="173"/>
      <c r="R256" s="173"/>
    </row>
    <row r="257" spans="1:18" ht="16.5" thickTop="1" thickBot="1" x14ac:dyDescent="0.3">
      <c r="A257" s="308"/>
      <c r="B257" s="153" t="s">
        <v>21</v>
      </c>
      <c r="C257" s="153">
        <v>1440</v>
      </c>
      <c r="D257" s="153">
        <v>160</v>
      </c>
      <c r="E257" s="153">
        <v>89</v>
      </c>
      <c r="F257" s="153"/>
      <c r="G257" s="244">
        <f>E257-F257</f>
        <v>89</v>
      </c>
      <c r="H257" s="292" t="s">
        <v>843</v>
      </c>
      <c r="I257" s="301"/>
      <c r="J257" s="173"/>
      <c r="K257" s="173"/>
      <c r="L257" s="173"/>
      <c r="M257" s="173"/>
      <c r="N257" s="173"/>
      <c r="O257" s="173"/>
      <c r="P257" s="173"/>
      <c r="Q257" s="173"/>
      <c r="R257" s="173"/>
    </row>
    <row r="258" spans="1:18" ht="16.5" thickTop="1" thickBot="1" x14ac:dyDescent="0.3">
      <c r="A258" s="308"/>
      <c r="B258" s="153" t="s">
        <v>22</v>
      </c>
      <c r="C258" s="153">
        <v>1440</v>
      </c>
      <c r="D258" s="153">
        <v>192</v>
      </c>
      <c r="E258" s="153">
        <v>39</v>
      </c>
      <c r="F258" s="153">
        <f>1+1+1+1+1+1</f>
        <v>6</v>
      </c>
      <c r="G258" s="244">
        <f t="shared" si="8"/>
        <v>33</v>
      </c>
      <c r="H258" s="292" t="s">
        <v>844</v>
      </c>
      <c r="I258" s="301"/>
      <c r="J258" s="173"/>
      <c r="K258" s="173"/>
      <c r="L258" s="173"/>
      <c r="M258" s="173"/>
      <c r="N258" s="173"/>
      <c r="O258" s="173"/>
      <c r="P258" s="173"/>
      <c r="Q258" s="173"/>
      <c r="R258" s="173"/>
    </row>
    <row r="259" spans="1:18" ht="16.5" thickTop="1" thickBot="1" x14ac:dyDescent="0.3">
      <c r="A259" s="308"/>
      <c r="B259" s="152" t="s">
        <v>18</v>
      </c>
      <c r="C259" s="152">
        <v>1440</v>
      </c>
      <c r="D259" s="152">
        <v>226</v>
      </c>
      <c r="E259" s="152">
        <v>35</v>
      </c>
      <c r="F259" s="152">
        <f>1+1</f>
        <v>2</v>
      </c>
      <c r="G259" s="245">
        <f t="shared" si="8"/>
        <v>33</v>
      </c>
      <c r="H259" s="292" t="s">
        <v>845</v>
      </c>
      <c r="I259" s="301"/>
      <c r="J259" s="173"/>
      <c r="K259" s="173"/>
      <c r="L259" s="173"/>
      <c r="M259" s="173"/>
      <c r="N259" s="173"/>
      <c r="O259" s="173"/>
      <c r="P259" s="173"/>
      <c r="Q259" s="173"/>
      <c r="R259" s="173"/>
    </row>
    <row r="260" spans="1:18" ht="16.5" thickTop="1" thickBot="1" x14ac:dyDescent="0.3">
      <c r="A260" s="308"/>
      <c r="B260" s="152" t="s">
        <v>19</v>
      </c>
      <c r="C260" s="152">
        <v>1440</v>
      </c>
      <c r="D260" s="152">
        <v>281</v>
      </c>
      <c r="E260" s="152">
        <v>30</v>
      </c>
      <c r="F260" s="152">
        <v>1</v>
      </c>
      <c r="G260" s="245">
        <f t="shared" si="8"/>
        <v>29</v>
      </c>
      <c r="H260" s="292" t="s">
        <v>846</v>
      </c>
      <c r="I260" s="301"/>
      <c r="J260" s="173"/>
      <c r="K260" s="173"/>
      <c r="L260" s="173"/>
      <c r="M260" s="173"/>
      <c r="N260" s="173"/>
      <c r="O260" s="173"/>
      <c r="P260" s="173"/>
      <c r="Q260" s="173"/>
      <c r="R260" s="173"/>
    </row>
    <row r="261" spans="1:18" ht="16.5" thickTop="1" thickBot="1" x14ac:dyDescent="0.3">
      <c r="A261" s="308"/>
      <c r="B261" s="152" t="s">
        <v>0</v>
      </c>
      <c r="C261" s="152">
        <v>1440</v>
      </c>
      <c r="D261" s="152">
        <v>362</v>
      </c>
      <c r="E261" s="152">
        <v>40</v>
      </c>
      <c r="F261" s="152">
        <f>1+1</f>
        <v>2</v>
      </c>
      <c r="G261" s="245">
        <f t="shared" si="8"/>
        <v>38</v>
      </c>
      <c r="H261" s="292" t="s">
        <v>847</v>
      </c>
      <c r="I261" s="301"/>
      <c r="J261" s="173"/>
      <c r="K261" s="173"/>
      <c r="L261" s="173"/>
      <c r="M261" s="173"/>
      <c r="N261" s="173"/>
      <c r="O261" s="173"/>
      <c r="P261" s="173"/>
      <c r="Q261" s="173"/>
      <c r="R261" s="173"/>
    </row>
    <row r="262" spans="1:18" ht="16.5" thickTop="1" thickBot="1" x14ac:dyDescent="0.3">
      <c r="A262" s="308"/>
      <c r="B262" s="152" t="s">
        <v>1</v>
      </c>
      <c r="C262" s="152">
        <v>1440</v>
      </c>
      <c r="D262" s="152">
        <v>583</v>
      </c>
      <c r="E262" s="152">
        <v>96</v>
      </c>
      <c r="F262" s="152">
        <v>1</v>
      </c>
      <c r="G262" s="245">
        <f t="shared" si="8"/>
        <v>95</v>
      </c>
      <c r="H262" s="292" t="s">
        <v>848</v>
      </c>
      <c r="I262" s="301"/>
      <c r="J262" s="173"/>
      <c r="K262" s="173"/>
      <c r="L262" s="173"/>
      <c r="M262" s="173"/>
      <c r="N262" s="173"/>
      <c r="O262" s="173"/>
      <c r="P262" s="173"/>
      <c r="Q262" s="173"/>
      <c r="R262" s="173"/>
    </row>
    <row r="263" spans="1:18" ht="16.5" thickTop="1" thickBot="1" x14ac:dyDescent="0.3">
      <c r="A263" s="308"/>
      <c r="B263" s="154" t="s">
        <v>2</v>
      </c>
      <c r="C263" s="154">
        <v>288</v>
      </c>
      <c r="D263" s="154">
        <v>332</v>
      </c>
      <c r="E263" s="154">
        <v>41</v>
      </c>
      <c r="F263" s="154">
        <v>1</v>
      </c>
      <c r="G263" s="247">
        <f t="shared" si="8"/>
        <v>40</v>
      </c>
      <c r="H263" s="292" t="s">
        <v>849</v>
      </c>
      <c r="I263" s="301"/>
      <c r="J263" s="173"/>
      <c r="K263" s="173"/>
      <c r="L263" s="173"/>
      <c r="M263" s="173"/>
      <c r="N263" s="173"/>
      <c r="O263" s="173"/>
      <c r="P263" s="173"/>
      <c r="Q263" s="173"/>
      <c r="R263" s="173"/>
    </row>
    <row r="264" spans="1:18" ht="16.5" thickTop="1" thickBot="1" x14ac:dyDescent="0.3">
      <c r="A264" s="309"/>
      <c r="B264" s="126" t="s">
        <v>20</v>
      </c>
      <c r="C264" s="126">
        <v>144</v>
      </c>
      <c r="D264" s="126">
        <v>566</v>
      </c>
      <c r="E264" s="126">
        <v>20</v>
      </c>
      <c r="F264" s="126"/>
      <c r="G264" s="246">
        <f t="shared" si="8"/>
        <v>20</v>
      </c>
      <c r="H264" s="295" t="s">
        <v>850</v>
      </c>
      <c r="I264" s="301"/>
      <c r="J264" s="173"/>
      <c r="K264" s="173"/>
      <c r="L264" s="173"/>
      <c r="M264" s="173"/>
      <c r="N264" s="173"/>
      <c r="O264" s="173"/>
      <c r="P264" s="173"/>
      <c r="Q264" s="173"/>
      <c r="R264" s="173"/>
    </row>
    <row r="265" spans="1:18" ht="16.5" thickTop="1" thickBot="1" x14ac:dyDescent="0.3">
      <c r="A265" s="307" t="s">
        <v>131</v>
      </c>
      <c r="B265" s="151" t="s">
        <v>90</v>
      </c>
      <c r="C265" s="151">
        <v>1440</v>
      </c>
      <c r="D265" s="151">
        <v>143</v>
      </c>
      <c r="E265" s="151">
        <v>50</v>
      </c>
      <c r="F265" s="151"/>
      <c r="G265" s="243">
        <f t="shared" si="8"/>
        <v>50</v>
      </c>
      <c r="H265" s="291" t="s">
        <v>851</v>
      </c>
      <c r="I265" s="301" t="s">
        <v>357</v>
      </c>
      <c r="J265" s="173"/>
      <c r="K265" s="173"/>
      <c r="L265" s="173"/>
      <c r="M265" s="173"/>
      <c r="N265" s="173"/>
      <c r="O265" s="173"/>
      <c r="P265" s="173"/>
      <c r="Q265" s="173"/>
      <c r="R265" s="173"/>
    </row>
    <row r="266" spans="1:18" ht="16.5" thickTop="1" thickBot="1" x14ac:dyDescent="0.3">
      <c r="A266" s="308"/>
      <c r="B266" s="153" t="s">
        <v>89</v>
      </c>
      <c r="C266" s="153">
        <v>1440</v>
      </c>
      <c r="D266" s="153">
        <v>160</v>
      </c>
      <c r="E266" s="153">
        <v>40</v>
      </c>
      <c r="F266" s="153"/>
      <c r="G266" s="242">
        <f t="shared" si="8"/>
        <v>40</v>
      </c>
      <c r="H266" s="292" t="s">
        <v>852</v>
      </c>
      <c r="I266" s="301"/>
      <c r="J266" s="173"/>
      <c r="K266" s="173"/>
      <c r="L266" s="173"/>
      <c r="M266" s="173"/>
      <c r="N266" s="173"/>
      <c r="O266" s="173"/>
      <c r="P266" s="173"/>
      <c r="Q266" s="173"/>
      <c r="R266" s="173"/>
    </row>
    <row r="267" spans="1:18" ht="16.5" thickTop="1" thickBot="1" x14ac:dyDescent="0.3">
      <c r="A267" s="308"/>
      <c r="B267" s="152" t="s">
        <v>21</v>
      </c>
      <c r="C267" s="152">
        <v>1440</v>
      </c>
      <c r="D267" s="152">
        <v>160</v>
      </c>
      <c r="E267" s="152">
        <v>50</v>
      </c>
      <c r="F267" s="152">
        <f>1+1+1</f>
        <v>3</v>
      </c>
      <c r="G267" s="245">
        <f t="shared" si="8"/>
        <v>47</v>
      </c>
      <c r="H267" s="292" t="s">
        <v>853</v>
      </c>
      <c r="I267" s="301"/>
      <c r="J267" s="173"/>
      <c r="K267" s="173"/>
      <c r="L267" s="173"/>
      <c r="M267" s="173"/>
      <c r="N267" s="173"/>
      <c r="O267" s="173"/>
      <c r="P267" s="173"/>
      <c r="Q267" s="173"/>
      <c r="R267" s="173"/>
    </row>
    <row r="268" spans="1:18" ht="16.5" thickTop="1" thickBot="1" x14ac:dyDescent="0.3">
      <c r="A268" s="308"/>
      <c r="B268" s="152" t="s">
        <v>18</v>
      </c>
      <c r="C268" s="152">
        <v>1440</v>
      </c>
      <c r="D268" s="152">
        <v>226</v>
      </c>
      <c r="E268" s="152">
        <v>35</v>
      </c>
      <c r="F268" s="152">
        <v>1</v>
      </c>
      <c r="G268" s="245">
        <f t="shared" si="8"/>
        <v>34</v>
      </c>
      <c r="H268" s="292" t="s">
        <v>854</v>
      </c>
      <c r="I268" s="301"/>
      <c r="J268" s="173"/>
      <c r="K268" s="173"/>
      <c r="L268" s="173"/>
      <c r="M268" s="173"/>
      <c r="N268" s="173"/>
      <c r="O268" s="173"/>
      <c r="P268" s="173"/>
      <c r="Q268" s="173"/>
      <c r="R268" s="173"/>
    </row>
    <row r="269" spans="1:18" ht="16.5" thickTop="1" thickBot="1" x14ac:dyDescent="0.3">
      <c r="A269" s="308"/>
      <c r="B269" s="152" t="s">
        <v>19</v>
      </c>
      <c r="C269" s="152">
        <v>1440</v>
      </c>
      <c r="D269" s="152">
        <v>281</v>
      </c>
      <c r="E269" s="152">
        <v>30</v>
      </c>
      <c r="F269" s="152">
        <v>1</v>
      </c>
      <c r="G269" s="245">
        <f t="shared" si="8"/>
        <v>29</v>
      </c>
      <c r="H269" s="292" t="s">
        <v>855</v>
      </c>
      <c r="I269" s="301"/>
      <c r="J269" s="173"/>
      <c r="K269" s="173"/>
      <c r="L269" s="173"/>
      <c r="M269" s="173"/>
      <c r="N269" s="173"/>
      <c r="O269" s="173"/>
      <c r="P269" s="173"/>
      <c r="Q269" s="173"/>
      <c r="R269" s="173"/>
    </row>
    <row r="270" spans="1:18" ht="16.5" thickTop="1" thickBot="1" x14ac:dyDescent="0.3">
      <c r="A270" s="308"/>
      <c r="B270" s="152" t="s">
        <v>0</v>
      </c>
      <c r="C270" s="152">
        <v>1440</v>
      </c>
      <c r="D270" s="152">
        <v>362</v>
      </c>
      <c r="E270" s="152">
        <v>50</v>
      </c>
      <c r="F270" s="152">
        <f>1+1</f>
        <v>2</v>
      </c>
      <c r="G270" s="245">
        <f t="shared" si="8"/>
        <v>48</v>
      </c>
      <c r="H270" s="292" t="s">
        <v>856</v>
      </c>
      <c r="I270" s="301"/>
      <c r="J270" s="173"/>
      <c r="K270" s="173"/>
      <c r="L270" s="173"/>
      <c r="M270" s="173"/>
      <c r="N270" s="173"/>
      <c r="O270" s="173"/>
      <c r="P270" s="173"/>
      <c r="Q270" s="173"/>
      <c r="R270" s="173"/>
    </row>
    <row r="271" spans="1:18" ht="16.5" thickTop="1" thickBot="1" x14ac:dyDescent="0.3">
      <c r="A271" s="308"/>
      <c r="B271" s="152" t="s">
        <v>1</v>
      </c>
      <c r="C271" s="152">
        <v>1440</v>
      </c>
      <c r="D271" s="152">
        <v>583</v>
      </c>
      <c r="E271" s="152">
        <v>89</v>
      </c>
      <c r="F271" s="152">
        <f>1+1</f>
        <v>2</v>
      </c>
      <c r="G271" s="245">
        <f t="shared" si="8"/>
        <v>87</v>
      </c>
      <c r="H271" s="292" t="s">
        <v>857</v>
      </c>
      <c r="I271" s="301"/>
      <c r="J271" s="173"/>
      <c r="K271" s="173"/>
      <c r="L271" s="173"/>
      <c r="M271" s="173"/>
      <c r="N271" s="173"/>
      <c r="O271" s="173"/>
      <c r="P271" s="173"/>
      <c r="Q271" s="173"/>
      <c r="R271" s="173"/>
    </row>
    <row r="272" spans="1:18" ht="16.5" thickTop="1" thickBot="1" x14ac:dyDescent="0.3">
      <c r="A272" s="308"/>
      <c r="B272" s="152" t="s">
        <v>2</v>
      </c>
      <c r="C272" s="152">
        <v>288</v>
      </c>
      <c r="D272" s="152">
        <v>332</v>
      </c>
      <c r="E272" s="152">
        <v>50</v>
      </c>
      <c r="F272" s="152">
        <f>1+1</f>
        <v>2</v>
      </c>
      <c r="G272" s="245">
        <f t="shared" si="8"/>
        <v>48</v>
      </c>
      <c r="H272" s="292" t="s">
        <v>858</v>
      </c>
      <c r="I272" s="301"/>
      <c r="J272" s="173"/>
      <c r="K272" s="173"/>
      <c r="L272" s="173"/>
      <c r="M272" s="173"/>
      <c r="N272" s="173"/>
      <c r="O272" s="173"/>
      <c r="P272" s="173"/>
      <c r="Q272" s="173"/>
      <c r="R272" s="173"/>
    </row>
    <row r="273" spans="1:18" ht="16.5" thickTop="1" thickBot="1" x14ac:dyDescent="0.3">
      <c r="A273" s="309"/>
      <c r="B273" s="126" t="s">
        <v>20</v>
      </c>
      <c r="C273" s="126">
        <v>144</v>
      </c>
      <c r="D273" s="126">
        <v>566</v>
      </c>
      <c r="E273" s="126">
        <v>20</v>
      </c>
      <c r="F273" s="126"/>
      <c r="G273" s="246">
        <f t="shared" si="8"/>
        <v>20</v>
      </c>
      <c r="H273" s="295" t="s">
        <v>859</v>
      </c>
      <c r="I273" s="301"/>
      <c r="J273" s="173"/>
      <c r="K273" s="173"/>
      <c r="L273" s="173"/>
      <c r="M273" s="173"/>
      <c r="N273" s="173"/>
      <c r="O273" s="173"/>
      <c r="P273" s="173"/>
      <c r="Q273" s="173"/>
      <c r="R273" s="173"/>
    </row>
    <row r="274" spans="1:18" ht="16.5" thickTop="1" thickBot="1" x14ac:dyDescent="0.3">
      <c r="A274" s="307" t="s">
        <v>581</v>
      </c>
      <c r="B274" s="151" t="s">
        <v>90</v>
      </c>
      <c r="C274" s="151">
        <v>1440</v>
      </c>
      <c r="D274" s="151">
        <v>292</v>
      </c>
      <c r="E274" s="151">
        <v>50</v>
      </c>
      <c r="F274" s="151">
        <f>1+1</f>
        <v>2</v>
      </c>
      <c r="G274" s="243">
        <f t="shared" si="8"/>
        <v>48</v>
      </c>
      <c r="H274" s="291" t="s">
        <v>860</v>
      </c>
      <c r="I274" s="301" t="s">
        <v>358</v>
      </c>
      <c r="J274" s="173"/>
      <c r="K274" s="173"/>
      <c r="L274" s="173"/>
      <c r="M274" s="173"/>
      <c r="N274" s="173"/>
      <c r="O274" s="173"/>
      <c r="P274" s="173"/>
      <c r="Q274" s="173"/>
      <c r="R274" s="173"/>
    </row>
    <row r="275" spans="1:18" ht="16.5" thickTop="1" thickBot="1" x14ac:dyDescent="0.3">
      <c r="A275" s="308"/>
      <c r="B275" s="152" t="s">
        <v>89</v>
      </c>
      <c r="C275" s="152">
        <v>1440</v>
      </c>
      <c r="D275" s="152">
        <v>292</v>
      </c>
      <c r="E275" s="152">
        <v>38</v>
      </c>
      <c r="F275" s="152"/>
      <c r="G275" s="245">
        <f t="shared" si="8"/>
        <v>38</v>
      </c>
      <c r="H275" s="292" t="s">
        <v>861</v>
      </c>
      <c r="I275" s="301"/>
      <c r="J275" s="173"/>
      <c r="K275" s="173"/>
      <c r="L275" s="173"/>
      <c r="M275" s="173"/>
      <c r="N275" s="173"/>
      <c r="O275" s="173"/>
      <c r="P275" s="173"/>
      <c r="Q275" s="173"/>
      <c r="R275" s="173"/>
    </row>
    <row r="276" spans="1:18" ht="16.5" thickTop="1" thickBot="1" x14ac:dyDescent="0.3">
      <c r="A276" s="308"/>
      <c r="B276" s="152" t="s">
        <v>21</v>
      </c>
      <c r="C276" s="152">
        <v>1440</v>
      </c>
      <c r="D276" s="152">
        <v>215</v>
      </c>
      <c r="E276" s="152">
        <v>49</v>
      </c>
      <c r="F276" s="152">
        <f>1+1+1+1+1+1+1</f>
        <v>7</v>
      </c>
      <c r="G276" s="245">
        <f t="shared" si="8"/>
        <v>42</v>
      </c>
      <c r="H276" s="292" t="s">
        <v>862</v>
      </c>
      <c r="I276" s="301"/>
      <c r="J276" s="173"/>
      <c r="K276" s="173"/>
      <c r="L276" s="173"/>
      <c r="M276" s="173"/>
      <c r="N276" s="173"/>
      <c r="O276" s="173"/>
      <c r="P276" s="173"/>
      <c r="Q276" s="173"/>
      <c r="R276" s="173"/>
    </row>
    <row r="277" spans="1:18" ht="16.5" thickTop="1" thickBot="1" x14ac:dyDescent="0.3">
      <c r="A277" s="308"/>
      <c r="B277" s="152" t="s">
        <v>22</v>
      </c>
      <c r="C277" s="152">
        <v>1440</v>
      </c>
      <c r="D277" s="152">
        <v>259</v>
      </c>
      <c r="E277" s="152">
        <v>40</v>
      </c>
      <c r="F277" s="152">
        <f>1+1+1+1+2</f>
        <v>6</v>
      </c>
      <c r="G277" s="245">
        <f t="shared" si="8"/>
        <v>34</v>
      </c>
      <c r="H277" s="292" t="s">
        <v>863</v>
      </c>
      <c r="I277" s="301"/>
      <c r="J277" s="173"/>
      <c r="K277" s="173"/>
      <c r="L277" s="173"/>
      <c r="M277" s="173"/>
      <c r="N277" s="173"/>
      <c r="O277" s="173"/>
      <c r="P277" s="173"/>
      <c r="Q277" s="173"/>
      <c r="R277" s="173"/>
    </row>
    <row r="278" spans="1:18" ht="16.5" thickTop="1" thickBot="1" x14ac:dyDescent="0.3">
      <c r="A278" s="308"/>
      <c r="B278" s="152" t="s">
        <v>18</v>
      </c>
      <c r="C278" s="152">
        <v>1440</v>
      </c>
      <c r="D278" s="152">
        <v>292</v>
      </c>
      <c r="E278" s="152">
        <v>35</v>
      </c>
      <c r="F278" s="152">
        <f>2+1</f>
        <v>3</v>
      </c>
      <c r="G278" s="245">
        <f t="shared" si="8"/>
        <v>32</v>
      </c>
      <c r="H278" s="292" t="s">
        <v>864</v>
      </c>
      <c r="I278" s="301"/>
      <c r="J278" s="173"/>
      <c r="K278" s="173"/>
      <c r="L278" s="173"/>
      <c r="M278" s="173"/>
      <c r="N278" s="173"/>
      <c r="O278" s="173"/>
      <c r="P278" s="173"/>
      <c r="Q278" s="173"/>
      <c r="R278" s="173"/>
    </row>
    <row r="279" spans="1:18" ht="16.5" thickTop="1" thickBot="1" x14ac:dyDescent="0.3">
      <c r="A279" s="308"/>
      <c r="B279" s="152" t="s">
        <v>19</v>
      </c>
      <c r="C279" s="152">
        <v>1440</v>
      </c>
      <c r="D279" s="152">
        <v>403</v>
      </c>
      <c r="E279" s="152">
        <v>30</v>
      </c>
      <c r="F279" s="152">
        <v>1</v>
      </c>
      <c r="G279" s="245">
        <f t="shared" si="8"/>
        <v>29</v>
      </c>
      <c r="H279" s="292" t="s">
        <v>865</v>
      </c>
      <c r="I279" s="301"/>
      <c r="J279" s="173"/>
      <c r="K279" s="173"/>
      <c r="L279" s="173"/>
      <c r="M279" s="173"/>
      <c r="N279" s="173"/>
      <c r="O279" s="173"/>
      <c r="P279" s="173"/>
      <c r="Q279" s="173"/>
      <c r="R279" s="173"/>
    </row>
    <row r="280" spans="1:18" ht="16.5" thickTop="1" thickBot="1" x14ac:dyDescent="0.3">
      <c r="A280" s="308"/>
      <c r="B280" s="152" t="s">
        <v>0</v>
      </c>
      <c r="C280" s="152">
        <v>1440</v>
      </c>
      <c r="D280" s="152">
        <v>583</v>
      </c>
      <c r="E280" s="152">
        <v>49</v>
      </c>
      <c r="F280" s="152">
        <v>1</v>
      </c>
      <c r="G280" s="245">
        <f t="shared" si="8"/>
        <v>48</v>
      </c>
      <c r="H280" s="292" t="s">
        <v>866</v>
      </c>
      <c r="I280" s="301"/>
      <c r="J280" s="173"/>
      <c r="K280" s="173"/>
      <c r="L280" s="173"/>
      <c r="M280" s="173"/>
      <c r="N280" s="173"/>
      <c r="O280" s="173"/>
      <c r="P280" s="173"/>
      <c r="Q280" s="173"/>
      <c r="R280" s="173"/>
    </row>
    <row r="281" spans="1:18" ht="16.5" thickTop="1" thickBot="1" x14ac:dyDescent="0.3">
      <c r="A281" s="308"/>
      <c r="B281" s="152" t="s">
        <v>1</v>
      </c>
      <c r="C281" s="152">
        <v>1440</v>
      </c>
      <c r="D281" s="152">
        <v>885</v>
      </c>
      <c r="E281" s="152">
        <v>89</v>
      </c>
      <c r="F281" s="152">
        <v>1</v>
      </c>
      <c r="G281" s="245">
        <f t="shared" si="8"/>
        <v>88</v>
      </c>
      <c r="H281" s="292" t="s">
        <v>867</v>
      </c>
      <c r="I281" s="301"/>
      <c r="J281" s="173"/>
      <c r="K281" s="173"/>
      <c r="L281" s="173"/>
      <c r="M281" s="173"/>
      <c r="N281" s="173"/>
      <c r="O281" s="173"/>
      <c r="P281" s="173"/>
      <c r="Q281" s="173"/>
      <c r="R281" s="173"/>
    </row>
    <row r="282" spans="1:18" ht="16.5" thickTop="1" thickBot="1" x14ac:dyDescent="0.3">
      <c r="A282" s="308"/>
      <c r="B282" s="152" t="s">
        <v>2</v>
      </c>
      <c r="C282" s="152">
        <v>288</v>
      </c>
      <c r="D282" s="152">
        <v>553</v>
      </c>
      <c r="E282" s="152">
        <v>49</v>
      </c>
      <c r="F282" s="152"/>
      <c r="G282" s="245">
        <f t="shared" si="8"/>
        <v>49</v>
      </c>
      <c r="H282" s="292" t="s">
        <v>868</v>
      </c>
      <c r="I282" s="301"/>
      <c r="J282" s="173"/>
      <c r="K282" s="173"/>
      <c r="L282" s="173"/>
      <c r="M282" s="173"/>
      <c r="N282" s="173"/>
      <c r="O282" s="173"/>
      <c r="P282" s="173"/>
      <c r="Q282" s="173"/>
      <c r="R282" s="173"/>
    </row>
    <row r="283" spans="1:18" ht="16.5" thickTop="1" thickBot="1" x14ac:dyDescent="0.3">
      <c r="A283" s="308"/>
      <c r="B283" s="152" t="s">
        <v>5</v>
      </c>
      <c r="C283" s="152">
        <v>144</v>
      </c>
      <c r="D283" s="152">
        <v>1048</v>
      </c>
      <c r="E283" s="152">
        <v>50</v>
      </c>
      <c r="F283" s="152"/>
      <c r="G283" s="245">
        <f t="shared" si="8"/>
        <v>50</v>
      </c>
      <c r="H283" s="292" t="s">
        <v>869</v>
      </c>
      <c r="I283" s="301"/>
      <c r="J283" s="173"/>
      <c r="K283" s="173"/>
      <c r="L283" s="173"/>
      <c r="M283" s="173"/>
      <c r="N283" s="173"/>
      <c r="O283" s="173"/>
      <c r="P283" s="173"/>
      <c r="Q283" s="173"/>
      <c r="R283" s="173"/>
    </row>
    <row r="284" spans="1:18" ht="16.5" thickTop="1" thickBot="1" x14ac:dyDescent="0.3">
      <c r="A284" s="309"/>
      <c r="B284" s="126" t="s">
        <v>20</v>
      </c>
      <c r="C284" s="126">
        <v>144</v>
      </c>
      <c r="D284" s="126">
        <v>939</v>
      </c>
      <c r="E284" s="126">
        <v>19</v>
      </c>
      <c r="F284" s="126"/>
      <c r="G284" s="246">
        <f t="shared" si="8"/>
        <v>19</v>
      </c>
      <c r="H284" s="295" t="s">
        <v>870</v>
      </c>
      <c r="I284" s="301"/>
      <c r="J284" s="173"/>
      <c r="K284" s="173"/>
      <c r="L284" s="173"/>
      <c r="M284" s="173"/>
      <c r="N284" s="173"/>
      <c r="O284" s="173"/>
      <c r="P284" s="173"/>
      <c r="Q284" s="173"/>
      <c r="R284" s="173"/>
    </row>
    <row r="285" spans="1:18" ht="16.5" thickTop="1" thickBot="1" x14ac:dyDescent="0.3">
      <c r="A285" s="307" t="s">
        <v>582</v>
      </c>
      <c r="B285" s="151" t="s">
        <v>90</v>
      </c>
      <c r="C285" s="151">
        <v>1440</v>
      </c>
      <c r="D285" s="151">
        <v>160</v>
      </c>
      <c r="E285" s="151">
        <v>48</v>
      </c>
      <c r="F285" s="151">
        <f>2+1+1+1+1+1+1+1+1+1+1+1+1+3</f>
        <v>17</v>
      </c>
      <c r="G285" s="243">
        <f t="shared" si="8"/>
        <v>31</v>
      </c>
      <c r="H285" s="291" t="s">
        <v>871</v>
      </c>
      <c r="I285" s="301" t="s">
        <v>360</v>
      </c>
      <c r="J285" s="173"/>
      <c r="K285" s="173"/>
      <c r="L285" s="173"/>
      <c r="M285" s="173"/>
      <c r="N285" s="173"/>
      <c r="O285" s="173"/>
      <c r="P285" s="173"/>
      <c r="Q285" s="173"/>
      <c r="R285" s="173"/>
    </row>
    <row r="286" spans="1:18" ht="16.5" thickTop="1" thickBot="1" x14ac:dyDescent="0.3">
      <c r="A286" s="308"/>
      <c r="B286" s="152" t="s">
        <v>89</v>
      </c>
      <c r="C286" s="152">
        <v>1440</v>
      </c>
      <c r="D286" s="152">
        <v>160</v>
      </c>
      <c r="E286" s="152">
        <v>37</v>
      </c>
      <c r="F286" s="152">
        <f>1+1+2+1+1+3</f>
        <v>9</v>
      </c>
      <c r="G286" s="245">
        <f t="shared" si="8"/>
        <v>28</v>
      </c>
      <c r="H286" s="292" t="s">
        <v>872</v>
      </c>
      <c r="I286" s="301"/>
      <c r="J286" s="173"/>
      <c r="K286" s="173"/>
      <c r="L286" s="173"/>
      <c r="M286" s="173"/>
      <c r="N286" s="173"/>
      <c r="O286" s="173"/>
      <c r="P286" s="173"/>
      <c r="Q286" s="173"/>
      <c r="R286" s="173"/>
    </row>
    <row r="287" spans="1:18" ht="16.5" thickTop="1" thickBot="1" x14ac:dyDescent="0.3">
      <c r="A287" s="308"/>
      <c r="B287" s="152" t="s">
        <v>22</v>
      </c>
      <c r="C287" s="152">
        <v>1440</v>
      </c>
      <c r="D287" s="152">
        <v>209</v>
      </c>
      <c r="E287" s="152">
        <f>50+80</f>
        <v>130</v>
      </c>
      <c r="F287" s="152">
        <f>4+5+2+1+1+1+1+2+1+1+1+1+2+1+1+4+2+1+1+1+2+1+2+1+1+1+1+1+3+5+1+1+16+1+2+1+1+1+4+1+5+2</f>
        <v>88</v>
      </c>
      <c r="G287" s="245">
        <f t="shared" si="8"/>
        <v>42</v>
      </c>
      <c r="H287" s="292" t="s">
        <v>873</v>
      </c>
      <c r="I287" s="301"/>
      <c r="J287" s="173"/>
      <c r="K287" s="173"/>
      <c r="L287" s="173"/>
      <c r="M287" s="173"/>
      <c r="N287" s="173"/>
      <c r="O287" s="173"/>
      <c r="P287" s="173"/>
      <c r="Q287" s="173"/>
      <c r="R287" s="173"/>
    </row>
    <row r="288" spans="1:18" ht="16.5" thickTop="1" thickBot="1" x14ac:dyDescent="0.3">
      <c r="A288" s="308"/>
      <c r="B288" s="152" t="s">
        <v>18</v>
      </c>
      <c r="C288" s="152">
        <v>1440</v>
      </c>
      <c r="D288" s="152">
        <v>248</v>
      </c>
      <c r="E288" s="152">
        <v>64</v>
      </c>
      <c r="F288" s="152">
        <f>1+3+1+1+1+2+2+1+1+1+1+5</f>
        <v>20</v>
      </c>
      <c r="G288" s="245">
        <f t="shared" si="8"/>
        <v>44</v>
      </c>
      <c r="H288" s="292" t="s">
        <v>874</v>
      </c>
      <c r="I288" s="301"/>
      <c r="J288" s="173"/>
      <c r="K288" s="173"/>
      <c r="L288" s="173"/>
      <c r="M288" s="173"/>
      <c r="N288" s="173"/>
      <c r="O288" s="173"/>
      <c r="P288" s="173"/>
      <c r="Q288" s="173"/>
      <c r="R288" s="173"/>
    </row>
    <row r="289" spans="1:18" ht="16.5" thickTop="1" thickBot="1" x14ac:dyDescent="0.3">
      <c r="A289" s="308"/>
      <c r="B289" s="152" t="s">
        <v>19</v>
      </c>
      <c r="C289" s="118">
        <v>1440</v>
      </c>
      <c r="D289" s="118">
        <v>336</v>
      </c>
      <c r="E289" s="118">
        <f>10+30</f>
        <v>40</v>
      </c>
      <c r="F289" s="152">
        <f>1+1</f>
        <v>2</v>
      </c>
      <c r="G289" s="245">
        <f t="shared" si="8"/>
        <v>38</v>
      </c>
      <c r="H289" s="292" t="s">
        <v>875</v>
      </c>
      <c r="I289" s="301"/>
      <c r="J289" s="173"/>
      <c r="K289" s="173"/>
      <c r="L289" s="173"/>
      <c r="M289" s="173"/>
      <c r="N289" s="173"/>
      <c r="O289" s="173"/>
      <c r="P289" s="173"/>
      <c r="Q289" s="173"/>
      <c r="R289" s="173"/>
    </row>
    <row r="290" spans="1:18" ht="16.5" thickTop="1" thickBot="1" x14ac:dyDescent="0.3">
      <c r="A290" s="308"/>
      <c r="B290" s="152" t="s">
        <v>0</v>
      </c>
      <c r="C290" s="152">
        <v>1440</v>
      </c>
      <c r="D290" s="152">
        <v>417</v>
      </c>
      <c r="E290" s="152">
        <v>88</v>
      </c>
      <c r="F290" s="152">
        <f>1+2+1</f>
        <v>4</v>
      </c>
      <c r="G290" s="245">
        <f t="shared" si="8"/>
        <v>84</v>
      </c>
      <c r="H290" s="292" t="s">
        <v>876</v>
      </c>
      <c r="I290" s="301"/>
      <c r="J290" s="173"/>
      <c r="K290" s="173"/>
      <c r="L290" s="173"/>
      <c r="M290" s="173"/>
      <c r="N290" s="173"/>
      <c r="O290" s="173"/>
      <c r="P290" s="173"/>
      <c r="Q290" s="173"/>
      <c r="R290" s="173"/>
    </row>
    <row r="291" spans="1:18" ht="16.5" thickTop="1" thickBot="1" x14ac:dyDescent="0.3">
      <c r="A291" s="308"/>
      <c r="B291" s="152" t="s">
        <v>1</v>
      </c>
      <c r="C291" s="152">
        <v>1440</v>
      </c>
      <c r="D291" s="152">
        <v>665</v>
      </c>
      <c r="E291" s="152">
        <v>198</v>
      </c>
      <c r="F291" s="152">
        <f>3+2+1+1</f>
        <v>7</v>
      </c>
      <c r="G291" s="245">
        <f t="shared" si="8"/>
        <v>191</v>
      </c>
      <c r="H291" s="292" t="s">
        <v>877</v>
      </c>
      <c r="I291" s="301"/>
      <c r="J291" s="173"/>
      <c r="K291" s="173"/>
      <c r="L291" s="173"/>
      <c r="M291" s="173"/>
      <c r="N291" s="173"/>
      <c r="O291" s="173"/>
      <c r="P291" s="173"/>
      <c r="Q291" s="173"/>
      <c r="R291" s="173"/>
    </row>
    <row r="292" spans="1:18" ht="16.5" thickTop="1" thickBot="1" x14ac:dyDescent="0.3">
      <c r="A292" s="308"/>
      <c r="B292" s="152" t="s">
        <v>2</v>
      </c>
      <c r="C292" s="152">
        <v>288</v>
      </c>
      <c r="D292" s="152">
        <v>388</v>
      </c>
      <c r="E292" s="152">
        <v>99</v>
      </c>
      <c r="F292" s="152">
        <f>2+2</f>
        <v>4</v>
      </c>
      <c r="G292" s="245">
        <f t="shared" si="8"/>
        <v>95</v>
      </c>
      <c r="H292" s="292" t="s">
        <v>878</v>
      </c>
      <c r="I292" s="301"/>
      <c r="J292" s="173"/>
      <c r="K292" s="173"/>
      <c r="L292" s="173"/>
      <c r="M292" s="173"/>
      <c r="N292" s="173"/>
      <c r="O292" s="173"/>
      <c r="P292" s="173"/>
      <c r="Q292" s="173"/>
      <c r="R292" s="173"/>
    </row>
    <row r="293" spans="1:18" ht="16.5" thickTop="1" thickBot="1" x14ac:dyDescent="0.3">
      <c r="A293" s="309"/>
      <c r="B293" s="126" t="s">
        <v>5</v>
      </c>
      <c r="C293" s="126">
        <v>144</v>
      </c>
      <c r="D293" s="126">
        <v>388</v>
      </c>
      <c r="E293" s="126">
        <v>200</v>
      </c>
      <c r="F293" s="126">
        <f>1+2</f>
        <v>3</v>
      </c>
      <c r="G293" s="246">
        <f t="shared" si="8"/>
        <v>197</v>
      </c>
      <c r="H293" s="295" t="s">
        <v>879</v>
      </c>
      <c r="I293" s="301"/>
      <c r="J293" s="173"/>
      <c r="K293" s="173"/>
      <c r="L293" s="173"/>
      <c r="M293" s="173"/>
      <c r="N293" s="173"/>
      <c r="O293" s="173"/>
      <c r="P293" s="173"/>
      <c r="Q293" s="173"/>
      <c r="R293" s="173"/>
    </row>
    <row r="294" spans="1:18" ht="16.5" thickTop="1" thickBot="1" x14ac:dyDescent="0.3">
      <c r="A294" s="307" t="s">
        <v>102</v>
      </c>
      <c r="B294" s="151" t="s">
        <v>90</v>
      </c>
      <c r="C294" s="151">
        <v>1440</v>
      </c>
      <c r="D294" s="151">
        <v>160</v>
      </c>
      <c r="E294" s="151">
        <f>46+30</f>
        <v>76</v>
      </c>
      <c r="F294" s="151">
        <f>5+2+1+1+1+1+1+1+1+1+1+4+2+1+10+1</f>
        <v>34</v>
      </c>
      <c r="G294" s="243">
        <f t="shared" si="8"/>
        <v>42</v>
      </c>
      <c r="H294" s="291" t="s">
        <v>880</v>
      </c>
      <c r="I294" s="301" t="s">
        <v>359</v>
      </c>
      <c r="J294" s="173"/>
      <c r="K294" s="173"/>
      <c r="L294" s="173"/>
      <c r="M294" s="173"/>
      <c r="N294" s="173"/>
      <c r="O294" s="173"/>
      <c r="P294" s="173"/>
      <c r="Q294" s="173"/>
      <c r="R294" s="173"/>
    </row>
    <row r="295" spans="1:18" ht="16.5" thickTop="1" thickBot="1" x14ac:dyDescent="0.3">
      <c r="A295" s="308"/>
      <c r="B295" s="152" t="s">
        <v>89</v>
      </c>
      <c r="C295" s="152">
        <v>1440</v>
      </c>
      <c r="D295" s="152">
        <v>160</v>
      </c>
      <c r="E295" s="152">
        <f>39+30+20</f>
        <v>89</v>
      </c>
      <c r="F295" s="152">
        <f>1+3+2+1+7+1+1+2+1+1+14</f>
        <v>34</v>
      </c>
      <c r="G295" s="245">
        <f t="shared" si="8"/>
        <v>55</v>
      </c>
      <c r="H295" s="292" t="s">
        <v>881</v>
      </c>
      <c r="I295" s="301"/>
      <c r="J295" s="173"/>
      <c r="K295" s="173"/>
      <c r="L295" s="173"/>
      <c r="M295" s="173"/>
      <c r="N295" s="173"/>
      <c r="O295" s="173"/>
      <c r="P295" s="173"/>
      <c r="Q295" s="173"/>
      <c r="R295" s="173"/>
    </row>
    <row r="296" spans="1:18" ht="16.5" thickTop="1" thickBot="1" x14ac:dyDescent="0.3">
      <c r="A296" s="308"/>
      <c r="B296" s="152" t="s">
        <v>21</v>
      </c>
      <c r="C296" s="152">
        <v>1440</v>
      </c>
      <c r="D296" s="152">
        <v>187</v>
      </c>
      <c r="E296" s="152">
        <f>30+34+50+30</f>
        <v>144</v>
      </c>
      <c r="F296" s="152">
        <f>1+1+1+1+1+3+1+1+1+2+1+1+1+1+2+1+1+10+2+1+10+2+4+7+1</f>
        <v>58</v>
      </c>
      <c r="G296" s="245">
        <f t="shared" si="8"/>
        <v>86</v>
      </c>
      <c r="H296" s="292" t="s">
        <v>882</v>
      </c>
      <c r="I296" s="301"/>
      <c r="J296" s="173"/>
      <c r="K296" s="173"/>
      <c r="L296" s="173"/>
      <c r="M296" s="173"/>
      <c r="N296" s="173"/>
      <c r="O296" s="173"/>
      <c r="P296" s="173"/>
      <c r="Q296" s="173"/>
      <c r="R296" s="173"/>
    </row>
    <row r="297" spans="1:18" ht="16.5" thickTop="1" thickBot="1" x14ac:dyDescent="0.3">
      <c r="A297" s="308"/>
      <c r="B297" s="152" t="s">
        <v>22</v>
      </c>
      <c r="C297" s="152">
        <v>1440</v>
      </c>
      <c r="D297" s="152">
        <v>209</v>
      </c>
      <c r="E297" s="152">
        <f>15+36+15+45+30</f>
        <v>141</v>
      </c>
      <c r="F297" s="152">
        <f>4+5+1+1+1+1+1+1+1+1+2+1+1+2+1+1+1+2+1+1+5+1+1+1+15+2+1+1+1+10+3+2+2+1</f>
        <v>76</v>
      </c>
      <c r="G297" s="245">
        <f t="shared" si="8"/>
        <v>65</v>
      </c>
      <c r="H297" s="292" t="s">
        <v>883</v>
      </c>
      <c r="I297" s="301"/>
      <c r="J297" s="173"/>
      <c r="K297" s="173"/>
      <c r="L297" s="173"/>
      <c r="M297" s="173"/>
      <c r="N297" s="173"/>
      <c r="O297" s="173"/>
      <c r="P297" s="173"/>
      <c r="Q297" s="173"/>
      <c r="R297" s="173"/>
    </row>
    <row r="298" spans="1:18" ht="16.5" thickTop="1" thickBot="1" x14ac:dyDescent="0.3">
      <c r="A298" s="308"/>
      <c r="B298" s="152" t="s">
        <v>18</v>
      </c>
      <c r="C298" s="152">
        <v>1440</v>
      </c>
      <c r="D298" s="152">
        <v>248</v>
      </c>
      <c r="E298" s="152">
        <f>30+50+30</f>
        <v>110</v>
      </c>
      <c r="F298" s="152">
        <f>3+1+1+1+1+1+1+1+1+1+2+1+1+1+1+1+1+1+1+1+2+1+2+1+2</f>
        <v>31</v>
      </c>
      <c r="G298" s="245">
        <f t="shared" si="8"/>
        <v>79</v>
      </c>
      <c r="H298" s="292" t="s">
        <v>884</v>
      </c>
      <c r="I298" s="301"/>
      <c r="J298" s="173"/>
      <c r="K298" s="173"/>
      <c r="L298" s="173"/>
      <c r="M298" s="173"/>
      <c r="N298" s="173"/>
      <c r="O298" s="173"/>
      <c r="P298" s="173"/>
      <c r="Q298" s="173"/>
      <c r="R298" s="173"/>
    </row>
    <row r="299" spans="1:18" ht="16.5" thickTop="1" thickBot="1" x14ac:dyDescent="0.3">
      <c r="A299" s="308"/>
      <c r="B299" s="152" t="s">
        <v>19</v>
      </c>
      <c r="C299" s="152">
        <v>1440</v>
      </c>
      <c r="D299" s="152">
        <v>336</v>
      </c>
      <c r="E299" s="152">
        <f>27+45</f>
        <v>72</v>
      </c>
      <c r="F299" s="152">
        <f>1+2+1+1+1+1+1</f>
        <v>8</v>
      </c>
      <c r="G299" s="245">
        <f t="shared" si="8"/>
        <v>64</v>
      </c>
      <c r="H299" s="292" t="s">
        <v>885</v>
      </c>
      <c r="I299" s="301"/>
      <c r="J299" s="173"/>
      <c r="K299" s="173"/>
      <c r="L299" s="173"/>
      <c r="M299" s="173"/>
      <c r="N299" s="173"/>
      <c r="O299" s="173"/>
      <c r="P299" s="173"/>
      <c r="Q299" s="173"/>
      <c r="R299" s="173"/>
    </row>
    <row r="300" spans="1:18" ht="16.5" thickTop="1" thickBot="1" x14ac:dyDescent="0.3">
      <c r="A300" s="308"/>
      <c r="B300" s="152" t="s">
        <v>0</v>
      </c>
      <c r="C300" s="152">
        <v>1440</v>
      </c>
      <c r="D300" s="152">
        <v>417</v>
      </c>
      <c r="E300" s="152">
        <f>47+69</f>
        <v>116</v>
      </c>
      <c r="F300" s="152">
        <f>1+2+5+10+1</f>
        <v>19</v>
      </c>
      <c r="G300" s="245">
        <f t="shared" si="8"/>
        <v>97</v>
      </c>
      <c r="H300" s="292" t="s">
        <v>886</v>
      </c>
      <c r="I300" s="301"/>
      <c r="J300" s="173"/>
      <c r="K300" s="173"/>
      <c r="L300" s="173"/>
      <c r="M300" s="173"/>
      <c r="N300" s="173"/>
      <c r="O300" s="173"/>
      <c r="P300" s="173"/>
      <c r="Q300" s="173"/>
      <c r="R300" s="173"/>
    </row>
    <row r="301" spans="1:18" ht="16.5" thickTop="1" thickBot="1" x14ac:dyDescent="0.3">
      <c r="A301" s="308"/>
      <c r="B301" s="152" t="s">
        <v>1</v>
      </c>
      <c r="C301" s="152">
        <v>1440</v>
      </c>
      <c r="D301" s="152">
        <v>665</v>
      </c>
      <c r="E301" s="152">
        <v>88</v>
      </c>
      <c r="F301" s="152">
        <f>1+1+1+10+1</f>
        <v>14</v>
      </c>
      <c r="G301" s="245">
        <f t="shared" si="8"/>
        <v>74</v>
      </c>
      <c r="H301" s="292" t="s">
        <v>887</v>
      </c>
      <c r="I301" s="301"/>
      <c r="J301" s="173"/>
      <c r="K301" s="173"/>
      <c r="L301" s="173"/>
      <c r="M301" s="173"/>
      <c r="N301" s="173"/>
      <c r="O301" s="173"/>
      <c r="P301" s="173"/>
      <c r="Q301" s="173"/>
      <c r="R301" s="173"/>
    </row>
    <row r="302" spans="1:18" ht="16.5" thickTop="1" thickBot="1" x14ac:dyDescent="0.3">
      <c r="A302" s="308"/>
      <c r="B302" s="152" t="s">
        <v>2</v>
      </c>
      <c r="C302" s="152">
        <v>288</v>
      </c>
      <c r="D302" s="152">
        <v>388</v>
      </c>
      <c r="E302" s="152">
        <v>49</v>
      </c>
      <c r="F302" s="152">
        <f>1+7+1+10+1+10+1</f>
        <v>31</v>
      </c>
      <c r="G302" s="245">
        <f t="shared" si="8"/>
        <v>18</v>
      </c>
      <c r="H302" s="292" t="s">
        <v>888</v>
      </c>
      <c r="I302" s="301"/>
      <c r="J302" s="173"/>
      <c r="K302" s="173"/>
      <c r="L302" s="173"/>
      <c r="M302" s="173"/>
      <c r="N302" s="173"/>
      <c r="O302" s="173"/>
      <c r="P302" s="173"/>
      <c r="Q302" s="173"/>
      <c r="R302" s="173"/>
    </row>
    <row r="303" spans="1:18" ht="16.5" thickTop="1" thickBot="1" x14ac:dyDescent="0.3">
      <c r="A303" s="308"/>
      <c r="B303" s="152" t="s">
        <v>5</v>
      </c>
      <c r="C303" s="152">
        <v>144</v>
      </c>
      <c r="D303" s="152">
        <v>911</v>
      </c>
      <c r="E303" s="152">
        <v>49</v>
      </c>
      <c r="F303" s="152">
        <v>1</v>
      </c>
      <c r="G303" s="245">
        <f t="shared" si="8"/>
        <v>48</v>
      </c>
      <c r="H303" s="292" t="s">
        <v>889</v>
      </c>
      <c r="I303" s="301"/>
      <c r="J303" s="173"/>
      <c r="K303" s="173"/>
      <c r="L303" s="173"/>
      <c r="M303" s="173"/>
      <c r="N303" s="173"/>
      <c r="O303" s="173"/>
      <c r="P303" s="173"/>
      <c r="Q303" s="173"/>
      <c r="R303" s="173"/>
    </row>
    <row r="304" spans="1:18" ht="16.5" thickTop="1" thickBot="1" x14ac:dyDescent="0.3">
      <c r="A304" s="309"/>
      <c r="B304" s="126" t="s">
        <v>20</v>
      </c>
      <c r="C304" s="126">
        <v>144</v>
      </c>
      <c r="D304" s="126">
        <v>718</v>
      </c>
      <c r="E304" s="126">
        <v>20</v>
      </c>
      <c r="F304" s="126">
        <f>5+1+1</f>
        <v>7</v>
      </c>
      <c r="G304" s="246">
        <f t="shared" si="8"/>
        <v>13</v>
      </c>
      <c r="H304" s="295" t="s">
        <v>890</v>
      </c>
      <c r="I304" s="301"/>
      <c r="J304" s="173"/>
      <c r="K304" s="173"/>
      <c r="L304" s="173"/>
      <c r="M304" s="173"/>
      <c r="N304" s="173"/>
      <c r="O304" s="173"/>
      <c r="P304" s="173"/>
      <c r="Q304" s="173"/>
      <c r="R304" s="173"/>
    </row>
    <row r="305" spans="1:18" ht="16.5" thickTop="1" thickBot="1" x14ac:dyDescent="0.3">
      <c r="A305" s="307" t="s">
        <v>146</v>
      </c>
      <c r="B305" s="151" t="s">
        <v>90</v>
      </c>
      <c r="C305" s="151">
        <v>1440</v>
      </c>
      <c r="D305" s="151">
        <v>160</v>
      </c>
      <c r="E305" s="151">
        <v>44</v>
      </c>
      <c r="F305" s="151">
        <f>1+1+1+1</f>
        <v>4</v>
      </c>
      <c r="G305" s="243">
        <f t="shared" si="8"/>
        <v>40</v>
      </c>
      <c r="H305" s="291" t="s">
        <v>891</v>
      </c>
      <c r="I305" s="301" t="s">
        <v>361</v>
      </c>
      <c r="J305" s="173"/>
      <c r="K305" s="173"/>
      <c r="L305" s="173"/>
      <c r="M305" s="173"/>
      <c r="N305" s="173"/>
      <c r="O305" s="173"/>
      <c r="P305" s="173"/>
      <c r="Q305" s="173"/>
      <c r="R305" s="173"/>
    </row>
    <row r="306" spans="1:18" ht="16.5" thickTop="1" thickBot="1" x14ac:dyDescent="0.3">
      <c r="A306" s="308"/>
      <c r="B306" s="154" t="s">
        <v>89</v>
      </c>
      <c r="C306" s="154">
        <v>1440</v>
      </c>
      <c r="D306" s="154">
        <v>160</v>
      </c>
      <c r="E306" s="154">
        <f>40+21</f>
        <v>61</v>
      </c>
      <c r="F306" s="154">
        <v>1</v>
      </c>
      <c r="G306" s="247">
        <f>E306-F306</f>
        <v>60</v>
      </c>
      <c r="H306" s="292" t="s">
        <v>892</v>
      </c>
      <c r="I306" s="301"/>
      <c r="J306" s="173"/>
      <c r="K306" s="173"/>
      <c r="L306" s="173"/>
      <c r="M306" s="173"/>
      <c r="N306" s="173"/>
      <c r="O306" s="173"/>
      <c r="P306" s="173"/>
      <c r="Q306" s="173"/>
      <c r="R306" s="173"/>
    </row>
    <row r="307" spans="1:18" ht="16.5" thickTop="1" thickBot="1" x14ac:dyDescent="0.3">
      <c r="A307" s="308"/>
      <c r="B307" s="152" t="s">
        <v>21</v>
      </c>
      <c r="C307" s="152">
        <v>1440</v>
      </c>
      <c r="D307" s="152">
        <v>187</v>
      </c>
      <c r="E307" s="152">
        <v>50</v>
      </c>
      <c r="F307" s="152">
        <f>2+1+1+1+2+1+1+1</f>
        <v>10</v>
      </c>
      <c r="G307" s="245">
        <f t="shared" ref="G307:G315" si="10">E307-F307</f>
        <v>40</v>
      </c>
      <c r="H307" s="292" t="s">
        <v>893</v>
      </c>
      <c r="I307" s="301"/>
      <c r="J307" s="173"/>
      <c r="K307" s="173"/>
      <c r="L307" s="173"/>
      <c r="M307" s="173"/>
      <c r="N307" s="173"/>
      <c r="O307" s="173"/>
      <c r="P307" s="173"/>
      <c r="Q307" s="173"/>
      <c r="R307" s="173"/>
    </row>
    <row r="308" spans="1:18" ht="16.5" thickTop="1" thickBot="1" x14ac:dyDescent="0.3">
      <c r="A308" s="308"/>
      <c r="B308" s="152" t="s">
        <v>22</v>
      </c>
      <c r="C308" s="152">
        <v>1440</v>
      </c>
      <c r="D308" s="152">
        <v>209</v>
      </c>
      <c r="E308" s="152">
        <v>40</v>
      </c>
      <c r="F308" s="152">
        <f>4+1+2+1+1+4+4+1+2+1+1+3</f>
        <v>25</v>
      </c>
      <c r="G308" s="245">
        <f t="shared" si="10"/>
        <v>15</v>
      </c>
      <c r="H308" s="292" t="s">
        <v>894</v>
      </c>
      <c r="I308" s="301"/>
      <c r="J308" s="173"/>
      <c r="K308" s="173"/>
      <c r="L308" s="173"/>
      <c r="M308" s="173"/>
      <c r="N308" s="173"/>
      <c r="O308" s="173"/>
      <c r="P308" s="173"/>
      <c r="Q308" s="173"/>
      <c r="R308" s="173"/>
    </row>
    <row r="309" spans="1:18" ht="16.5" thickTop="1" thickBot="1" x14ac:dyDescent="0.3">
      <c r="A309" s="308"/>
      <c r="B309" s="152" t="s">
        <v>18</v>
      </c>
      <c r="C309" s="152">
        <v>1440</v>
      </c>
      <c r="D309" s="152">
        <v>248</v>
      </c>
      <c r="E309" s="152">
        <v>35</v>
      </c>
      <c r="F309" s="152">
        <f>1+1+1</f>
        <v>3</v>
      </c>
      <c r="G309" s="245">
        <f t="shared" si="10"/>
        <v>32</v>
      </c>
      <c r="H309" s="292" t="s">
        <v>895</v>
      </c>
      <c r="I309" s="301"/>
      <c r="J309" s="173"/>
      <c r="K309" s="173"/>
      <c r="L309" s="173"/>
      <c r="M309" s="173"/>
      <c r="N309" s="173"/>
      <c r="O309" s="173"/>
      <c r="P309" s="173"/>
      <c r="Q309" s="173"/>
      <c r="R309" s="173"/>
    </row>
    <row r="310" spans="1:18" ht="16.5" thickTop="1" thickBot="1" x14ac:dyDescent="0.3">
      <c r="A310" s="308"/>
      <c r="B310" s="152" t="s">
        <v>19</v>
      </c>
      <c r="C310" s="152">
        <v>1440</v>
      </c>
      <c r="D310" s="152">
        <v>336</v>
      </c>
      <c r="E310" s="152">
        <v>30</v>
      </c>
      <c r="F310" s="152">
        <f>1+1+1</f>
        <v>3</v>
      </c>
      <c r="G310" s="245">
        <f t="shared" si="10"/>
        <v>27</v>
      </c>
      <c r="H310" s="292" t="s">
        <v>896</v>
      </c>
      <c r="I310" s="301"/>
      <c r="J310" s="173"/>
      <c r="K310" s="173"/>
      <c r="L310" s="173"/>
      <c r="M310" s="173"/>
      <c r="N310" s="173"/>
      <c r="O310" s="173"/>
      <c r="P310" s="173"/>
      <c r="Q310" s="173"/>
      <c r="R310" s="173"/>
    </row>
    <row r="311" spans="1:18" ht="16.5" thickTop="1" thickBot="1" x14ac:dyDescent="0.3">
      <c r="A311" s="308"/>
      <c r="B311" s="152" t="s">
        <v>0</v>
      </c>
      <c r="C311" s="152">
        <v>1440</v>
      </c>
      <c r="D311" s="152">
        <v>418</v>
      </c>
      <c r="E311" s="152">
        <v>50</v>
      </c>
      <c r="F311" s="152">
        <v>1</v>
      </c>
      <c r="G311" s="245">
        <f t="shared" si="10"/>
        <v>49</v>
      </c>
      <c r="H311" s="292" t="s">
        <v>897</v>
      </c>
      <c r="I311" s="301"/>
      <c r="J311" s="173"/>
      <c r="K311" s="173"/>
      <c r="L311" s="173"/>
      <c r="M311" s="173"/>
      <c r="N311" s="173"/>
      <c r="O311" s="173"/>
      <c r="P311" s="173"/>
      <c r="Q311" s="173"/>
      <c r="R311" s="173"/>
    </row>
    <row r="312" spans="1:18" ht="16.5" thickTop="1" thickBot="1" x14ac:dyDescent="0.3">
      <c r="A312" s="308"/>
      <c r="B312" s="152" t="s">
        <v>1</v>
      </c>
      <c r="C312" s="152">
        <v>1440</v>
      </c>
      <c r="D312" s="152">
        <v>665</v>
      </c>
      <c r="E312" s="152">
        <v>90</v>
      </c>
      <c r="F312" s="152"/>
      <c r="G312" s="245">
        <f t="shared" si="10"/>
        <v>90</v>
      </c>
      <c r="H312" s="292" t="s">
        <v>898</v>
      </c>
      <c r="I312" s="301"/>
      <c r="J312" s="173"/>
      <c r="K312" s="173"/>
      <c r="L312" s="173"/>
      <c r="M312" s="173"/>
      <c r="N312" s="173"/>
      <c r="O312" s="173"/>
      <c r="P312" s="173"/>
      <c r="Q312" s="173"/>
      <c r="R312" s="173"/>
    </row>
    <row r="313" spans="1:18" ht="16.5" thickTop="1" thickBot="1" x14ac:dyDescent="0.3">
      <c r="A313" s="308"/>
      <c r="B313" s="152" t="s">
        <v>2</v>
      </c>
      <c r="C313" s="152">
        <v>288</v>
      </c>
      <c r="D313" s="152">
        <v>388</v>
      </c>
      <c r="E313" s="152">
        <v>50</v>
      </c>
      <c r="F313" s="152"/>
      <c r="G313" s="245">
        <f t="shared" si="10"/>
        <v>50</v>
      </c>
      <c r="H313" s="292" t="s">
        <v>899</v>
      </c>
      <c r="I313" s="301"/>
      <c r="J313" s="173"/>
      <c r="K313" s="173"/>
      <c r="L313" s="173"/>
      <c r="M313" s="173"/>
      <c r="N313" s="173"/>
      <c r="O313" s="173"/>
      <c r="P313" s="173"/>
      <c r="Q313" s="173"/>
      <c r="R313" s="173"/>
    </row>
    <row r="314" spans="1:18" ht="16.5" thickTop="1" thickBot="1" x14ac:dyDescent="0.3">
      <c r="A314" s="308"/>
      <c r="B314" s="152" t="s">
        <v>5</v>
      </c>
      <c r="C314" s="152">
        <v>144</v>
      </c>
      <c r="D314" s="152">
        <v>911</v>
      </c>
      <c r="E314" s="152">
        <v>25</v>
      </c>
      <c r="F314" s="152">
        <f>1+1</f>
        <v>2</v>
      </c>
      <c r="G314" s="245">
        <f t="shared" si="10"/>
        <v>23</v>
      </c>
      <c r="H314" s="292" t="s">
        <v>900</v>
      </c>
      <c r="I314" s="301"/>
      <c r="J314" s="173"/>
      <c r="K314" s="173"/>
      <c r="L314" s="173"/>
      <c r="M314" s="173"/>
      <c r="N314" s="173"/>
      <c r="O314" s="173"/>
      <c r="P314" s="173"/>
      <c r="Q314" s="173"/>
      <c r="R314" s="173"/>
    </row>
    <row r="315" spans="1:18" ht="16.5" thickTop="1" thickBot="1" x14ac:dyDescent="0.3">
      <c r="A315" s="309"/>
      <c r="B315" s="126" t="s">
        <v>20</v>
      </c>
      <c r="C315" s="126">
        <v>144</v>
      </c>
      <c r="D315" s="126">
        <v>718</v>
      </c>
      <c r="E315" s="126">
        <v>20</v>
      </c>
      <c r="F315" s="126">
        <f>1+1+1+2</f>
        <v>5</v>
      </c>
      <c r="G315" s="246">
        <f t="shared" si="10"/>
        <v>15</v>
      </c>
      <c r="H315" s="295" t="s">
        <v>901</v>
      </c>
      <c r="I315" s="301"/>
      <c r="J315" s="173"/>
      <c r="K315" s="173"/>
      <c r="L315" s="173"/>
      <c r="M315" s="173"/>
      <c r="N315" s="173"/>
      <c r="O315" s="173"/>
      <c r="P315" s="173"/>
      <c r="Q315" s="173"/>
      <c r="R315" s="173"/>
    </row>
    <row r="316" spans="1:18" ht="16.5" thickTop="1" thickBot="1" x14ac:dyDescent="0.3">
      <c r="A316" s="307" t="s">
        <v>3</v>
      </c>
      <c r="B316" s="151" t="s">
        <v>90</v>
      </c>
      <c r="C316" s="151">
        <v>1440</v>
      </c>
      <c r="D316" s="151">
        <v>171</v>
      </c>
      <c r="E316" s="151">
        <v>45</v>
      </c>
      <c r="F316" s="151">
        <f>3+2+1+1+1+1+1+1</f>
        <v>11</v>
      </c>
      <c r="G316" s="243">
        <f>E316-F316</f>
        <v>34</v>
      </c>
      <c r="H316" s="291" t="s">
        <v>902</v>
      </c>
      <c r="I316" s="301" t="s">
        <v>362</v>
      </c>
      <c r="J316" s="173"/>
      <c r="K316" s="173"/>
      <c r="L316" s="173"/>
      <c r="M316" s="173"/>
      <c r="N316" s="173"/>
      <c r="O316" s="173"/>
      <c r="P316" s="173"/>
      <c r="Q316" s="173"/>
      <c r="R316" s="173"/>
    </row>
    <row r="317" spans="1:18" ht="16.5" thickTop="1" thickBot="1" x14ac:dyDescent="0.3">
      <c r="A317" s="308"/>
      <c r="B317" s="152" t="s">
        <v>21</v>
      </c>
      <c r="C317" s="152">
        <v>1440</v>
      </c>
      <c r="D317" s="152">
        <v>187</v>
      </c>
      <c r="E317" s="152">
        <v>42</v>
      </c>
      <c r="F317" s="152">
        <f>2+1+2+1+1+1</f>
        <v>8</v>
      </c>
      <c r="G317" s="245">
        <f t="shared" si="8"/>
        <v>34</v>
      </c>
      <c r="H317" s="292" t="s">
        <v>903</v>
      </c>
      <c r="I317" s="301"/>
      <c r="J317" s="173"/>
      <c r="K317" s="173"/>
      <c r="L317" s="173"/>
      <c r="M317" s="173"/>
      <c r="N317" s="173"/>
      <c r="O317" s="173"/>
      <c r="P317" s="173"/>
      <c r="Q317" s="173"/>
      <c r="R317" s="173"/>
    </row>
    <row r="318" spans="1:18" ht="16.5" thickTop="1" thickBot="1" x14ac:dyDescent="0.3">
      <c r="A318" s="308"/>
      <c r="B318" s="152" t="s">
        <v>22</v>
      </c>
      <c r="C318" s="152">
        <v>1440</v>
      </c>
      <c r="D318" s="152">
        <v>209</v>
      </c>
      <c r="E318" s="152">
        <v>39</v>
      </c>
      <c r="F318" s="152">
        <f>2+2+1+1+1+1+1+1+1+1+1+1+1+1</f>
        <v>16</v>
      </c>
      <c r="G318" s="245">
        <f t="shared" si="8"/>
        <v>23</v>
      </c>
      <c r="H318" s="292" t="s">
        <v>904</v>
      </c>
      <c r="I318" s="301"/>
      <c r="J318" s="173"/>
      <c r="K318" s="173"/>
      <c r="L318" s="173"/>
      <c r="M318" s="173"/>
      <c r="N318" s="173"/>
      <c r="O318" s="173"/>
      <c r="P318" s="173"/>
      <c r="Q318" s="173"/>
      <c r="R318" s="173"/>
    </row>
    <row r="319" spans="1:18" ht="16.5" thickTop="1" thickBot="1" x14ac:dyDescent="0.3">
      <c r="A319" s="308"/>
      <c r="B319" s="152" t="s">
        <v>18</v>
      </c>
      <c r="C319" s="152">
        <v>1440</v>
      </c>
      <c r="D319" s="152">
        <v>248</v>
      </c>
      <c r="E319" s="152">
        <v>35</v>
      </c>
      <c r="F319" s="152">
        <f>1+2+1</f>
        <v>4</v>
      </c>
      <c r="G319" s="245">
        <f t="shared" si="8"/>
        <v>31</v>
      </c>
      <c r="H319" s="292" t="s">
        <v>905</v>
      </c>
      <c r="I319" s="301"/>
      <c r="J319" s="173"/>
      <c r="K319" s="173"/>
      <c r="L319" s="173"/>
      <c r="M319" s="173"/>
      <c r="N319" s="173"/>
      <c r="O319" s="173"/>
      <c r="P319" s="173"/>
      <c r="Q319" s="173"/>
      <c r="R319" s="173"/>
    </row>
    <row r="320" spans="1:18" ht="16.5" thickTop="1" thickBot="1" x14ac:dyDescent="0.3">
      <c r="A320" s="308"/>
      <c r="B320" s="152" t="s">
        <v>19</v>
      </c>
      <c r="C320" s="152">
        <v>1440</v>
      </c>
      <c r="D320" s="152">
        <v>336</v>
      </c>
      <c r="E320" s="152">
        <v>29</v>
      </c>
      <c r="F320" s="152">
        <v>2</v>
      </c>
      <c r="G320" s="245">
        <f t="shared" si="8"/>
        <v>27</v>
      </c>
      <c r="H320" s="292" t="s">
        <v>906</v>
      </c>
      <c r="I320" s="301"/>
      <c r="J320" s="173"/>
      <c r="K320" s="173"/>
      <c r="L320" s="173"/>
      <c r="M320" s="173"/>
      <c r="N320" s="173"/>
      <c r="O320" s="173"/>
      <c r="P320" s="173"/>
      <c r="Q320" s="173"/>
      <c r="R320" s="173"/>
    </row>
    <row r="321" spans="1:18" ht="16.5" thickTop="1" thickBot="1" x14ac:dyDescent="0.3">
      <c r="A321" s="308"/>
      <c r="B321" s="152" t="s">
        <v>0</v>
      </c>
      <c r="C321" s="152">
        <v>1440</v>
      </c>
      <c r="D321" s="152">
        <v>417</v>
      </c>
      <c r="E321" s="152">
        <v>40</v>
      </c>
      <c r="F321" s="152">
        <v>2</v>
      </c>
      <c r="G321" s="245">
        <f t="shared" si="8"/>
        <v>38</v>
      </c>
      <c r="H321" s="292" t="s">
        <v>907</v>
      </c>
      <c r="I321" s="301"/>
      <c r="J321" s="173"/>
      <c r="K321" s="173"/>
      <c r="L321" s="173"/>
      <c r="M321" s="173"/>
      <c r="N321" s="173"/>
      <c r="O321" s="173"/>
      <c r="P321" s="173"/>
      <c r="Q321" s="173"/>
      <c r="R321" s="173"/>
    </row>
    <row r="322" spans="1:18" ht="16.5" thickTop="1" thickBot="1" x14ac:dyDescent="0.3">
      <c r="A322" s="308"/>
      <c r="B322" s="152" t="s">
        <v>1</v>
      </c>
      <c r="C322" s="152">
        <v>1440</v>
      </c>
      <c r="D322" s="152">
        <v>709</v>
      </c>
      <c r="E322" s="152">
        <v>96</v>
      </c>
      <c r="F322" s="152">
        <v>2</v>
      </c>
      <c r="G322" s="245">
        <f t="shared" si="8"/>
        <v>94</v>
      </c>
      <c r="H322" s="292" t="s">
        <v>908</v>
      </c>
      <c r="I322" s="301"/>
      <c r="J322" s="173"/>
      <c r="K322" s="173"/>
      <c r="L322" s="173"/>
      <c r="M322" s="173"/>
      <c r="N322" s="173"/>
      <c r="O322" s="173"/>
      <c r="P322" s="173"/>
      <c r="Q322" s="173"/>
      <c r="R322" s="173"/>
    </row>
    <row r="323" spans="1:18" ht="16.5" thickTop="1" thickBot="1" x14ac:dyDescent="0.3">
      <c r="A323" s="308"/>
      <c r="B323" s="152" t="s">
        <v>2</v>
      </c>
      <c r="C323" s="152">
        <v>288</v>
      </c>
      <c r="D323" s="152">
        <v>388</v>
      </c>
      <c r="E323" s="152">
        <v>39</v>
      </c>
      <c r="F323" s="152"/>
      <c r="G323" s="245">
        <f t="shared" si="8"/>
        <v>39</v>
      </c>
      <c r="H323" s="292" t="s">
        <v>909</v>
      </c>
      <c r="I323" s="301"/>
      <c r="J323" s="173"/>
      <c r="K323" s="173"/>
      <c r="L323" s="173"/>
      <c r="M323" s="173"/>
      <c r="N323" s="173"/>
      <c r="O323" s="173"/>
      <c r="P323" s="173"/>
      <c r="Q323" s="173"/>
      <c r="R323" s="173"/>
    </row>
    <row r="324" spans="1:18" ht="16.5" thickTop="1" thickBot="1" x14ac:dyDescent="0.3">
      <c r="A324" s="308"/>
      <c r="B324" s="152" t="s">
        <v>5</v>
      </c>
      <c r="C324" s="152">
        <v>144</v>
      </c>
      <c r="D324" s="152">
        <v>983</v>
      </c>
      <c r="E324" s="152">
        <v>48</v>
      </c>
      <c r="F324" s="152">
        <v>1</v>
      </c>
      <c r="G324" s="245">
        <f t="shared" si="8"/>
        <v>47</v>
      </c>
      <c r="H324" s="292" t="s">
        <v>910</v>
      </c>
      <c r="I324" s="301"/>
      <c r="J324" s="173"/>
      <c r="K324" s="173"/>
      <c r="L324" s="173"/>
      <c r="M324" s="173"/>
      <c r="N324" s="173"/>
      <c r="O324" s="173"/>
      <c r="P324" s="173"/>
      <c r="Q324" s="173"/>
      <c r="R324" s="173"/>
    </row>
    <row r="325" spans="1:18" ht="16.5" thickTop="1" thickBot="1" x14ac:dyDescent="0.3">
      <c r="A325" s="309"/>
      <c r="B325" s="126" t="s">
        <v>20</v>
      </c>
      <c r="C325" s="126">
        <v>144</v>
      </c>
      <c r="D325" s="126">
        <v>718</v>
      </c>
      <c r="E325" s="126">
        <v>19</v>
      </c>
      <c r="F325" s="126"/>
      <c r="G325" s="246">
        <f t="shared" si="8"/>
        <v>19</v>
      </c>
      <c r="H325" s="295" t="s">
        <v>911</v>
      </c>
      <c r="I325" s="301"/>
      <c r="J325" s="173"/>
      <c r="K325" s="173"/>
      <c r="L325" s="173"/>
      <c r="M325" s="173"/>
      <c r="N325" s="173"/>
      <c r="O325" s="173"/>
      <c r="P325" s="173"/>
      <c r="Q325" s="173"/>
      <c r="R325" s="173"/>
    </row>
    <row r="326" spans="1:18" ht="16.5" thickTop="1" thickBot="1" x14ac:dyDescent="0.3">
      <c r="A326" s="307" t="s">
        <v>128</v>
      </c>
      <c r="B326" s="151" t="s">
        <v>90</v>
      </c>
      <c r="C326" s="151">
        <v>1440</v>
      </c>
      <c r="D326" s="151">
        <v>160</v>
      </c>
      <c r="E326" s="151">
        <v>50</v>
      </c>
      <c r="F326" s="151">
        <f>1+1+1+1</f>
        <v>4</v>
      </c>
      <c r="G326" s="243">
        <f t="shared" si="8"/>
        <v>46</v>
      </c>
      <c r="H326" s="291" t="s">
        <v>912</v>
      </c>
      <c r="I326" s="301" t="s">
        <v>363</v>
      </c>
      <c r="J326" s="173"/>
      <c r="K326" s="173"/>
      <c r="L326" s="173"/>
      <c r="M326" s="173"/>
      <c r="N326" s="173"/>
      <c r="O326" s="173"/>
      <c r="P326" s="173"/>
      <c r="Q326" s="173"/>
      <c r="R326" s="173"/>
    </row>
    <row r="327" spans="1:18" ht="16.5" thickTop="1" thickBot="1" x14ac:dyDescent="0.3">
      <c r="A327" s="308"/>
      <c r="B327" s="152" t="s">
        <v>89</v>
      </c>
      <c r="C327" s="152">
        <v>1440</v>
      </c>
      <c r="D327" s="152">
        <v>160</v>
      </c>
      <c r="E327" s="152">
        <f>20+40</f>
        <v>60</v>
      </c>
      <c r="F327" s="152">
        <f>2+2</f>
        <v>4</v>
      </c>
      <c r="G327" s="245">
        <f>E327-F327</f>
        <v>56</v>
      </c>
      <c r="H327" s="292" t="s">
        <v>913</v>
      </c>
      <c r="I327" s="301"/>
      <c r="J327" s="173"/>
      <c r="K327" s="173"/>
      <c r="L327" s="173"/>
      <c r="M327" s="173"/>
      <c r="N327" s="173"/>
      <c r="O327" s="173"/>
      <c r="P327" s="173"/>
      <c r="Q327" s="173"/>
      <c r="R327" s="173"/>
    </row>
    <row r="328" spans="1:18" ht="16.5" thickTop="1" thickBot="1" x14ac:dyDescent="0.3">
      <c r="A328" s="308"/>
      <c r="B328" s="152" t="s">
        <v>21</v>
      </c>
      <c r="C328" s="152">
        <v>1440</v>
      </c>
      <c r="D328" s="152">
        <v>187</v>
      </c>
      <c r="E328" s="152">
        <f>20+50</f>
        <v>70</v>
      </c>
      <c r="F328" s="152">
        <f>1+1+1+1+4+2+1+2+1+2+1+3+1+1+1+1+5+1+20+1+10+1+1</f>
        <v>63</v>
      </c>
      <c r="G328" s="245">
        <f t="shared" ref="G328:G339" si="11">E328-F328</f>
        <v>7</v>
      </c>
      <c r="H328" s="292" t="s">
        <v>914</v>
      </c>
      <c r="I328" s="301"/>
      <c r="J328" s="173"/>
      <c r="K328" s="173"/>
      <c r="L328" s="173"/>
      <c r="M328" s="173"/>
      <c r="N328" s="173"/>
      <c r="O328" s="173"/>
      <c r="P328" s="173"/>
      <c r="Q328" s="173"/>
      <c r="R328" s="173"/>
    </row>
    <row r="329" spans="1:18" ht="16.5" thickTop="1" thickBot="1" x14ac:dyDescent="0.3">
      <c r="A329" s="308"/>
      <c r="B329" s="152" t="s">
        <v>22</v>
      </c>
      <c r="C329" s="152">
        <v>1440</v>
      </c>
      <c r="D329" s="152">
        <v>209</v>
      </c>
      <c r="E329" s="152">
        <f>20+39</f>
        <v>59</v>
      </c>
      <c r="F329" s="152">
        <f>1+2+1+1+1+1+1+1+1+1+2+1+10+2+1</f>
        <v>27</v>
      </c>
      <c r="G329" s="245">
        <f t="shared" si="11"/>
        <v>32</v>
      </c>
      <c r="H329" s="292" t="s">
        <v>915</v>
      </c>
      <c r="I329" s="301"/>
      <c r="J329" s="173"/>
      <c r="K329" s="173"/>
      <c r="L329" s="173"/>
      <c r="M329" s="173"/>
      <c r="N329" s="173"/>
      <c r="O329" s="173"/>
      <c r="P329" s="173"/>
      <c r="Q329" s="173"/>
      <c r="R329" s="173"/>
    </row>
    <row r="330" spans="1:18" ht="16.5" thickTop="1" thickBot="1" x14ac:dyDescent="0.3">
      <c r="A330" s="308"/>
      <c r="B330" s="152" t="s">
        <v>18</v>
      </c>
      <c r="C330" s="152">
        <v>1440</v>
      </c>
      <c r="D330" s="152">
        <v>248</v>
      </c>
      <c r="E330" s="152">
        <f>20+35</f>
        <v>55</v>
      </c>
      <c r="F330" s="152">
        <f>2+1+2+1+1+1+1+10+2</f>
        <v>21</v>
      </c>
      <c r="G330" s="245">
        <f t="shared" si="11"/>
        <v>34</v>
      </c>
      <c r="H330" s="292" t="s">
        <v>916</v>
      </c>
      <c r="I330" s="301"/>
      <c r="J330" s="173"/>
      <c r="K330" s="173"/>
      <c r="L330" s="173"/>
      <c r="M330" s="173"/>
      <c r="N330" s="173"/>
      <c r="O330" s="173"/>
      <c r="P330" s="173"/>
      <c r="Q330" s="173"/>
      <c r="R330" s="173"/>
    </row>
    <row r="331" spans="1:18" ht="16.5" thickTop="1" thickBot="1" x14ac:dyDescent="0.3">
      <c r="A331" s="308"/>
      <c r="B331" s="152" t="s">
        <v>19</v>
      </c>
      <c r="C331" s="152">
        <v>1440</v>
      </c>
      <c r="D331" s="152">
        <v>336</v>
      </c>
      <c r="E331" s="152">
        <f>20+30</f>
        <v>50</v>
      </c>
      <c r="F331" s="152">
        <f>1+2+1+10</f>
        <v>14</v>
      </c>
      <c r="G331" s="245">
        <f t="shared" si="11"/>
        <v>36</v>
      </c>
      <c r="H331" s="292" t="s">
        <v>917</v>
      </c>
      <c r="I331" s="301"/>
      <c r="J331" s="173"/>
      <c r="K331" s="173"/>
      <c r="L331" s="173"/>
      <c r="M331" s="173"/>
      <c r="N331" s="173"/>
      <c r="O331" s="173"/>
      <c r="P331" s="173"/>
      <c r="Q331" s="173"/>
      <c r="R331" s="173"/>
    </row>
    <row r="332" spans="1:18" ht="16.5" thickTop="1" thickBot="1" x14ac:dyDescent="0.3">
      <c r="A332" s="308"/>
      <c r="B332" s="152" t="s">
        <v>0</v>
      </c>
      <c r="C332" s="152">
        <v>1440</v>
      </c>
      <c r="D332" s="152">
        <v>417</v>
      </c>
      <c r="E332" s="152">
        <v>50</v>
      </c>
      <c r="F332" s="152">
        <f>2+1+1+10</f>
        <v>14</v>
      </c>
      <c r="G332" s="245">
        <f t="shared" si="11"/>
        <v>36</v>
      </c>
      <c r="H332" s="292" t="s">
        <v>918</v>
      </c>
      <c r="I332" s="301"/>
      <c r="J332" s="173"/>
      <c r="K332" s="173"/>
      <c r="L332" s="173"/>
      <c r="M332" s="173"/>
      <c r="N332" s="173"/>
      <c r="O332" s="173"/>
      <c r="P332" s="173"/>
      <c r="Q332" s="173"/>
      <c r="R332" s="173"/>
    </row>
    <row r="333" spans="1:18" ht="16.5" thickTop="1" thickBot="1" x14ac:dyDescent="0.3">
      <c r="A333" s="308"/>
      <c r="B333" s="154" t="s">
        <v>1</v>
      </c>
      <c r="C333" s="154">
        <v>1440</v>
      </c>
      <c r="D333" s="154">
        <v>665</v>
      </c>
      <c r="E333" s="154">
        <v>90</v>
      </c>
      <c r="F333" s="154">
        <f>2+1+10</f>
        <v>13</v>
      </c>
      <c r="G333" s="245">
        <f t="shared" si="11"/>
        <v>77</v>
      </c>
      <c r="H333" s="292" t="s">
        <v>919</v>
      </c>
      <c r="I333" s="301"/>
      <c r="J333" s="173"/>
      <c r="K333" s="173"/>
      <c r="L333" s="173"/>
      <c r="M333" s="173"/>
      <c r="N333" s="173"/>
      <c r="O333" s="173"/>
      <c r="P333" s="173"/>
      <c r="Q333" s="173"/>
      <c r="R333" s="173"/>
    </row>
    <row r="334" spans="1:18" ht="16.5" thickTop="1" thickBot="1" x14ac:dyDescent="0.3">
      <c r="A334" s="308"/>
      <c r="B334" s="152" t="s">
        <v>2</v>
      </c>
      <c r="C334" s="152">
        <v>288</v>
      </c>
      <c r="D334" s="152">
        <v>388</v>
      </c>
      <c r="E334" s="152">
        <v>50</v>
      </c>
      <c r="F334" s="152">
        <v>1</v>
      </c>
      <c r="G334" s="245">
        <f t="shared" si="11"/>
        <v>49</v>
      </c>
      <c r="H334" s="292" t="s">
        <v>920</v>
      </c>
      <c r="I334" s="301"/>
      <c r="J334" s="173"/>
      <c r="K334" s="173"/>
      <c r="L334" s="173"/>
      <c r="M334" s="173"/>
      <c r="N334" s="173"/>
      <c r="O334" s="173"/>
      <c r="P334" s="173"/>
      <c r="Q334" s="173"/>
      <c r="R334" s="173"/>
    </row>
    <row r="335" spans="1:18" ht="16.5" thickTop="1" thickBot="1" x14ac:dyDescent="0.3">
      <c r="A335" s="308"/>
      <c r="B335" s="152" t="s">
        <v>5</v>
      </c>
      <c r="C335" s="152">
        <v>144</v>
      </c>
      <c r="D335" s="152">
        <v>911</v>
      </c>
      <c r="E335" s="152">
        <v>50</v>
      </c>
      <c r="F335" s="152">
        <v>1</v>
      </c>
      <c r="G335" s="245">
        <f t="shared" si="11"/>
        <v>49</v>
      </c>
      <c r="H335" s="292" t="s">
        <v>921</v>
      </c>
      <c r="I335" s="301"/>
      <c r="J335" s="173"/>
      <c r="K335" s="173"/>
      <c r="L335" s="173"/>
      <c r="M335" s="173"/>
      <c r="N335" s="173"/>
      <c r="O335" s="173"/>
      <c r="P335" s="173"/>
      <c r="Q335" s="173"/>
      <c r="R335" s="173"/>
    </row>
    <row r="336" spans="1:18" ht="16.5" thickTop="1" thickBot="1" x14ac:dyDescent="0.3">
      <c r="A336" s="309"/>
      <c r="B336" s="126" t="s">
        <v>20</v>
      </c>
      <c r="C336" s="126">
        <v>144</v>
      </c>
      <c r="D336" s="126">
        <v>718</v>
      </c>
      <c r="E336" s="126">
        <v>20</v>
      </c>
      <c r="F336" s="126"/>
      <c r="G336" s="246">
        <f t="shared" si="11"/>
        <v>20</v>
      </c>
      <c r="H336" s="295" t="s">
        <v>922</v>
      </c>
      <c r="I336" s="301"/>
      <c r="J336" s="173"/>
      <c r="K336" s="173"/>
      <c r="L336" s="173"/>
      <c r="M336" s="173"/>
      <c r="N336" s="173"/>
      <c r="O336" s="173"/>
      <c r="P336" s="173"/>
      <c r="Q336" s="173"/>
      <c r="R336" s="173"/>
    </row>
    <row r="337" spans="1:18" ht="16.5" thickTop="1" thickBot="1" x14ac:dyDescent="0.3">
      <c r="A337" s="307" t="s">
        <v>26</v>
      </c>
      <c r="B337" s="151" t="s">
        <v>90</v>
      </c>
      <c r="C337" s="151">
        <v>1440</v>
      </c>
      <c r="D337" s="30">
        <v>270</v>
      </c>
      <c r="E337" s="151">
        <v>50</v>
      </c>
      <c r="F337" s="151">
        <f>1+1+2</f>
        <v>4</v>
      </c>
      <c r="G337" s="243">
        <f t="shared" si="11"/>
        <v>46</v>
      </c>
      <c r="H337" s="291" t="s">
        <v>923</v>
      </c>
      <c r="I337" s="301" t="s">
        <v>364</v>
      </c>
      <c r="J337" s="173"/>
      <c r="K337" s="173"/>
      <c r="L337" s="173"/>
      <c r="M337" s="173"/>
      <c r="N337" s="173"/>
      <c r="O337" s="173"/>
      <c r="P337" s="173"/>
      <c r="Q337" s="173"/>
      <c r="R337" s="173"/>
    </row>
    <row r="338" spans="1:18" ht="16.5" thickTop="1" thickBot="1" x14ac:dyDescent="0.3">
      <c r="A338" s="308"/>
      <c r="B338" s="152" t="s">
        <v>89</v>
      </c>
      <c r="C338" s="152">
        <v>1440</v>
      </c>
      <c r="D338" s="27">
        <v>293</v>
      </c>
      <c r="E338" s="152">
        <v>40</v>
      </c>
      <c r="F338" s="152">
        <f>1+1</f>
        <v>2</v>
      </c>
      <c r="G338" s="245">
        <f t="shared" si="11"/>
        <v>38</v>
      </c>
      <c r="H338" s="292" t="s">
        <v>924</v>
      </c>
      <c r="I338" s="301"/>
      <c r="J338" s="173"/>
      <c r="K338" s="173"/>
      <c r="L338" s="173"/>
      <c r="M338" s="173"/>
      <c r="N338" s="173"/>
      <c r="O338" s="173"/>
      <c r="P338" s="173"/>
      <c r="Q338" s="173"/>
      <c r="R338" s="173"/>
    </row>
    <row r="339" spans="1:18" ht="16.5" thickTop="1" thickBot="1" x14ac:dyDescent="0.3">
      <c r="A339" s="308"/>
      <c r="B339" s="152" t="s">
        <v>21</v>
      </c>
      <c r="C339" s="152">
        <v>1440</v>
      </c>
      <c r="D339" s="27">
        <v>292.55555555555554</v>
      </c>
      <c r="E339" s="152">
        <v>49</v>
      </c>
      <c r="F339" s="152">
        <f>1+1+1+1+1+1+1+1</f>
        <v>8</v>
      </c>
      <c r="G339" s="245">
        <f t="shared" si="11"/>
        <v>41</v>
      </c>
      <c r="H339" s="292" t="s">
        <v>925</v>
      </c>
      <c r="I339" s="301"/>
      <c r="J339" s="173"/>
      <c r="K339" s="173"/>
      <c r="L339" s="173"/>
      <c r="M339" s="173"/>
      <c r="N339" s="173"/>
      <c r="O339" s="173"/>
      <c r="P339" s="173"/>
      <c r="Q339" s="173"/>
      <c r="R339" s="173"/>
    </row>
    <row r="340" spans="1:18" ht="16.5" thickTop="1" thickBot="1" x14ac:dyDescent="0.3">
      <c r="A340" s="308"/>
      <c r="B340" s="153" t="s">
        <v>22</v>
      </c>
      <c r="C340" s="153">
        <v>1440</v>
      </c>
      <c r="D340" s="26">
        <v>403.05555555555554</v>
      </c>
      <c r="E340" s="153">
        <v>40</v>
      </c>
      <c r="F340" s="153">
        <f>1+4+1+1+1+1+1</f>
        <v>10</v>
      </c>
      <c r="G340" s="244">
        <f t="shared" si="8"/>
        <v>30</v>
      </c>
      <c r="H340" s="292" t="s">
        <v>926</v>
      </c>
      <c r="I340" s="301"/>
      <c r="J340" s="173"/>
      <c r="K340" s="173"/>
      <c r="L340" s="173"/>
      <c r="M340" s="173"/>
      <c r="N340" s="173"/>
      <c r="O340" s="173"/>
      <c r="P340" s="173"/>
      <c r="Q340" s="173"/>
      <c r="R340" s="173"/>
    </row>
    <row r="341" spans="1:18" ht="16.5" thickTop="1" thickBot="1" x14ac:dyDescent="0.3">
      <c r="A341" s="308"/>
      <c r="B341" s="152" t="s">
        <v>18</v>
      </c>
      <c r="C341" s="152">
        <v>1440</v>
      </c>
      <c r="D341" s="27">
        <v>468.22222222222217</v>
      </c>
      <c r="E341" s="152">
        <v>35</v>
      </c>
      <c r="F341" s="152">
        <f>1+1+1+1</f>
        <v>4</v>
      </c>
      <c r="G341" s="245">
        <f t="shared" si="8"/>
        <v>31</v>
      </c>
      <c r="H341" s="292" t="s">
        <v>927</v>
      </c>
      <c r="I341" s="301"/>
      <c r="J341" s="173"/>
      <c r="K341" s="173"/>
      <c r="L341" s="173"/>
      <c r="M341" s="173"/>
      <c r="N341" s="173"/>
      <c r="O341" s="173"/>
      <c r="P341" s="173"/>
      <c r="Q341" s="173"/>
      <c r="R341" s="173"/>
    </row>
    <row r="342" spans="1:18" ht="16.5" thickTop="1" thickBot="1" x14ac:dyDescent="0.3">
      <c r="A342" s="308"/>
      <c r="B342" s="152" t="s">
        <v>19</v>
      </c>
      <c r="C342" s="152">
        <v>1440</v>
      </c>
      <c r="D342" s="27">
        <v>623.11111111111109</v>
      </c>
      <c r="E342" s="152">
        <v>30</v>
      </c>
      <c r="F342" s="152"/>
      <c r="G342" s="245">
        <f t="shared" si="8"/>
        <v>30</v>
      </c>
      <c r="H342" s="292" t="s">
        <v>928</v>
      </c>
      <c r="I342" s="301"/>
      <c r="J342" s="173"/>
      <c r="K342" s="173"/>
      <c r="L342" s="173"/>
      <c r="M342" s="173"/>
      <c r="N342" s="173"/>
      <c r="O342" s="173"/>
      <c r="P342" s="173"/>
      <c r="Q342" s="173"/>
      <c r="R342" s="173"/>
    </row>
    <row r="343" spans="1:18" ht="16.5" thickTop="1" thickBot="1" x14ac:dyDescent="0.3">
      <c r="A343" s="308"/>
      <c r="B343" s="152" t="s">
        <v>0</v>
      </c>
      <c r="C343" s="152">
        <v>1440</v>
      </c>
      <c r="D343" s="27">
        <v>830.8888888888888</v>
      </c>
      <c r="E343" s="152">
        <v>39</v>
      </c>
      <c r="F343" s="152">
        <v>1</v>
      </c>
      <c r="G343" s="245">
        <f t="shared" si="8"/>
        <v>38</v>
      </c>
      <c r="H343" s="292" t="s">
        <v>929</v>
      </c>
      <c r="I343" s="301"/>
      <c r="J343" s="173"/>
      <c r="K343" s="173"/>
      <c r="L343" s="173"/>
      <c r="M343" s="173"/>
      <c r="N343" s="173"/>
      <c r="O343" s="173"/>
      <c r="P343" s="173"/>
      <c r="Q343" s="173"/>
      <c r="R343" s="173"/>
    </row>
    <row r="344" spans="1:18" ht="16.5" thickTop="1" thickBot="1" x14ac:dyDescent="0.3">
      <c r="A344" s="308"/>
      <c r="B344" s="152" t="s">
        <v>1</v>
      </c>
      <c r="C344" s="152">
        <v>1440</v>
      </c>
      <c r="D344" s="27">
        <v>1602.5</v>
      </c>
      <c r="E344" s="152">
        <v>94</v>
      </c>
      <c r="F344" s="152">
        <v>1</v>
      </c>
      <c r="G344" s="245">
        <f t="shared" si="8"/>
        <v>93</v>
      </c>
      <c r="H344" s="292" t="s">
        <v>930</v>
      </c>
      <c r="I344" s="301"/>
      <c r="J344" s="173"/>
      <c r="K344" s="173"/>
      <c r="L344" s="173"/>
      <c r="M344" s="173"/>
      <c r="N344" s="173"/>
      <c r="O344" s="173"/>
      <c r="P344" s="173"/>
      <c r="Q344" s="173"/>
      <c r="R344" s="173"/>
    </row>
    <row r="345" spans="1:18" ht="16.5" thickTop="1" thickBot="1" x14ac:dyDescent="0.3">
      <c r="A345" s="308"/>
      <c r="B345" s="152" t="s">
        <v>2</v>
      </c>
      <c r="C345" s="152">
        <v>288</v>
      </c>
      <c r="D345" s="27">
        <v>801.6111111111112</v>
      </c>
      <c r="E345" s="152">
        <v>40</v>
      </c>
      <c r="F345" s="152"/>
      <c r="G345" s="245">
        <f t="shared" si="8"/>
        <v>40</v>
      </c>
      <c r="H345" s="292" t="s">
        <v>931</v>
      </c>
      <c r="I345" s="301"/>
      <c r="J345" s="173"/>
      <c r="K345" s="173"/>
      <c r="L345" s="173"/>
      <c r="M345" s="173"/>
      <c r="N345" s="173"/>
      <c r="O345" s="173"/>
      <c r="P345" s="173"/>
      <c r="Q345" s="173"/>
      <c r="R345" s="173"/>
    </row>
    <row r="346" spans="1:18" ht="16.5" thickTop="1" thickBot="1" x14ac:dyDescent="0.3">
      <c r="A346" s="308"/>
      <c r="B346" s="152" t="s">
        <v>5</v>
      </c>
      <c r="C346" s="152">
        <v>144</v>
      </c>
      <c r="D346" s="27">
        <v>1600.6111111111111</v>
      </c>
      <c r="E346" s="152">
        <v>100</v>
      </c>
      <c r="F346" s="152"/>
      <c r="G346" s="245">
        <f t="shared" si="8"/>
        <v>100</v>
      </c>
      <c r="H346" s="292" t="s">
        <v>932</v>
      </c>
      <c r="I346" s="301"/>
      <c r="J346" s="173"/>
      <c r="K346" s="173"/>
      <c r="L346" s="173"/>
      <c r="M346" s="173"/>
      <c r="N346" s="173"/>
      <c r="O346" s="173"/>
      <c r="P346" s="173"/>
      <c r="Q346" s="173"/>
      <c r="R346" s="173"/>
    </row>
    <row r="347" spans="1:18" ht="16.5" thickTop="1" thickBot="1" x14ac:dyDescent="0.3">
      <c r="A347" s="309"/>
      <c r="B347" s="126" t="s">
        <v>20</v>
      </c>
      <c r="C347" s="126">
        <v>144</v>
      </c>
      <c r="D347" s="28">
        <v>1049.0555555555557</v>
      </c>
      <c r="E347" s="126">
        <v>19</v>
      </c>
      <c r="F347" s="126"/>
      <c r="G347" s="246">
        <f t="shared" si="8"/>
        <v>19</v>
      </c>
      <c r="H347" s="295" t="s">
        <v>933</v>
      </c>
      <c r="I347" s="301"/>
      <c r="J347" s="173"/>
      <c r="K347" s="173"/>
      <c r="L347" s="173"/>
      <c r="M347" s="173"/>
      <c r="N347" s="173"/>
      <c r="O347" s="173"/>
      <c r="P347" s="173"/>
      <c r="Q347" s="173"/>
      <c r="R347" s="173"/>
    </row>
    <row r="348" spans="1:18" ht="16.5" thickTop="1" thickBot="1" x14ac:dyDescent="0.3">
      <c r="A348" s="307" t="s">
        <v>399</v>
      </c>
      <c r="B348" s="151" t="s">
        <v>89</v>
      </c>
      <c r="C348" s="151">
        <v>1440</v>
      </c>
      <c r="D348" s="151">
        <v>403</v>
      </c>
      <c r="E348" s="151">
        <v>40</v>
      </c>
      <c r="F348" s="151"/>
      <c r="G348" s="243">
        <f>E348-F348</f>
        <v>40</v>
      </c>
      <c r="H348" s="291" t="s">
        <v>934</v>
      </c>
      <c r="I348" s="301" t="s">
        <v>365</v>
      </c>
      <c r="J348" s="173"/>
      <c r="K348" s="173"/>
      <c r="L348" s="173"/>
      <c r="M348" s="173"/>
      <c r="N348" s="173"/>
      <c r="O348" s="173"/>
      <c r="P348" s="173"/>
      <c r="Q348" s="173"/>
      <c r="R348" s="173"/>
    </row>
    <row r="349" spans="1:18" ht="16.5" thickTop="1" thickBot="1" x14ac:dyDescent="0.3">
      <c r="A349" s="308"/>
      <c r="B349" s="153" t="s">
        <v>1</v>
      </c>
      <c r="C349" s="153">
        <v>1440</v>
      </c>
      <c r="D349" s="153">
        <v>1685</v>
      </c>
      <c r="E349" s="153">
        <v>1</v>
      </c>
      <c r="F349" s="153"/>
      <c r="G349" s="244">
        <f t="shared" ref="G349:G350" si="12">E349-F349</f>
        <v>1</v>
      </c>
      <c r="H349" s="295" t="s">
        <v>935</v>
      </c>
      <c r="I349" s="301"/>
      <c r="J349" s="173"/>
      <c r="K349" s="173"/>
      <c r="L349" s="173"/>
      <c r="M349" s="173"/>
      <c r="N349" s="173"/>
      <c r="O349" s="173"/>
      <c r="P349" s="173"/>
      <c r="Q349" s="173"/>
      <c r="R349" s="173"/>
    </row>
    <row r="350" spans="1:18" ht="16.5" thickTop="1" thickBot="1" x14ac:dyDescent="0.3">
      <c r="A350" s="307" t="s">
        <v>583</v>
      </c>
      <c r="B350" s="151" t="s">
        <v>90</v>
      </c>
      <c r="C350" s="151">
        <v>1440</v>
      </c>
      <c r="D350" s="30">
        <v>403</v>
      </c>
      <c r="E350" s="151">
        <v>46</v>
      </c>
      <c r="F350" s="151">
        <v>2</v>
      </c>
      <c r="G350" s="243">
        <f t="shared" si="12"/>
        <v>44</v>
      </c>
      <c r="H350" s="291" t="s">
        <v>936</v>
      </c>
      <c r="I350" s="301" t="s">
        <v>366</v>
      </c>
      <c r="J350" s="173"/>
      <c r="K350" s="173"/>
      <c r="L350" s="173"/>
      <c r="M350" s="173"/>
      <c r="N350" s="173"/>
      <c r="O350" s="173"/>
      <c r="P350" s="173"/>
      <c r="Q350" s="173"/>
      <c r="R350" s="173"/>
    </row>
    <row r="351" spans="1:18" ht="16.5" thickTop="1" thickBot="1" x14ac:dyDescent="0.3">
      <c r="A351" s="308"/>
      <c r="B351" s="152" t="s">
        <v>89</v>
      </c>
      <c r="C351" s="152">
        <v>1440</v>
      </c>
      <c r="D351" s="152">
        <v>403</v>
      </c>
      <c r="E351" s="152">
        <v>50</v>
      </c>
      <c r="F351" s="153"/>
      <c r="G351" s="244">
        <f>E351-F351</f>
        <v>50</v>
      </c>
      <c r="H351" s="292" t="s">
        <v>937</v>
      </c>
      <c r="I351" s="301"/>
      <c r="J351" s="173"/>
      <c r="K351" s="173"/>
      <c r="L351" s="173"/>
      <c r="M351" s="173"/>
      <c r="N351" s="173"/>
      <c r="O351" s="173"/>
      <c r="P351" s="173"/>
      <c r="Q351" s="173"/>
      <c r="R351" s="173"/>
    </row>
    <row r="352" spans="1:18" ht="16.5" thickTop="1" thickBot="1" x14ac:dyDescent="0.3">
      <c r="A352" s="308"/>
      <c r="B352" s="152" t="s">
        <v>21</v>
      </c>
      <c r="C352" s="152">
        <v>1440</v>
      </c>
      <c r="D352" s="27">
        <v>319</v>
      </c>
      <c r="E352" s="152">
        <f>14+40</f>
        <v>54</v>
      </c>
      <c r="F352" s="152">
        <f>1+1+1+5+1+1+1+1</f>
        <v>12</v>
      </c>
      <c r="G352" s="245">
        <f t="shared" ref="G352:G359" si="13">E352-F352</f>
        <v>42</v>
      </c>
      <c r="H352" s="292" t="s">
        <v>938</v>
      </c>
      <c r="I352" s="301"/>
      <c r="J352" s="173"/>
      <c r="K352" s="173"/>
      <c r="L352" s="173"/>
      <c r="M352" s="173"/>
      <c r="N352" s="173"/>
      <c r="O352" s="173"/>
      <c r="P352" s="173"/>
      <c r="Q352" s="173"/>
      <c r="R352" s="173"/>
    </row>
    <row r="353" spans="1:18" ht="16.5" thickTop="1" thickBot="1" x14ac:dyDescent="0.3">
      <c r="A353" s="308"/>
      <c r="B353" s="152" t="s">
        <v>22</v>
      </c>
      <c r="C353" s="152">
        <v>1440</v>
      </c>
      <c r="D353" s="27">
        <v>429.50000000000006</v>
      </c>
      <c r="E353" s="152">
        <v>39</v>
      </c>
      <c r="F353" s="152">
        <f>4+1+1+1+1+1</f>
        <v>9</v>
      </c>
      <c r="G353" s="245">
        <f t="shared" si="13"/>
        <v>30</v>
      </c>
      <c r="H353" s="292" t="s">
        <v>939</v>
      </c>
      <c r="I353" s="301"/>
      <c r="J353" s="173"/>
      <c r="K353" s="173"/>
      <c r="L353" s="173"/>
      <c r="M353" s="173"/>
      <c r="N353" s="173"/>
      <c r="O353" s="173"/>
      <c r="P353" s="173"/>
      <c r="Q353" s="173"/>
      <c r="R353" s="173"/>
    </row>
    <row r="354" spans="1:18" ht="16.5" thickTop="1" thickBot="1" x14ac:dyDescent="0.3">
      <c r="A354" s="308"/>
      <c r="B354" s="152" t="s">
        <v>18</v>
      </c>
      <c r="C354" s="152">
        <v>1440</v>
      </c>
      <c r="D354" s="27">
        <v>557</v>
      </c>
      <c r="E354" s="152">
        <v>35</v>
      </c>
      <c r="F354" s="152">
        <f>1+1</f>
        <v>2</v>
      </c>
      <c r="G354" s="245">
        <f t="shared" si="13"/>
        <v>33</v>
      </c>
      <c r="H354" s="292" t="s">
        <v>940</v>
      </c>
      <c r="I354" s="301"/>
      <c r="J354" s="173"/>
      <c r="K354" s="173"/>
      <c r="L354" s="173"/>
      <c r="M354" s="173"/>
      <c r="N354" s="173"/>
      <c r="O354" s="173"/>
      <c r="P354" s="173"/>
      <c r="Q354" s="173"/>
      <c r="R354" s="173"/>
    </row>
    <row r="355" spans="1:18" ht="16.5" thickTop="1" thickBot="1" x14ac:dyDescent="0.3">
      <c r="A355" s="308"/>
      <c r="B355" s="152" t="s">
        <v>19</v>
      </c>
      <c r="C355" s="152">
        <v>1440</v>
      </c>
      <c r="D355" s="27">
        <v>706.22222222222217</v>
      </c>
      <c r="E355" s="152">
        <v>30</v>
      </c>
      <c r="F355" s="152"/>
      <c r="G355" s="245">
        <f t="shared" si="13"/>
        <v>30</v>
      </c>
      <c r="H355" s="292" t="s">
        <v>941</v>
      </c>
      <c r="I355" s="301"/>
      <c r="J355" s="173"/>
      <c r="K355" s="173"/>
      <c r="L355" s="173"/>
      <c r="M355" s="173"/>
      <c r="N355" s="173"/>
      <c r="O355" s="173"/>
      <c r="P355" s="173"/>
      <c r="Q355" s="173"/>
      <c r="R355" s="173"/>
    </row>
    <row r="356" spans="1:18" ht="16.5" thickTop="1" thickBot="1" x14ac:dyDescent="0.3">
      <c r="A356" s="308"/>
      <c r="B356" s="152" t="s">
        <v>0</v>
      </c>
      <c r="C356" s="152">
        <v>1440</v>
      </c>
      <c r="D356" s="27">
        <v>1078.3333333333333</v>
      </c>
      <c r="E356" s="152">
        <v>39</v>
      </c>
      <c r="F356" s="152">
        <v>1</v>
      </c>
      <c r="G356" s="245">
        <f t="shared" si="13"/>
        <v>38</v>
      </c>
      <c r="H356" s="292" t="s">
        <v>942</v>
      </c>
      <c r="I356" s="301"/>
      <c r="J356" s="173"/>
      <c r="K356" s="173"/>
      <c r="L356" s="173"/>
      <c r="M356" s="173"/>
      <c r="N356" s="173"/>
      <c r="O356" s="173"/>
      <c r="P356" s="173"/>
      <c r="Q356" s="173"/>
      <c r="R356" s="173"/>
    </row>
    <row r="357" spans="1:18" ht="16.5" thickTop="1" thickBot="1" x14ac:dyDescent="0.3">
      <c r="A357" s="308"/>
      <c r="B357" s="152" t="s">
        <v>1</v>
      </c>
      <c r="C357" s="152">
        <v>1440</v>
      </c>
      <c r="D357" s="27">
        <v>1513</v>
      </c>
      <c r="E357" s="152">
        <v>107</v>
      </c>
      <c r="F357" s="152"/>
      <c r="G357" s="245">
        <f t="shared" si="13"/>
        <v>107</v>
      </c>
      <c r="H357" s="292" t="s">
        <v>943</v>
      </c>
      <c r="I357" s="301"/>
      <c r="J357" s="173"/>
      <c r="K357" s="173"/>
      <c r="L357" s="173"/>
      <c r="M357" s="173"/>
      <c r="N357" s="173"/>
      <c r="O357" s="173"/>
      <c r="P357" s="173"/>
      <c r="Q357" s="173"/>
      <c r="R357" s="173"/>
    </row>
    <row r="358" spans="1:18" ht="16.5" thickTop="1" thickBot="1" x14ac:dyDescent="0.3">
      <c r="A358" s="308"/>
      <c r="B358" s="152" t="s">
        <v>2</v>
      </c>
      <c r="C358" s="152">
        <v>288</v>
      </c>
      <c r="D358" s="27">
        <v>1049.0555555555557</v>
      </c>
      <c r="E358" s="152">
        <v>39</v>
      </c>
      <c r="F358" s="152">
        <v>1</v>
      </c>
      <c r="G358" s="245">
        <f t="shared" si="13"/>
        <v>38</v>
      </c>
      <c r="H358" s="292" t="s">
        <v>944</v>
      </c>
      <c r="I358" s="301"/>
      <c r="J358" s="173"/>
      <c r="K358" s="173"/>
      <c r="L358" s="173"/>
      <c r="M358" s="173"/>
      <c r="N358" s="173"/>
      <c r="O358" s="173"/>
      <c r="P358" s="173"/>
      <c r="Q358" s="173"/>
      <c r="R358" s="173"/>
    </row>
    <row r="359" spans="1:18" ht="16.5" thickTop="1" thickBot="1" x14ac:dyDescent="0.3">
      <c r="A359" s="308"/>
      <c r="B359" s="152" t="s">
        <v>5</v>
      </c>
      <c r="C359" s="152">
        <v>144</v>
      </c>
      <c r="D359" s="27">
        <v>2096.4444444444448</v>
      </c>
      <c r="E359" s="152">
        <v>98</v>
      </c>
      <c r="F359" s="154"/>
      <c r="G359" s="247">
        <f t="shared" si="13"/>
        <v>98</v>
      </c>
      <c r="H359" s="292" t="s">
        <v>945</v>
      </c>
      <c r="I359" s="301"/>
      <c r="J359" s="173"/>
      <c r="K359" s="173"/>
      <c r="L359" s="173"/>
      <c r="M359" s="173"/>
      <c r="N359" s="173"/>
      <c r="O359" s="173"/>
      <c r="P359" s="173"/>
      <c r="Q359" s="173"/>
      <c r="R359" s="173"/>
    </row>
    <row r="360" spans="1:18" ht="16.5" thickTop="1" thickBot="1" x14ac:dyDescent="0.3">
      <c r="A360" s="309"/>
      <c r="B360" s="126" t="s">
        <v>20</v>
      </c>
      <c r="C360" s="126">
        <v>144</v>
      </c>
      <c r="D360" s="28">
        <v>1324.8333333333333</v>
      </c>
      <c r="E360" s="126">
        <v>20</v>
      </c>
      <c r="F360" s="126">
        <v>1</v>
      </c>
      <c r="G360" s="246">
        <f>E360-F360</f>
        <v>19</v>
      </c>
      <c r="H360" s="295" t="s">
        <v>946</v>
      </c>
      <c r="I360" s="301"/>
      <c r="J360" s="173"/>
      <c r="K360" s="173"/>
      <c r="L360" s="173"/>
      <c r="M360" s="173"/>
      <c r="N360" s="173"/>
      <c r="O360" s="173"/>
      <c r="P360" s="173"/>
      <c r="Q360" s="173"/>
      <c r="R360" s="173"/>
    </row>
    <row r="361" spans="1:18" ht="16.5" thickTop="1" thickBot="1" x14ac:dyDescent="0.3">
      <c r="A361" s="307" t="s">
        <v>129</v>
      </c>
      <c r="B361" s="151" t="s">
        <v>21</v>
      </c>
      <c r="C361" s="151">
        <v>1440</v>
      </c>
      <c r="D361" s="151">
        <v>253</v>
      </c>
      <c r="E361" s="151">
        <v>50</v>
      </c>
      <c r="F361" s="151">
        <v>1</v>
      </c>
      <c r="G361" s="243">
        <f t="shared" ref="G361:G367" si="14">E361-F361</f>
        <v>49</v>
      </c>
      <c r="H361" s="291" t="s">
        <v>947</v>
      </c>
      <c r="I361" s="301" t="s">
        <v>367</v>
      </c>
      <c r="J361" s="173"/>
      <c r="K361" s="173"/>
      <c r="L361" s="173"/>
      <c r="M361" s="173"/>
      <c r="N361" s="173"/>
      <c r="O361" s="173"/>
      <c r="P361" s="173"/>
      <c r="Q361" s="173"/>
      <c r="R361" s="173"/>
    </row>
    <row r="362" spans="1:18" ht="16.5" thickTop="1" thickBot="1" x14ac:dyDescent="0.3">
      <c r="A362" s="308"/>
      <c r="B362" s="153" t="s">
        <v>22</v>
      </c>
      <c r="C362" s="153">
        <v>1440</v>
      </c>
      <c r="D362" s="153">
        <v>309</v>
      </c>
      <c r="E362" s="153">
        <v>38</v>
      </c>
      <c r="F362" s="153">
        <v>2</v>
      </c>
      <c r="G362" s="245">
        <f t="shared" si="14"/>
        <v>36</v>
      </c>
      <c r="H362" s="292" t="s">
        <v>948</v>
      </c>
      <c r="I362" s="301"/>
      <c r="J362" s="173"/>
      <c r="K362" s="173"/>
      <c r="L362" s="173"/>
      <c r="M362" s="173"/>
      <c r="N362" s="173"/>
      <c r="O362" s="173"/>
      <c r="P362" s="173"/>
      <c r="Q362" s="173"/>
      <c r="R362" s="173"/>
    </row>
    <row r="363" spans="1:18" ht="16.5" thickTop="1" thickBot="1" x14ac:dyDescent="0.3">
      <c r="A363" s="308"/>
      <c r="B363" s="152" t="s">
        <v>18</v>
      </c>
      <c r="C363" s="152">
        <v>1440</v>
      </c>
      <c r="D363" s="152">
        <v>336</v>
      </c>
      <c r="E363" s="152">
        <v>35</v>
      </c>
      <c r="F363" s="152">
        <v>1</v>
      </c>
      <c r="G363" s="245">
        <f t="shared" si="14"/>
        <v>34</v>
      </c>
      <c r="H363" s="292" t="s">
        <v>949</v>
      </c>
      <c r="I363" s="301"/>
      <c r="J363" s="173"/>
      <c r="K363" s="173"/>
      <c r="L363" s="173"/>
      <c r="M363" s="173"/>
      <c r="N363" s="173"/>
      <c r="O363" s="173"/>
      <c r="P363" s="173"/>
      <c r="Q363" s="173"/>
      <c r="R363" s="173"/>
    </row>
    <row r="364" spans="1:18" ht="16.5" thickTop="1" thickBot="1" x14ac:dyDescent="0.3">
      <c r="A364" s="308"/>
      <c r="B364" s="152" t="s">
        <v>19</v>
      </c>
      <c r="C364" s="152">
        <v>1440</v>
      </c>
      <c r="D364" s="152">
        <v>380</v>
      </c>
      <c r="E364" s="152">
        <v>30</v>
      </c>
      <c r="F364" s="152"/>
      <c r="G364" s="245">
        <f t="shared" si="14"/>
        <v>30</v>
      </c>
      <c r="H364" s="292" t="s">
        <v>950</v>
      </c>
      <c r="I364" s="301"/>
      <c r="J364" s="173"/>
      <c r="K364" s="173"/>
      <c r="L364" s="173"/>
      <c r="M364" s="173"/>
      <c r="N364" s="173"/>
      <c r="O364" s="173"/>
      <c r="P364" s="173"/>
      <c r="Q364" s="173"/>
      <c r="R364" s="173"/>
    </row>
    <row r="365" spans="1:18" ht="16.5" thickTop="1" thickBot="1" x14ac:dyDescent="0.3">
      <c r="A365" s="308"/>
      <c r="B365" s="152" t="s">
        <v>0</v>
      </c>
      <c r="C365" s="152">
        <v>1440</v>
      </c>
      <c r="D365" s="152">
        <v>461</v>
      </c>
      <c r="E365" s="152">
        <v>50</v>
      </c>
      <c r="F365" s="152">
        <v>1</v>
      </c>
      <c r="G365" s="245">
        <f t="shared" si="14"/>
        <v>49</v>
      </c>
      <c r="H365" s="292" t="s">
        <v>951</v>
      </c>
      <c r="I365" s="301"/>
      <c r="J365" s="173"/>
      <c r="K365" s="173"/>
      <c r="L365" s="173"/>
      <c r="M365" s="173"/>
      <c r="N365" s="173"/>
      <c r="O365" s="173"/>
      <c r="P365" s="173"/>
      <c r="Q365" s="173"/>
      <c r="R365" s="173"/>
    </row>
    <row r="366" spans="1:18" ht="16.5" thickTop="1" thickBot="1" x14ac:dyDescent="0.3">
      <c r="A366" s="308"/>
      <c r="B366" s="154" t="s">
        <v>1</v>
      </c>
      <c r="C366" s="154">
        <v>1440</v>
      </c>
      <c r="D366" s="154">
        <v>726</v>
      </c>
      <c r="E366" s="154">
        <v>90</v>
      </c>
      <c r="F366" s="154"/>
      <c r="G366" s="245">
        <f t="shared" si="14"/>
        <v>90</v>
      </c>
      <c r="H366" s="292" t="s">
        <v>952</v>
      </c>
      <c r="I366" s="301"/>
      <c r="J366" s="173"/>
      <c r="K366" s="173"/>
      <c r="L366" s="173"/>
      <c r="M366" s="173"/>
      <c r="N366" s="173"/>
      <c r="O366" s="173"/>
      <c r="P366" s="173"/>
      <c r="Q366" s="173"/>
      <c r="R366" s="173"/>
    </row>
    <row r="367" spans="1:18" ht="16.5" thickTop="1" thickBot="1" x14ac:dyDescent="0.3">
      <c r="A367" s="308"/>
      <c r="B367" s="126" t="s">
        <v>2</v>
      </c>
      <c r="C367" s="126">
        <v>288</v>
      </c>
      <c r="D367" s="126">
        <v>433</v>
      </c>
      <c r="E367" s="126">
        <v>50</v>
      </c>
      <c r="F367" s="126"/>
      <c r="G367" s="246">
        <f t="shared" si="14"/>
        <v>50</v>
      </c>
      <c r="H367" s="295" t="s">
        <v>953</v>
      </c>
      <c r="I367" s="301"/>
      <c r="J367" s="173"/>
      <c r="K367" s="173"/>
      <c r="L367" s="173"/>
      <c r="M367" s="173"/>
      <c r="N367" s="173"/>
      <c r="O367" s="173"/>
      <c r="P367" s="173"/>
      <c r="Q367" s="173"/>
      <c r="R367" s="173"/>
    </row>
    <row r="368" spans="1:18" ht="16.5" thickTop="1" thickBot="1" x14ac:dyDescent="0.3">
      <c r="A368" s="313" t="s">
        <v>132</v>
      </c>
      <c r="B368" s="151" t="s">
        <v>21</v>
      </c>
      <c r="C368" s="151">
        <v>1440</v>
      </c>
      <c r="D368" s="151">
        <v>315</v>
      </c>
      <c r="E368" s="151">
        <v>49</v>
      </c>
      <c r="F368" s="151">
        <f>1+1+1+1+1+1+5+1+1+2</f>
        <v>15</v>
      </c>
      <c r="G368" s="243">
        <f t="shared" ref="G368:G430" si="15">E368-F368</f>
        <v>34</v>
      </c>
      <c r="H368" s="291" t="s">
        <v>954</v>
      </c>
      <c r="I368" s="301" t="s">
        <v>470</v>
      </c>
      <c r="J368" s="173"/>
      <c r="K368" s="173"/>
      <c r="L368" s="173"/>
      <c r="M368" s="173"/>
      <c r="N368" s="173"/>
      <c r="O368" s="173"/>
      <c r="P368" s="173"/>
      <c r="Q368" s="173"/>
      <c r="R368" s="173"/>
    </row>
    <row r="369" spans="1:18" ht="16.5" thickTop="1" thickBot="1" x14ac:dyDescent="0.3">
      <c r="A369" s="314"/>
      <c r="B369" s="152" t="s">
        <v>22</v>
      </c>
      <c r="C369" s="152">
        <v>1440</v>
      </c>
      <c r="D369" s="152">
        <v>425</v>
      </c>
      <c r="E369" s="152">
        <v>36</v>
      </c>
      <c r="F369" s="152">
        <f>1+1+1+1+1+1+1+5+1+1</f>
        <v>14</v>
      </c>
      <c r="G369" s="245">
        <f t="shared" si="15"/>
        <v>22</v>
      </c>
      <c r="H369" s="292" t="s">
        <v>955</v>
      </c>
      <c r="I369" s="301"/>
      <c r="J369" s="173"/>
      <c r="K369" s="173"/>
      <c r="L369" s="173"/>
      <c r="M369" s="173"/>
      <c r="N369" s="173"/>
      <c r="O369" s="173"/>
      <c r="P369" s="173"/>
      <c r="Q369" s="173"/>
      <c r="R369" s="173"/>
    </row>
    <row r="370" spans="1:18" ht="16.5" thickTop="1" thickBot="1" x14ac:dyDescent="0.3">
      <c r="A370" s="314"/>
      <c r="B370" s="152" t="s">
        <v>18</v>
      </c>
      <c r="C370" s="152">
        <v>1440</v>
      </c>
      <c r="D370" s="152">
        <v>485</v>
      </c>
      <c r="E370" s="152">
        <v>34</v>
      </c>
      <c r="F370" s="152">
        <f>1+1+1+5</f>
        <v>8</v>
      </c>
      <c r="G370" s="245">
        <f t="shared" si="15"/>
        <v>26</v>
      </c>
      <c r="H370" s="292" t="s">
        <v>956</v>
      </c>
      <c r="I370" s="301"/>
      <c r="J370" s="173"/>
      <c r="K370" s="173"/>
      <c r="L370" s="173"/>
      <c r="M370" s="173"/>
      <c r="N370" s="173"/>
      <c r="O370" s="173"/>
      <c r="P370" s="173"/>
      <c r="Q370" s="173"/>
      <c r="R370" s="173"/>
    </row>
    <row r="371" spans="1:18" ht="16.5" thickTop="1" thickBot="1" x14ac:dyDescent="0.3">
      <c r="A371" s="314"/>
      <c r="B371" s="152" t="s">
        <v>19</v>
      </c>
      <c r="C371" s="152">
        <v>1440</v>
      </c>
      <c r="D371" s="152">
        <v>650</v>
      </c>
      <c r="E371" s="152">
        <v>28</v>
      </c>
      <c r="F371" s="152">
        <v>5</v>
      </c>
      <c r="G371" s="245">
        <f t="shared" si="15"/>
        <v>23</v>
      </c>
      <c r="H371" s="292" t="s">
        <v>957</v>
      </c>
      <c r="I371" s="301"/>
      <c r="J371" s="173"/>
      <c r="K371" s="173"/>
      <c r="L371" s="173"/>
      <c r="M371" s="173"/>
      <c r="N371" s="173"/>
      <c r="O371" s="173"/>
      <c r="P371" s="173"/>
      <c r="Q371" s="173"/>
      <c r="R371" s="173"/>
    </row>
    <row r="372" spans="1:18" ht="16.5" thickTop="1" thickBot="1" x14ac:dyDescent="0.3">
      <c r="A372" s="314"/>
      <c r="B372" s="152" t="s">
        <v>0</v>
      </c>
      <c r="C372" s="152">
        <v>1440</v>
      </c>
      <c r="D372" s="152">
        <v>885</v>
      </c>
      <c r="E372" s="152">
        <v>74</v>
      </c>
      <c r="F372" s="152">
        <f>5+1</f>
        <v>6</v>
      </c>
      <c r="G372" s="245">
        <f t="shared" si="15"/>
        <v>68</v>
      </c>
      <c r="H372" s="292" t="s">
        <v>958</v>
      </c>
      <c r="I372" s="301"/>
      <c r="J372" s="173"/>
      <c r="K372" s="173"/>
      <c r="L372" s="173"/>
      <c r="M372" s="173"/>
      <c r="N372" s="173"/>
      <c r="O372" s="173"/>
      <c r="P372" s="173"/>
      <c r="Q372" s="173"/>
      <c r="R372" s="173"/>
    </row>
    <row r="373" spans="1:18" ht="16.5" thickTop="1" thickBot="1" x14ac:dyDescent="0.3">
      <c r="A373" s="314"/>
      <c r="B373" s="152" t="s">
        <v>1</v>
      </c>
      <c r="C373" s="152">
        <v>1440</v>
      </c>
      <c r="D373" s="152">
        <v>1685</v>
      </c>
      <c r="E373" s="152">
        <v>119</v>
      </c>
      <c r="F373" s="152">
        <v>5</v>
      </c>
      <c r="G373" s="245">
        <f t="shared" si="15"/>
        <v>114</v>
      </c>
      <c r="H373" s="292" t="s">
        <v>959</v>
      </c>
      <c r="I373" s="301"/>
      <c r="J373" s="173"/>
      <c r="K373" s="173"/>
      <c r="L373" s="173"/>
      <c r="M373" s="173"/>
      <c r="N373" s="173"/>
      <c r="O373" s="173"/>
      <c r="P373" s="173"/>
      <c r="Q373" s="173"/>
      <c r="R373" s="173"/>
    </row>
    <row r="374" spans="1:18" ht="16.5" thickTop="1" thickBot="1" x14ac:dyDescent="0.3">
      <c r="A374" s="314"/>
      <c r="B374" s="152" t="s">
        <v>2</v>
      </c>
      <c r="C374" s="152">
        <v>288</v>
      </c>
      <c r="D374" s="152">
        <v>856</v>
      </c>
      <c r="E374" s="152">
        <v>47</v>
      </c>
      <c r="F374" s="152"/>
      <c r="G374" s="245">
        <f t="shared" si="15"/>
        <v>47</v>
      </c>
      <c r="H374" s="292" t="s">
        <v>960</v>
      </c>
      <c r="I374" s="301"/>
      <c r="J374" s="173"/>
      <c r="K374" s="173"/>
      <c r="L374" s="173"/>
      <c r="M374" s="173"/>
      <c r="N374" s="173"/>
      <c r="O374" s="173"/>
      <c r="P374" s="173"/>
      <c r="Q374" s="173"/>
      <c r="R374" s="173"/>
    </row>
    <row r="375" spans="1:18" ht="16.5" thickTop="1" thickBot="1" x14ac:dyDescent="0.3">
      <c r="A375" s="314"/>
      <c r="B375" s="152" t="s">
        <v>5</v>
      </c>
      <c r="C375" s="152">
        <v>144</v>
      </c>
      <c r="D375" s="152">
        <v>1048</v>
      </c>
      <c r="E375" s="152">
        <v>25</v>
      </c>
      <c r="F375" s="152"/>
      <c r="G375" s="245">
        <f t="shared" si="15"/>
        <v>25</v>
      </c>
      <c r="H375" s="292" t="s">
        <v>961</v>
      </c>
      <c r="I375" s="301"/>
      <c r="J375" s="173"/>
      <c r="K375" s="173"/>
      <c r="L375" s="173"/>
      <c r="M375" s="173"/>
      <c r="N375" s="173"/>
      <c r="O375" s="173"/>
      <c r="P375" s="173"/>
      <c r="Q375" s="173"/>
      <c r="R375" s="173"/>
    </row>
    <row r="376" spans="1:18" ht="16.5" thickTop="1" thickBot="1" x14ac:dyDescent="0.3">
      <c r="A376" s="315"/>
      <c r="B376" s="126" t="s">
        <v>20</v>
      </c>
      <c r="C376" s="126">
        <v>144</v>
      </c>
      <c r="D376" s="126">
        <v>1048</v>
      </c>
      <c r="E376" s="126">
        <v>20</v>
      </c>
      <c r="F376" s="126"/>
      <c r="G376" s="246">
        <f t="shared" si="15"/>
        <v>20</v>
      </c>
      <c r="H376" s="295" t="s">
        <v>962</v>
      </c>
      <c r="I376" s="301"/>
      <c r="J376" s="173"/>
      <c r="K376" s="173"/>
      <c r="L376" s="173"/>
      <c r="M376" s="173"/>
      <c r="N376" s="173"/>
      <c r="O376" s="173"/>
      <c r="P376" s="173"/>
      <c r="Q376" s="173"/>
      <c r="R376" s="173"/>
    </row>
    <row r="377" spans="1:18" ht="16.5" thickTop="1" thickBot="1" x14ac:dyDescent="0.3">
      <c r="A377" s="314" t="s">
        <v>584</v>
      </c>
      <c r="B377" s="152" t="s">
        <v>22</v>
      </c>
      <c r="C377" s="152">
        <v>1440</v>
      </c>
      <c r="D377" s="152">
        <v>458</v>
      </c>
      <c r="E377" s="83">
        <v>40</v>
      </c>
      <c r="F377" s="152"/>
      <c r="G377" s="245">
        <f t="shared" si="15"/>
        <v>40</v>
      </c>
      <c r="H377" s="291" t="s">
        <v>963</v>
      </c>
      <c r="I377" s="301" t="s">
        <v>368</v>
      </c>
      <c r="J377" s="173"/>
      <c r="K377" s="173"/>
      <c r="L377" s="173"/>
      <c r="M377" s="173"/>
      <c r="N377" s="173"/>
      <c r="O377" s="173"/>
      <c r="P377" s="173"/>
      <c r="Q377" s="173"/>
      <c r="R377" s="173"/>
    </row>
    <row r="378" spans="1:18" ht="16.5" thickTop="1" thickBot="1" x14ac:dyDescent="0.3">
      <c r="A378" s="314"/>
      <c r="B378" s="152" t="s">
        <v>18</v>
      </c>
      <c r="C378" s="152">
        <v>1440</v>
      </c>
      <c r="D378" s="152">
        <v>568</v>
      </c>
      <c r="E378" s="83">
        <v>34</v>
      </c>
      <c r="F378" s="152"/>
      <c r="G378" s="245">
        <f t="shared" si="15"/>
        <v>34</v>
      </c>
      <c r="H378" s="292" t="s">
        <v>964</v>
      </c>
      <c r="I378" s="301"/>
      <c r="J378" s="173"/>
      <c r="K378" s="173"/>
      <c r="L378" s="173"/>
      <c r="M378" s="173"/>
      <c r="N378" s="173"/>
      <c r="O378" s="173"/>
      <c r="P378" s="173"/>
      <c r="Q378" s="173"/>
      <c r="R378" s="173"/>
    </row>
    <row r="379" spans="1:18" ht="16.5" thickTop="1" thickBot="1" x14ac:dyDescent="0.3">
      <c r="A379" s="314"/>
      <c r="B379" s="152" t="s">
        <v>19</v>
      </c>
      <c r="C379" s="152">
        <v>1440</v>
      </c>
      <c r="D379" s="152">
        <v>733</v>
      </c>
      <c r="E379" s="83">
        <v>30</v>
      </c>
      <c r="F379" s="152"/>
      <c r="G379" s="245">
        <f t="shared" si="15"/>
        <v>30</v>
      </c>
      <c r="H379" s="292" t="s">
        <v>965</v>
      </c>
      <c r="I379" s="301"/>
      <c r="J379" s="173"/>
      <c r="K379" s="173"/>
      <c r="L379" s="173"/>
      <c r="M379" s="173"/>
      <c r="N379" s="173"/>
      <c r="O379" s="173"/>
      <c r="P379" s="173"/>
      <c r="Q379" s="173"/>
      <c r="R379" s="173"/>
    </row>
    <row r="380" spans="1:18" ht="16.5" thickTop="1" thickBot="1" x14ac:dyDescent="0.3">
      <c r="A380" s="314"/>
      <c r="B380" s="152" t="s">
        <v>0</v>
      </c>
      <c r="C380" s="152">
        <v>1440</v>
      </c>
      <c r="D380" s="152">
        <v>1168</v>
      </c>
      <c r="E380" s="83">
        <v>50</v>
      </c>
      <c r="F380" s="152"/>
      <c r="G380" s="245">
        <f t="shared" si="15"/>
        <v>50</v>
      </c>
      <c r="H380" s="292" t="s">
        <v>966</v>
      </c>
      <c r="I380" s="301"/>
      <c r="J380" s="173"/>
      <c r="K380" s="173"/>
      <c r="L380" s="173"/>
      <c r="M380" s="173"/>
      <c r="N380" s="173"/>
      <c r="O380" s="173"/>
      <c r="P380" s="173"/>
      <c r="Q380" s="173"/>
      <c r="R380" s="173"/>
    </row>
    <row r="381" spans="1:18" ht="16.5" thickTop="1" thickBot="1" x14ac:dyDescent="0.3">
      <c r="A381" s="314"/>
      <c r="B381" s="152" t="s">
        <v>1</v>
      </c>
      <c r="C381" s="152">
        <v>1440</v>
      </c>
      <c r="D381" s="152">
        <v>1513</v>
      </c>
      <c r="E381" s="152">
        <v>91</v>
      </c>
      <c r="F381" s="152">
        <v>1</v>
      </c>
      <c r="G381" s="245">
        <f t="shared" si="15"/>
        <v>90</v>
      </c>
      <c r="H381" s="292" t="s">
        <v>967</v>
      </c>
      <c r="I381" s="301"/>
      <c r="J381" s="173"/>
      <c r="K381" s="173"/>
      <c r="L381" s="173"/>
      <c r="M381" s="173"/>
      <c r="N381" s="173"/>
      <c r="O381" s="173"/>
      <c r="P381" s="173"/>
      <c r="Q381" s="173"/>
      <c r="R381" s="173"/>
    </row>
    <row r="382" spans="1:18" ht="16.5" thickTop="1" thickBot="1" x14ac:dyDescent="0.3">
      <c r="A382" s="314"/>
      <c r="B382" s="152" t="s">
        <v>2</v>
      </c>
      <c r="C382" s="152">
        <v>288</v>
      </c>
      <c r="D382" s="152">
        <v>1138</v>
      </c>
      <c r="E382" s="152">
        <v>51</v>
      </c>
      <c r="F382" s="152"/>
      <c r="G382" s="245">
        <f t="shared" si="15"/>
        <v>51</v>
      </c>
      <c r="H382" s="292" t="s">
        <v>968</v>
      </c>
      <c r="I382" s="301"/>
      <c r="J382" s="173"/>
      <c r="K382" s="173"/>
      <c r="L382" s="173"/>
      <c r="M382" s="173"/>
      <c r="N382" s="173"/>
      <c r="O382" s="173"/>
      <c r="P382" s="173"/>
      <c r="Q382" s="173"/>
      <c r="R382" s="173"/>
    </row>
    <row r="383" spans="1:18" ht="16.5" thickTop="1" thickBot="1" x14ac:dyDescent="0.3">
      <c r="A383" s="356"/>
      <c r="B383" s="154" t="s">
        <v>5</v>
      </c>
      <c r="C383" s="154">
        <v>144</v>
      </c>
      <c r="D383" s="154">
        <v>2263</v>
      </c>
      <c r="E383" s="154">
        <v>99</v>
      </c>
      <c r="F383" s="154"/>
      <c r="G383" s="247">
        <f t="shared" si="15"/>
        <v>99</v>
      </c>
      <c r="H383" s="295" t="s">
        <v>969</v>
      </c>
      <c r="I383" s="301"/>
      <c r="J383" s="173"/>
      <c r="K383" s="173"/>
      <c r="L383" s="173"/>
      <c r="M383" s="173"/>
      <c r="N383" s="173"/>
      <c r="O383" s="173"/>
      <c r="P383" s="173"/>
      <c r="Q383" s="173"/>
      <c r="R383" s="173"/>
    </row>
    <row r="384" spans="1:18" ht="16.5" thickTop="1" thickBot="1" x14ac:dyDescent="0.3">
      <c r="A384" s="313" t="s">
        <v>130</v>
      </c>
      <c r="B384" s="151" t="s">
        <v>89</v>
      </c>
      <c r="C384" s="151">
        <v>1440</v>
      </c>
      <c r="D384" s="151">
        <v>270</v>
      </c>
      <c r="E384" s="151">
        <f>20+20</f>
        <v>40</v>
      </c>
      <c r="F384" s="151">
        <f>10+2</f>
        <v>12</v>
      </c>
      <c r="G384" s="243">
        <f t="shared" si="15"/>
        <v>28</v>
      </c>
      <c r="H384" s="291" t="s">
        <v>970</v>
      </c>
      <c r="I384" s="301" t="s">
        <v>369</v>
      </c>
      <c r="J384" s="173"/>
      <c r="K384" s="173"/>
      <c r="L384" s="173"/>
      <c r="M384" s="173"/>
      <c r="N384" s="173"/>
      <c r="O384" s="173"/>
      <c r="P384" s="173"/>
      <c r="Q384" s="173"/>
      <c r="R384" s="173"/>
    </row>
    <row r="385" spans="1:18" ht="16.5" thickTop="1" thickBot="1" x14ac:dyDescent="0.3">
      <c r="A385" s="314"/>
      <c r="B385" s="152" t="s">
        <v>21</v>
      </c>
      <c r="C385" s="152">
        <v>1440</v>
      </c>
      <c r="D385" s="152">
        <v>292</v>
      </c>
      <c r="E385" s="152">
        <v>49</v>
      </c>
      <c r="F385" s="152">
        <f>1+2+1+1</f>
        <v>5</v>
      </c>
      <c r="G385" s="245">
        <f t="shared" si="15"/>
        <v>44</v>
      </c>
      <c r="H385" s="292" t="s">
        <v>971</v>
      </c>
      <c r="I385" s="301"/>
      <c r="J385" s="173"/>
      <c r="K385" s="173"/>
      <c r="L385" s="173"/>
      <c r="M385" s="173"/>
      <c r="N385" s="173"/>
      <c r="O385" s="173"/>
      <c r="P385" s="173"/>
      <c r="Q385" s="173"/>
      <c r="R385" s="173"/>
    </row>
    <row r="386" spans="1:18" ht="16.5" thickTop="1" thickBot="1" x14ac:dyDescent="0.3">
      <c r="A386" s="314"/>
      <c r="B386" s="152" t="s">
        <v>22</v>
      </c>
      <c r="C386" s="152">
        <v>1440</v>
      </c>
      <c r="D386" s="152">
        <v>403</v>
      </c>
      <c r="E386" s="152">
        <v>38</v>
      </c>
      <c r="F386" s="152">
        <f>1+4+1+1+1</f>
        <v>8</v>
      </c>
      <c r="G386" s="245">
        <f t="shared" si="15"/>
        <v>30</v>
      </c>
      <c r="H386" s="292" t="s">
        <v>972</v>
      </c>
      <c r="I386" s="301"/>
      <c r="J386" s="173"/>
      <c r="K386" s="173"/>
      <c r="L386" s="173"/>
      <c r="M386" s="173"/>
      <c r="N386" s="173"/>
      <c r="O386" s="173"/>
      <c r="P386" s="173"/>
      <c r="Q386" s="173"/>
      <c r="R386" s="173"/>
    </row>
    <row r="387" spans="1:18" ht="16.5" thickTop="1" thickBot="1" x14ac:dyDescent="0.3">
      <c r="A387" s="314"/>
      <c r="B387" s="152" t="s">
        <v>18</v>
      </c>
      <c r="C387" s="152">
        <v>1440</v>
      </c>
      <c r="D387" s="152">
        <v>468</v>
      </c>
      <c r="E387" s="152">
        <v>34</v>
      </c>
      <c r="F387" s="152">
        <v>1</v>
      </c>
      <c r="G387" s="245">
        <f t="shared" si="15"/>
        <v>33</v>
      </c>
      <c r="H387" s="292" t="s">
        <v>973</v>
      </c>
      <c r="I387" s="301"/>
      <c r="J387" s="173"/>
      <c r="K387" s="173"/>
      <c r="L387" s="173"/>
      <c r="M387" s="173"/>
      <c r="N387" s="173"/>
      <c r="O387" s="173"/>
      <c r="P387" s="173"/>
      <c r="Q387" s="173"/>
      <c r="R387" s="173"/>
    </row>
    <row r="388" spans="1:18" ht="16.5" thickTop="1" thickBot="1" x14ac:dyDescent="0.3">
      <c r="A388" s="314"/>
      <c r="B388" s="152" t="s">
        <v>19</v>
      </c>
      <c r="C388" s="152">
        <v>1440</v>
      </c>
      <c r="D388" s="152">
        <v>623</v>
      </c>
      <c r="E388" s="152">
        <v>29</v>
      </c>
      <c r="F388" s="152"/>
      <c r="G388" s="245">
        <f t="shared" si="15"/>
        <v>29</v>
      </c>
      <c r="H388" s="292" t="s">
        <v>974</v>
      </c>
      <c r="I388" s="301"/>
      <c r="J388" s="173"/>
      <c r="K388" s="173"/>
      <c r="L388" s="173"/>
      <c r="M388" s="173"/>
      <c r="N388" s="173"/>
      <c r="O388" s="173"/>
      <c r="P388" s="173"/>
      <c r="Q388" s="173"/>
      <c r="R388" s="173"/>
    </row>
    <row r="389" spans="1:18" ht="16.5" thickTop="1" thickBot="1" x14ac:dyDescent="0.3">
      <c r="A389" s="314"/>
      <c r="B389" s="152" t="s">
        <v>0</v>
      </c>
      <c r="C389" s="152">
        <v>1440</v>
      </c>
      <c r="D389" s="152">
        <v>831</v>
      </c>
      <c r="E389" s="152">
        <v>49</v>
      </c>
      <c r="F389" s="152">
        <v>1</v>
      </c>
      <c r="G389" s="245">
        <f t="shared" si="15"/>
        <v>48</v>
      </c>
      <c r="H389" s="292" t="s">
        <v>975</v>
      </c>
      <c r="I389" s="301"/>
      <c r="J389" s="173"/>
      <c r="K389" s="173"/>
      <c r="L389" s="173"/>
      <c r="M389" s="173"/>
      <c r="N389" s="173"/>
      <c r="O389" s="173"/>
      <c r="P389" s="173"/>
      <c r="Q389" s="173"/>
      <c r="R389" s="173"/>
    </row>
    <row r="390" spans="1:18" ht="16.5" thickTop="1" thickBot="1" x14ac:dyDescent="0.3">
      <c r="A390" s="314"/>
      <c r="B390" s="152" t="s">
        <v>1</v>
      </c>
      <c r="C390" s="152">
        <v>1440</v>
      </c>
      <c r="D390" s="152">
        <v>1603</v>
      </c>
      <c r="E390" s="83">
        <v>89</v>
      </c>
      <c r="F390" s="152"/>
      <c r="G390" s="245">
        <f t="shared" si="15"/>
        <v>89</v>
      </c>
      <c r="H390" s="292" t="s">
        <v>976</v>
      </c>
      <c r="I390" s="301"/>
      <c r="J390" s="173"/>
      <c r="K390" s="173"/>
      <c r="L390" s="173"/>
      <c r="M390" s="173"/>
      <c r="N390" s="173"/>
      <c r="O390" s="173"/>
      <c r="P390" s="173"/>
      <c r="Q390" s="173"/>
      <c r="R390" s="173"/>
    </row>
    <row r="391" spans="1:18" ht="16.5" thickTop="1" thickBot="1" x14ac:dyDescent="0.3">
      <c r="A391" s="315"/>
      <c r="B391" s="126" t="s">
        <v>2</v>
      </c>
      <c r="C391" s="126">
        <v>288</v>
      </c>
      <c r="D391" s="126">
        <v>801</v>
      </c>
      <c r="E391" s="126">
        <v>23</v>
      </c>
      <c r="F391" s="126"/>
      <c r="G391" s="246">
        <f t="shared" si="15"/>
        <v>23</v>
      </c>
      <c r="H391" s="295" t="s">
        <v>977</v>
      </c>
      <c r="I391" s="301"/>
      <c r="J391" s="173"/>
      <c r="K391" s="173"/>
      <c r="L391" s="173"/>
      <c r="M391" s="173"/>
      <c r="N391" s="173"/>
      <c r="O391" s="173"/>
      <c r="P391" s="173"/>
      <c r="Q391" s="173"/>
      <c r="R391" s="173"/>
    </row>
    <row r="392" spans="1:18" ht="16.5" thickTop="1" thickBot="1" x14ac:dyDescent="0.3">
      <c r="A392" s="357" t="s">
        <v>173</v>
      </c>
      <c r="B392" s="151" t="s">
        <v>18</v>
      </c>
      <c r="C392" s="151">
        <v>1440</v>
      </c>
      <c r="D392" s="151">
        <v>623</v>
      </c>
      <c r="E392" s="151">
        <v>20</v>
      </c>
      <c r="F392" s="151"/>
      <c r="G392" s="243">
        <f t="shared" si="15"/>
        <v>20</v>
      </c>
      <c r="H392" s="291" t="s">
        <v>978</v>
      </c>
      <c r="I392" s="301" t="s">
        <v>370</v>
      </c>
      <c r="J392" s="173"/>
      <c r="K392" s="173"/>
      <c r="L392" s="173"/>
      <c r="M392" s="173"/>
      <c r="N392" s="173"/>
      <c r="O392" s="173"/>
      <c r="P392" s="173"/>
      <c r="Q392" s="173"/>
      <c r="R392" s="173"/>
    </row>
    <row r="393" spans="1:18" ht="16.5" thickTop="1" thickBot="1" x14ac:dyDescent="0.3">
      <c r="A393" s="314"/>
      <c r="B393" s="152" t="s">
        <v>0</v>
      </c>
      <c r="C393" s="152">
        <v>1440</v>
      </c>
      <c r="D393" s="152">
        <v>1188</v>
      </c>
      <c r="E393" s="152">
        <v>20</v>
      </c>
      <c r="F393" s="152"/>
      <c r="G393" s="245">
        <f t="shared" si="15"/>
        <v>20</v>
      </c>
      <c r="H393" s="292" t="s">
        <v>979</v>
      </c>
      <c r="I393" s="301"/>
      <c r="J393" s="173"/>
      <c r="K393" s="173"/>
      <c r="L393" s="173"/>
      <c r="M393" s="173"/>
      <c r="N393" s="173"/>
      <c r="O393" s="173"/>
      <c r="P393" s="173"/>
      <c r="Q393" s="173"/>
      <c r="R393" s="173"/>
    </row>
    <row r="394" spans="1:18" ht="16.5" thickTop="1" thickBot="1" x14ac:dyDescent="0.3">
      <c r="A394" s="314"/>
      <c r="B394" s="152" t="s">
        <v>1</v>
      </c>
      <c r="C394" s="152">
        <v>1440</v>
      </c>
      <c r="D394" s="152">
        <v>2071</v>
      </c>
      <c r="E394" s="152">
        <v>15</v>
      </c>
      <c r="F394" s="152"/>
      <c r="G394" s="245">
        <f t="shared" si="15"/>
        <v>15</v>
      </c>
      <c r="H394" s="292" t="s">
        <v>980</v>
      </c>
      <c r="I394" s="301"/>
      <c r="J394" s="173"/>
      <c r="K394" s="173"/>
      <c r="L394" s="173"/>
      <c r="M394" s="173"/>
      <c r="N394" s="173"/>
      <c r="O394" s="173"/>
      <c r="P394" s="173"/>
      <c r="Q394" s="173"/>
      <c r="R394" s="173"/>
    </row>
    <row r="395" spans="1:18" ht="16.5" thickTop="1" thickBot="1" x14ac:dyDescent="0.3">
      <c r="A395" s="356"/>
      <c r="B395" s="127" t="s">
        <v>2</v>
      </c>
      <c r="C395" s="154">
        <v>288</v>
      </c>
      <c r="D395" s="154">
        <v>1159</v>
      </c>
      <c r="E395" s="154">
        <v>20</v>
      </c>
      <c r="F395" s="154">
        <v>1</v>
      </c>
      <c r="G395" s="247">
        <f t="shared" si="15"/>
        <v>19</v>
      </c>
      <c r="H395" s="295" t="s">
        <v>981</v>
      </c>
      <c r="I395" s="301"/>
      <c r="J395" s="173"/>
      <c r="K395" s="173"/>
      <c r="L395" s="173"/>
      <c r="M395" s="173"/>
      <c r="N395" s="173"/>
      <c r="O395" s="173"/>
      <c r="P395" s="173"/>
      <c r="Q395" s="173"/>
      <c r="R395" s="173"/>
    </row>
    <row r="396" spans="1:18" ht="16.5" thickTop="1" thickBot="1" x14ac:dyDescent="0.3">
      <c r="A396" s="313" t="s">
        <v>174</v>
      </c>
      <c r="B396" s="151" t="s">
        <v>21</v>
      </c>
      <c r="C396" s="151">
        <v>1440</v>
      </c>
      <c r="D396" s="151">
        <v>502</v>
      </c>
      <c r="E396" s="151">
        <v>19</v>
      </c>
      <c r="F396" s="151">
        <v>1</v>
      </c>
      <c r="G396" s="243">
        <f t="shared" si="15"/>
        <v>18</v>
      </c>
      <c r="H396" s="291" t="s">
        <v>982</v>
      </c>
      <c r="I396" s="301" t="s">
        <v>371</v>
      </c>
      <c r="J396" s="173"/>
      <c r="K396" s="173"/>
      <c r="L396" s="173"/>
      <c r="M396" s="173"/>
      <c r="N396" s="173"/>
      <c r="O396" s="173"/>
      <c r="P396" s="173"/>
      <c r="Q396" s="173"/>
      <c r="R396" s="173"/>
    </row>
    <row r="397" spans="1:18" ht="16.5" thickTop="1" thickBot="1" x14ac:dyDescent="0.3">
      <c r="A397" s="314"/>
      <c r="B397" s="152" t="s">
        <v>22</v>
      </c>
      <c r="C397" s="152">
        <v>1440</v>
      </c>
      <c r="D397" s="152">
        <v>568</v>
      </c>
      <c r="E397" s="152">
        <v>20</v>
      </c>
      <c r="F397" s="152"/>
      <c r="G397" s="245">
        <f t="shared" si="15"/>
        <v>20</v>
      </c>
      <c r="H397" s="292" t="s">
        <v>983</v>
      </c>
      <c r="I397" s="301"/>
      <c r="J397" s="173"/>
      <c r="K397" s="173"/>
      <c r="L397" s="173"/>
      <c r="M397" s="173"/>
      <c r="N397" s="173"/>
      <c r="O397" s="173"/>
      <c r="P397" s="173"/>
      <c r="Q397" s="173"/>
      <c r="R397" s="173"/>
    </row>
    <row r="398" spans="1:18" ht="16.5" thickTop="1" thickBot="1" x14ac:dyDescent="0.3">
      <c r="A398" s="314"/>
      <c r="B398" s="152" t="s">
        <v>18</v>
      </c>
      <c r="C398" s="152">
        <v>1440</v>
      </c>
      <c r="D398" s="152">
        <v>623</v>
      </c>
      <c r="E398" s="152">
        <v>20</v>
      </c>
      <c r="F398" s="152"/>
      <c r="G398" s="245">
        <f t="shared" si="15"/>
        <v>20</v>
      </c>
      <c r="H398" s="292" t="s">
        <v>984</v>
      </c>
      <c r="I398" s="301"/>
      <c r="J398" s="173"/>
      <c r="K398" s="173"/>
      <c r="L398" s="173"/>
      <c r="M398" s="173"/>
      <c r="N398" s="173"/>
      <c r="O398" s="173"/>
      <c r="P398" s="173"/>
      <c r="Q398" s="173"/>
      <c r="R398" s="173"/>
    </row>
    <row r="399" spans="1:18" ht="16.5" thickTop="1" thickBot="1" x14ac:dyDescent="0.3">
      <c r="A399" s="314"/>
      <c r="B399" s="152" t="s">
        <v>19</v>
      </c>
      <c r="C399" s="152">
        <v>1440</v>
      </c>
      <c r="D399" s="152">
        <v>898</v>
      </c>
      <c r="E399" s="152">
        <v>20</v>
      </c>
      <c r="F399" s="152"/>
      <c r="G399" s="245">
        <f t="shared" si="15"/>
        <v>20</v>
      </c>
      <c r="H399" s="292" t="s">
        <v>985</v>
      </c>
      <c r="I399" s="301"/>
      <c r="J399" s="173"/>
      <c r="K399" s="173"/>
      <c r="L399" s="173"/>
      <c r="M399" s="173"/>
      <c r="N399" s="173"/>
      <c r="O399" s="173"/>
      <c r="P399" s="173"/>
      <c r="Q399" s="173"/>
      <c r="R399" s="173"/>
    </row>
    <row r="400" spans="1:18" ht="16.5" thickTop="1" thickBot="1" x14ac:dyDescent="0.3">
      <c r="A400" s="314"/>
      <c r="B400" s="152" t="s">
        <v>0</v>
      </c>
      <c r="C400" s="152">
        <v>1440</v>
      </c>
      <c r="D400" s="152">
        <v>1188</v>
      </c>
      <c r="E400" s="152">
        <v>10</v>
      </c>
      <c r="F400" s="152">
        <v>1</v>
      </c>
      <c r="G400" s="245">
        <f t="shared" si="15"/>
        <v>9</v>
      </c>
      <c r="H400" s="292" t="s">
        <v>986</v>
      </c>
      <c r="I400" s="301"/>
      <c r="J400" s="173"/>
      <c r="K400" s="173"/>
      <c r="L400" s="173"/>
      <c r="M400" s="173"/>
      <c r="N400" s="173"/>
      <c r="O400" s="173"/>
      <c r="P400" s="173"/>
      <c r="Q400" s="173"/>
      <c r="R400" s="173"/>
    </row>
    <row r="401" spans="1:18" ht="16.5" thickTop="1" thickBot="1" x14ac:dyDescent="0.3">
      <c r="A401" s="315"/>
      <c r="B401" s="126" t="s">
        <v>1</v>
      </c>
      <c r="C401" s="126">
        <v>1440</v>
      </c>
      <c r="D401" s="126">
        <v>2071</v>
      </c>
      <c r="E401" s="126">
        <v>15</v>
      </c>
      <c r="F401" s="126">
        <v>1</v>
      </c>
      <c r="G401" s="247">
        <f t="shared" si="15"/>
        <v>14</v>
      </c>
      <c r="H401" s="295" t="s">
        <v>987</v>
      </c>
      <c r="I401" s="301"/>
      <c r="J401" s="173"/>
      <c r="K401" s="173"/>
      <c r="L401" s="173"/>
      <c r="M401" s="173"/>
      <c r="N401" s="173"/>
      <c r="O401" s="173"/>
      <c r="P401" s="173"/>
      <c r="Q401" s="173"/>
      <c r="R401" s="173"/>
    </row>
    <row r="402" spans="1:18" ht="16.5" thickTop="1" thickBot="1" x14ac:dyDescent="0.3">
      <c r="A402" s="313" t="s">
        <v>175</v>
      </c>
      <c r="B402" s="151" t="s">
        <v>21</v>
      </c>
      <c r="C402" s="151">
        <v>1440</v>
      </c>
      <c r="D402" s="151">
        <v>585</v>
      </c>
      <c r="E402" s="151">
        <v>19</v>
      </c>
      <c r="F402" s="151">
        <f>1+1+1</f>
        <v>3</v>
      </c>
      <c r="G402" s="243">
        <f t="shared" si="15"/>
        <v>16</v>
      </c>
      <c r="H402" s="291" t="s">
        <v>988</v>
      </c>
      <c r="I402" s="301" t="s">
        <v>372</v>
      </c>
      <c r="J402" s="173"/>
      <c r="K402" s="173"/>
      <c r="L402" s="173"/>
      <c r="M402" s="173"/>
      <c r="N402" s="173"/>
      <c r="O402" s="173"/>
      <c r="P402" s="173"/>
      <c r="Q402" s="173"/>
      <c r="R402" s="173"/>
    </row>
    <row r="403" spans="1:18" ht="16.5" thickTop="1" thickBot="1" x14ac:dyDescent="0.3">
      <c r="A403" s="314"/>
      <c r="B403" s="152" t="s">
        <v>18</v>
      </c>
      <c r="C403" s="152">
        <v>1440</v>
      </c>
      <c r="D403" s="152">
        <v>778</v>
      </c>
      <c r="E403" s="152">
        <v>19</v>
      </c>
      <c r="F403" s="152">
        <v>2</v>
      </c>
      <c r="G403" s="245">
        <f t="shared" si="15"/>
        <v>17</v>
      </c>
      <c r="H403" s="292" t="s">
        <v>989</v>
      </c>
      <c r="I403" s="301"/>
      <c r="J403" s="173"/>
      <c r="K403" s="173"/>
      <c r="L403" s="173"/>
      <c r="M403" s="173"/>
      <c r="N403" s="173"/>
      <c r="O403" s="173"/>
      <c r="P403" s="173"/>
      <c r="Q403" s="173"/>
      <c r="R403" s="173"/>
    </row>
    <row r="404" spans="1:18" ht="16.5" thickTop="1" thickBot="1" x14ac:dyDescent="0.3">
      <c r="A404" s="314"/>
      <c r="B404" s="152" t="s">
        <v>0</v>
      </c>
      <c r="C404" s="152">
        <v>1440</v>
      </c>
      <c r="D404" s="152">
        <v>1618</v>
      </c>
      <c r="E404" s="152">
        <v>19</v>
      </c>
      <c r="F404" s="152"/>
      <c r="G404" s="245">
        <f t="shared" si="15"/>
        <v>19</v>
      </c>
      <c r="H404" s="292" t="s">
        <v>990</v>
      </c>
      <c r="I404" s="301"/>
      <c r="J404" s="173"/>
      <c r="K404" s="173"/>
      <c r="L404" s="173"/>
      <c r="M404" s="173"/>
      <c r="N404" s="173"/>
      <c r="O404" s="173"/>
      <c r="P404" s="173"/>
      <c r="Q404" s="173"/>
      <c r="R404" s="173"/>
    </row>
    <row r="405" spans="1:18" ht="16.5" thickTop="1" thickBot="1" x14ac:dyDescent="0.3">
      <c r="A405" s="314"/>
      <c r="B405" s="152" t="s">
        <v>1</v>
      </c>
      <c r="C405" s="152">
        <v>1440</v>
      </c>
      <c r="D405" s="152">
        <v>2321</v>
      </c>
      <c r="E405" s="152">
        <v>11</v>
      </c>
      <c r="F405" s="152"/>
      <c r="G405" s="245">
        <f t="shared" si="15"/>
        <v>11</v>
      </c>
      <c r="H405" s="292" t="s">
        <v>991</v>
      </c>
      <c r="I405" s="301"/>
      <c r="J405" s="173"/>
      <c r="K405" s="173"/>
      <c r="L405" s="173"/>
      <c r="M405" s="173"/>
      <c r="N405" s="173"/>
      <c r="O405" s="173"/>
      <c r="P405" s="173"/>
      <c r="Q405" s="173"/>
      <c r="R405" s="173"/>
    </row>
    <row r="406" spans="1:18" ht="16.5" thickTop="1" thickBot="1" x14ac:dyDescent="0.3">
      <c r="A406" s="315"/>
      <c r="B406" s="126" t="s">
        <v>2</v>
      </c>
      <c r="C406" s="126">
        <v>288</v>
      </c>
      <c r="D406" s="126">
        <v>1589</v>
      </c>
      <c r="E406" s="126">
        <v>19</v>
      </c>
      <c r="F406" s="126"/>
      <c r="G406" s="247">
        <f t="shared" si="15"/>
        <v>19</v>
      </c>
      <c r="H406" s="295" t="s">
        <v>992</v>
      </c>
      <c r="I406" s="301"/>
      <c r="J406" s="173"/>
      <c r="K406" s="173"/>
      <c r="L406" s="173"/>
      <c r="M406" s="173"/>
      <c r="N406" s="173"/>
      <c r="O406" s="173"/>
      <c r="P406" s="173"/>
      <c r="Q406" s="173"/>
      <c r="R406" s="173"/>
    </row>
    <row r="407" spans="1:18" ht="16.5" thickTop="1" thickBot="1" x14ac:dyDescent="0.3">
      <c r="A407" s="307" t="s">
        <v>107</v>
      </c>
      <c r="B407" s="151" t="s">
        <v>90</v>
      </c>
      <c r="C407" s="151">
        <v>1440</v>
      </c>
      <c r="D407" s="151">
        <v>160</v>
      </c>
      <c r="E407" s="151">
        <v>50</v>
      </c>
      <c r="F407" s="151">
        <f>1+1</f>
        <v>2</v>
      </c>
      <c r="G407" s="243">
        <f t="shared" si="15"/>
        <v>48</v>
      </c>
      <c r="H407" s="291" t="s">
        <v>993</v>
      </c>
      <c r="I407" s="301" t="s">
        <v>373</v>
      </c>
      <c r="J407" s="173"/>
      <c r="K407" s="173"/>
      <c r="L407" s="173"/>
      <c r="M407" s="173"/>
      <c r="N407" s="173"/>
      <c r="O407" s="173"/>
      <c r="P407" s="173"/>
      <c r="Q407" s="173"/>
      <c r="R407" s="173"/>
    </row>
    <row r="408" spans="1:18" ht="16.5" thickTop="1" thickBot="1" x14ac:dyDescent="0.3">
      <c r="A408" s="308"/>
      <c r="B408" s="152" t="s">
        <v>89</v>
      </c>
      <c r="C408" s="152">
        <v>1440</v>
      </c>
      <c r="D408" s="152">
        <v>160</v>
      </c>
      <c r="E408" s="152">
        <v>40</v>
      </c>
      <c r="F408" s="152">
        <f>1+1+1</f>
        <v>3</v>
      </c>
      <c r="G408" s="245">
        <f t="shared" si="15"/>
        <v>37</v>
      </c>
      <c r="H408" s="292" t="s">
        <v>994</v>
      </c>
      <c r="I408" s="301"/>
      <c r="J408" s="173"/>
      <c r="K408" s="173"/>
      <c r="L408" s="173"/>
      <c r="M408" s="173"/>
      <c r="N408" s="173"/>
      <c r="O408" s="173"/>
      <c r="P408" s="173"/>
      <c r="Q408" s="173"/>
      <c r="R408" s="173"/>
    </row>
    <row r="409" spans="1:18" ht="16.5" thickTop="1" thickBot="1" x14ac:dyDescent="0.3">
      <c r="A409" s="308"/>
      <c r="B409" s="152" t="s">
        <v>21</v>
      </c>
      <c r="C409" s="152">
        <v>1440</v>
      </c>
      <c r="D409" s="152">
        <v>160</v>
      </c>
      <c r="E409" s="152">
        <f>50+26</f>
        <v>76</v>
      </c>
      <c r="F409" s="152">
        <f>1+1+1</f>
        <v>3</v>
      </c>
      <c r="G409" s="245">
        <f t="shared" si="15"/>
        <v>73</v>
      </c>
      <c r="H409" s="292" t="s">
        <v>995</v>
      </c>
      <c r="I409" s="301"/>
      <c r="J409" s="173"/>
      <c r="K409" s="173"/>
      <c r="L409" s="173"/>
      <c r="M409" s="173"/>
      <c r="N409" s="173"/>
      <c r="O409" s="173"/>
      <c r="P409" s="173"/>
      <c r="Q409" s="173"/>
      <c r="R409" s="173"/>
    </row>
    <row r="410" spans="1:18" ht="16.5" thickTop="1" thickBot="1" x14ac:dyDescent="0.3">
      <c r="A410" s="308"/>
      <c r="B410" s="152" t="s">
        <v>22</v>
      </c>
      <c r="C410" s="152">
        <v>1440</v>
      </c>
      <c r="D410" s="152">
        <v>190</v>
      </c>
      <c r="E410" s="152">
        <v>40</v>
      </c>
      <c r="F410" s="152">
        <f>1+1+1+2+1+1+1+1</f>
        <v>9</v>
      </c>
      <c r="G410" s="245">
        <f t="shared" si="15"/>
        <v>31</v>
      </c>
      <c r="H410" s="292" t="s">
        <v>996</v>
      </c>
      <c r="I410" s="301"/>
      <c r="J410" s="173"/>
      <c r="K410" s="173"/>
      <c r="L410" s="173"/>
      <c r="M410" s="173"/>
      <c r="N410" s="173"/>
      <c r="O410" s="173"/>
      <c r="P410" s="173"/>
      <c r="Q410" s="173"/>
      <c r="R410" s="173"/>
    </row>
    <row r="411" spans="1:18" ht="16.5" thickTop="1" thickBot="1" x14ac:dyDescent="0.3">
      <c r="A411" s="308"/>
      <c r="B411" s="152" t="s">
        <v>18</v>
      </c>
      <c r="C411" s="152">
        <v>1440</v>
      </c>
      <c r="D411" s="152">
        <v>226</v>
      </c>
      <c r="E411" s="152">
        <f>35+26+15</f>
        <v>76</v>
      </c>
      <c r="F411" s="152">
        <f>1+1</f>
        <v>2</v>
      </c>
      <c r="G411" s="245">
        <f t="shared" si="15"/>
        <v>74</v>
      </c>
      <c r="H411" s="292" t="s">
        <v>997</v>
      </c>
      <c r="I411" s="301"/>
      <c r="J411" s="173"/>
      <c r="K411" s="173"/>
      <c r="L411" s="173"/>
      <c r="M411" s="173"/>
      <c r="N411" s="173"/>
      <c r="O411" s="173"/>
      <c r="P411" s="173"/>
      <c r="Q411" s="173"/>
      <c r="R411" s="173"/>
    </row>
    <row r="412" spans="1:18" ht="16.5" thickTop="1" thickBot="1" x14ac:dyDescent="0.3">
      <c r="A412" s="308"/>
      <c r="B412" s="152" t="s">
        <v>19</v>
      </c>
      <c r="C412" s="152">
        <v>1440</v>
      </c>
      <c r="D412" s="152">
        <v>292</v>
      </c>
      <c r="E412" s="152">
        <f>50+30</f>
        <v>80</v>
      </c>
      <c r="F412" s="152">
        <f>1+1</f>
        <v>2</v>
      </c>
      <c r="G412" s="245">
        <f t="shared" si="15"/>
        <v>78</v>
      </c>
      <c r="H412" s="292" t="s">
        <v>998</v>
      </c>
      <c r="I412" s="301"/>
      <c r="J412" s="173"/>
      <c r="K412" s="173"/>
      <c r="L412" s="173"/>
      <c r="M412" s="173"/>
      <c r="N412" s="173"/>
      <c r="O412" s="173"/>
      <c r="P412" s="173"/>
      <c r="Q412" s="173"/>
      <c r="R412" s="173"/>
    </row>
    <row r="413" spans="1:18" ht="16.5" thickTop="1" thickBot="1" x14ac:dyDescent="0.3">
      <c r="A413" s="308"/>
      <c r="B413" s="152" t="s">
        <v>0</v>
      </c>
      <c r="C413" s="152">
        <v>1440</v>
      </c>
      <c r="D413" s="152">
        <v>362</v>
      </c>
      <c r="E413" s="152">
        <f>50+34</f>
        <v>84</v>
      </c>
      <c r="F413" s="152">
        <f>1+2+2+1+1+1</f>
        <v>8</v>
      </c>
      <c r="G413" s="245">
        <f t="shared" si="15"/>
        <v>76</v>
      </c>
      <c r="H413" s="292" t="s">
        <v>999</v>
      </c>
      <c r="I413" s="301"/>
      <c r="J413" s="173"/>
      <c r="K413" s="173"/>
      <c r="L413" s="173"/>
      <c r="M413" s="173"/>
      <c r="N413" s="173"/>
      <c r="O413" s="173"/>
      <c r="P413" s="173"/>
      <c r="Q413" s="173"/>
      <c r="R413" s="173"/>
    </row>
    <row r="414" spans="1:18" ht="16.5" thickTop="1" thickBot="1" x14ac:dyDescent="0.3">
      <c r="A414" s="308"/>
      <c r="B414" s="152" t="s">
        <v>1</v>
      </c>
      <c r="C414" s="152">
        <v>1440</v>
      </c>
      <c r="D414" s="152">
        <v>555</v>
      </c>
      <c r="E414" s="152">
        <f>30+96</f>
        <v>126</v>
      </c>
      <c r="F414" s="152"/>
      <c r="G414" s="245">
        <f t="shared" si="15"/>
        <v>126</v>
      </c>
      <c r="H414" s="292" t="s">
        <v>1000</v>
      </c>
      <c r="I414" s="301"/>
      <c r="J414" s="173"/>
      <c r="K414" s="173"/>
      <c r="L414" s="173"/>
      <c r="M414" s="173"/>
      <c r="N414" s="173"/>
      <c r="O414" s="173"/>
      <c r="P414" s="173"/>
      <c r="Q414" s="173"/>
      <c r="R414" s="173"/>
    </row>
    <row r="415" spans="1:18" ht="16.5" thickTop="1" thickBot="1" x14ac:dyDescent="0.3">
      <c r="A415" s="308"/>
      <c r="B415" s="152" t="s">
        <v>2</v>
      </c>
      <c r="C415" s="152">
        <v>288</v>
      </c>
      <c r="D415" s="152">
        <v>332</v>
      </c>
      <c r="E415" s="152">
        <v>37</v>
      </c>
      <c r="F415" s="152">
        <v>3</v>
      </c>
      <c r="G415" s="245">
        <f t="shared" si="15"/>
        <v>34</v>
      </c>
      <c r="H415" s="292" t="s">
        <v>1001</v>
      </c>
      <c r="I415" s="301"/>
      <c r="J415" s="173"/>
      <c r="K415" s="173"/>
      <c r="L415" s="173"/>
      <c r="M415" s="173"/>
      <c r="N415" s="173"/>
      <c r="O415" s="173"/>
      <c r="P415" s="173"/>
      <c r="Q415" s="173"/>
      <c r="R415" s="173"/>
    </row>
    <row r="416" spans="1:18" ht="16.5" thickTop="1" thickBot="1" x14ac:dyDescent="0.3">
      <c r="A416" s="308"/>
      <c r="B416" s="154" t="s">
        <v>5</v>
      </c>
      <c r="C416" s="154">
        <v>144</v>
      </c>
      <c r="D416" s="154">
        <v>553</v>
      </c>
      <c r="E416" s="154">
        <v>99</v>
      </c>
      <c r="F416" s="154"/>
      <c r="G416" s="245">
        <f t="shared" si="15"/>
        <v>99</v>
      </c>
      <c r="H416" s="292" t="s">
        <v>1002</v>
      </c>
      <c r="I416" s="301"/>
      <c r="J416" s="173"/>
      <c r="K416" s="173"/>
      <c r="L416" s="173"/>
      <c r="M416" s="173"/>
      <c r="N416" s="173"/>
      <c r="O416" s="173"/>
      <c r="P416" s="173"/>
      <c r="Q416" s="173"/>
      <c r="R416" s="173"/>
    </row>
    <row r="417" spans="1:18" ht="16.5" thickTop="1" thickBot="1" x14ac:dyDescent="0.3">
      <c r="A417" s="309"/>
      <c r="B417" s="126" t="s">
        <v>20</v>
      </c>
      <c r="C417" s="126">
        <v>144</v>
      </c>
      <c r="D417" s="126">
        <v>593</v>
      </c>
      <c r="E417" s="126">
        <v>19</v>
      </c>
      <c r="F417" s="126">
        <v>1</v>
      </c>
      <c r="G417" s="245">
        <f t="shared" si="15"/>
        <v>18</v>
      </c>
      <c r="H417" s="295" t="s">
        <v>1003</v>
      </c>
      <c r="I417" s="301"/>
      <c r="J417" s="173"/>
      <c r="K417" s="173"/>
      <c r="L417" s="173"/>
      <c r="M417" s="173"/>
      <c r="N417" s="173"/>
      <c r="O417" s="173"/>
      <c r="P417" s="173"/>
      <c r="Q417" s="173"/>
      <c r="R417" s="173"/>
    </row>
    <row r="418" spans="1:18" ht="16.5" thickTop="1" thickBot="1" x14ac:dyDescent="0.3">
      <c r="A418" s="313" t="s">
        <v>177</v>
      </c>
      <c r="B418" s="151" t="s">
        <v>21</v>
      </c>
      <c r="C418" s="151">
        <v>1440</v>
      </c>
      <c r="D418" s="151">
        <v>198</v>
      </c>
      <c r="E418" s="151">
        <v>99</v>
      </c>
      <c r="F418" s="151">
        <v>3</v>
      </c>
      <c r="G418" s="245">
        <f t="shared" si="15"/>
        <v>96</v>
      </c>
      <c r="H418" s="291" t="s">
        <v>1004</v>
      </c>
      <c r="I418" s="301" t="s">
        <v>374</v>
      </c>
      <c r="J418" s="173"/>
      <c r="K418" s="173"/>
      <c r="L418" s="173"/>
      <c r="M418" s="173"/>
      <c r="N418" s="173"/>
      <c r="O418" s="173"/>
      <c r="P418" s="173"/>
      <c r="Q418" s="173"/>
      <c r="R418" s="173"/>
    </row>
    <row r="419" spans="1:18" ht="16.5" thickTop="1" thickBot="1" x14ac:dyDescent="0.3">
      <c r="A419" s="314"/>
      <c r="B419" s="152" t="s">
        <v>22</v>
      </c>
      <c r="C419" s="152">
        <v>1440</v>
      </c>
      <c r="D419" s="152">
        <v>236</v>
      </c>
      <c r="E419" s="152">
        <v>80</v>
      </c>
      <c r="F419" s="152">
        <f>1+1+1+3</f>
        <v>6</v>
      </c>
      <c r="G419" s="245">
        <f t="shared" si="15"/>
        <v>74</v>
      </c>
      <c r="H419" s="292" t="s">
        <v>1005</v>
      </c>
      <c r="I419" s="301"/>
      <c r="J419" s="173"/>
      <c r="K419" s="173"/>
      <c r="L419" s="173"/>
      <c r="M419" s="173"/>
      <c r="N419" s="173"/>
      <c r="O419" s="173"/>
      <c r="P419" s="173"/>
      <c r="Q419" s="173"/>
      <c r="R419" s="173"/>
    </row>
    <row r="420" spans="1:18" ht="16.5" thickTop="1" thickBot="1" x14ac:dyDescent="0.3">
      <c r="A420" s="314"/>
      <c r="B420" s="152" t="s">
        <v>18</v>
      </c>
      <c r="C420" s="152">
        <v>1440</v>
      </c>
      <c r="D420" s="152">
        <v>270</v>
      </c>
      <c r="E420" s="152">
        <v>99</v>
      </c>
      <c r="F420" s="152">
        <f>1+1+3</f>
        <v>5</v>
      </c>
      <c r="G420" s="245">
        <f t="shared" si="15"/>
        <v>94</v>
      </c>
      <c r="H420" s="292" t="s">
        <v>1006</v>
      </c>
      <c r="I420" s="301"/>
      <c r="J420" s="173"/>
      <c r="K420" s="173"/>
      <c r="L420" s="173"/>
      <c r="M420" s="173"/>
      <c r="N420" s="173"/>
      <c r="O420" s="173"/>
      <c r="P420" s="173"/>
      <c r="Q420" s="173"/>
      <c r="R420" s="173"/>
    </row>
    <row r="421" spans="1:18" ht="16.5" thickTop="1" thickBot="1" x14ac:dyDescent="0.3">
      <c r="A421" s="314"/>
      <c r="B421" s="152" t="s">
        <v>19</v>
      </c>
      <c r="C421" s="152">
        <v>1440</v>
      </c>
      <c r="D421" s="152">
        <v>336</v>
      </c>
      <c r="E421" s="152">
        <v>30</v>
      </c>
      <c r="F421" s="152">
        <v>3</v>
      </c>
      <c r="G421" s="245">
        <f t="shared" si="15"/>
        <v>27</v>
      </c>
      <c r="H421" s="292" t="s">
        <v>1007</v>
      </c>
      <c r="I421" s="301"/>
      <c r="J421" s="173"/>
      <c r="K421" s="173"/>
      <c r="L421" s="173"/>
      <c r="M421" s="173"/>
      <c r="N421" s="173"/>
      <c r="O421" s="173"/>
      <c r="P421" s="173"/>
      <c r="Q421" s="173"/>
      <c r="R421" s="173"/>
    </row>
    <row r="422" spans="1:18" ht="16.5" thickTop="1" thickBot="1" x14ac:dyDescent="0.3">
      <c r="A422" s="314"/>
      <c r="B422" s="152" t="s">
        <v>0</v>
      </c>
      <c r="C422" s="152">
        <v>1440</v>
      </c>
      <c r="D422" s="152">
        <v>417</v>
      </c>
      <c r="E422" s="152">
        <v>88</v>
      </c>
      <c r="F422" s="152">
        <v>1</v>
      </c>
      <c r="G422" s="245">
        <f t="shared" si="15"/>
        <v>87</v>
      </c>
      <c r="H422" s="292" t="s">
        <v>1008</v>
      </c>
      <c r="I422" s="301"/>
      <c r="J422" s="173"/>
      <c r="K422" s="173"/>
      <c r="L422" s="173"/>
      <c r="M422" s="173"/>
      <c r="N422" s="173"/>
      <c r="O422" s="173"/>
      <c r="P422" s="173"/>
      <c r="Q422" s="173"/>
      <c r="R422" s="173"/>
    </row>
    <row r="423" spans="1:18" ht="16.5" thickTop="1" thickBot="1" x14ac:dyDescent="0.3">
      <c r="A423" s="314"/>
      <c r="B423" s="152" t="s">
        <v>1</v>
      </c>
      <c r="C423" s="152">
        <v>1440</v>
      </c>
      <c r="D423" s="152">
        <v>582</v>
      </c>
      <c r="E423" s="152">
        <v>144</v>
      </c>
      <c r="F423" s="152"/>
      <c r="G423" s="245">
        <f t="shared" si="15"/>
        <v>144</v>
      </c>
      <c r="H423" s="292" t="s">
        <v>1009</v>
      </c>
      <c r="I423" s="301"/>
      <c r="J423" s="173"/>
      <c r="K423" s="173"/>
      <c r="L423" s="173"/>
      <c r="M423" s="173"/>
      <c r="N423" s="173"/>
      <c r="O423" s="173"/>
      <c r="P423" s="173"/>
      <c r="Q423" s="173"/>
      <c r="R423" s="173"/>
    </row>
    <row r="424" spans="1:18" ht="16.5" thickTop="1" thickBot="1" x14ac:dyDescent="0.3">
      <c r="A424" s="314"/>
      <c r="B424" s="152" t="s">
        <v>2</v>
      </c>
      <c r="C424" s="152">
        <v>288</v>
      </c>
      <c r="D424" s="152">
        <v>388</v>
      </c>
      <c r="E424" s="152">
        <v>100</v>
      </c>
      <c r="F424" s="152"/>
      <c r="G424" s="245">
        <f t="shared" si="15"/>
        <v>100</v>
      </c>
      <c r="H424" s="292" t="s">
        <v>1010</v>
      </c>
      <c r="I424" s="301"/>
      <c r="J424" s="173"/>
      <c r="K424" s="173"/>
      <c r="L424" s="173"/>
      <c r="M424" s="173"/>
      <c r="N424" s="173"/>
      <c r="O424" s="173"/>
      <c r="P424" s="173"/>
      <c r="Q424" s="173"/>
      <c r="R424" s="173"/>
    </row>
    <row r="425" spans="1:18" ht="16.5" thickTop="1" thickBot="1" x14ac:dyDescent="0.3">
      <c r="A425" s="314"/>
      <c r="B425" s="152" t="s">
        <v>5</v>
      </c>
      <c r="C425" s="152">
        <v>144</v>
      </c>
      <c r="D425" s="152">
        <v>553</v>
      </c>
      <c r="E425" s="152">
        <v>99</v>
      </c>
      <c r="F425" s="152">
        <v>1</v>
      </c>
      <c r="G425" s="245">
        <f t="shared" si="15"/>
        <v>98</v>
      </c>
      <c r="H425" s="292" t="s">
        <v>1011</v>
      </c>
      <c r="I425" s="301"/>
      <c r="J425" s="173"/>
      <c r="K425" s="173"/>
      <c r="L425" s="173"/>
      <c r="M425" s="173"/>
      <c r="N425" s="173"/>
      <c r="O425" s="173"/>
      <c r="P425" s="173"/>
      <c r="Q425" s="173"/>
      <c r="R425" s="173"/>
    </row>
    <row r="426" spans="1:18" ht="16.5" thickTop="1" thickBot="1" x14ac:dyDescent="0.3">
      <c r="A426" s="315"/>
      <c r="B426" s="126" t="s">
        <v>20</v>
      </c>
      <c r="C426" s="126">
        <v>144</v>
      </c>
      <c r="D426" s="126">
        <v>553</v>
      </c>
      <c r="E426" s="126">
        <v>21</v>
      </c>
      <c r="F426" s="126"/>
      <c r="G426" s="247">
        <f t="shared" si="15"/>
        <v>21</v>
      </c>
      <c r="H426" s="295" t="s">
        <v>1012</v>
      </c>
      <c r="I426" s="301"/>
      <c r="J426" s="173"/>
      <c r="K426" s="173"/>
      <c r="L426" s="173"/>
      <c r="M426" s="173"/>
      <c r="N426" s="173"/>
      <c r="O426" s="173"/>
      <c r="P426" s="173"/>
      <c r="Q426" s="173"/>
      <c r="R426" s="173"/>
    </row>
    <row r="427" spans="1:18" ht="16.5" thickTop="1" thickBot="1" x14ac:dyDescent="0.3">
      <c r="A427" s="313" t="s">
        <v>183</v>
      </c>
      <c r="B427" s="151" t="s">
        <v>21</v>
      </c>
      <c r="C427" s="151">
        <v>1440</v>
      </c>
      <c r="D427" s="151">
        <v>226</v>
      </c>
      <c r="E427" s="151">
        <v>49</v>
      </c>
      <c r="F427" s="151">
        <f>1+1</f>
        <v>2</v>
      </c>
      <c r="G427" s="243">
        <f t="shared" si="15"/>
        <v>47</v>
      </c>
      <c r="H427" s="291" t="s">
        <v>1013</v>
      </c>
      <c r="I427" s="301" t="s">
        <v>375</v>
      </c>
      <c r="J427" s="173"/>
      <c r="K427" s="173"/>
      <c r="L427" s="173"/>
      <c r="M427" s="173"/>
      <c r="N427" s="173"/>
      <c r="O427" s="173"/>
      <c r="P427" s="173"/>
      <c r="Q427" s="173"/>
      <c r="R427" s="173"/>
    </row>
    <row r="428" spans="1:18" ht="16.5" thickTop="1" thickBot="1" x14ac:dyDescent="0.3">
      <c r="A428" s="314"/>
      <c r="B428" s="152" t="s">
        <v>18</v>
      </c>
      <c r="C428" s="152">
        <v>1440</v>
      </c>
      <c r="D428" s="152">
        <v>313</v>
      </c>
      <c r="E428" s="152">
        <v>34</v>
      </c>
      <c r="F428" s="152">
        <f>1+1</f>
        <v>2</v>
      </c>
      <c r="G428" s="245">
        <f t="shared" si="15"/>
        <v>32</v>
      </c>
      <c r="H428" s="292" t="s">
        <v>1014</v>
      </c>
      <c r="I428" s="301"/>
      <c r="J428" s="173"/>
      <c r="K428" s="173"/>
      <c r="L428" s="173"/>
      <c r="M428" s="173"/>
      <c r="N428" s="173"/>
      <c r="O428" s="173"/>
      <c r="P428" s="173"/>
      <c r="Q428" s="173"/>
      <c r="R428" s="173"/>
    </row>
    <row r="429" spans="1:18" ht="16.5" thickTop="1" thickBot="1" x14ac:dyDescent="0.3">
      <c r="A429" s="314"/>
      <c r="B429" s="152" t="s">
        <v>19</v>
      </c>
      <c r="C429" s="152">
        <v>1440</v>
      </c>
      <c r="D429" s="152">
        <v>358</v>
      </c>
      <c r="E429" s="152">
        <v>29</v>
      </c>
      <c r="F429" s="152"/>
      <c r="G429" s="245">
        <f t="shared" si="15"/>
        <v>29</v>
      </c>
      <c r="H429" s="292" t="s">
        <v>1015</v>
      </c>
      <c r="I429" s="301"/>
      <c r="J429" s="173"/>
      <c r="K429" s="173"/>
      <c r="L429" s="173"/>
      <c r="M429" s="173"/>
      <c r="N429" s="173"/>
      <c r="O429" s="173"/>
      <c r="P429" s="173"/>
      <c r="Q429" s="173"/>
      <c r="R429" s="173"/>
    </row>
    <row r="430" spans="1:18" ht="16.5" thickTop="1" thickBot="1" x14ac:dyDescent="0.3">
      <c r="A430" s="314"/>
      <c r="B430" s="152" t="s">
        <v>0</v>
      </c>
      <c r="C430" s="152">
        <v>1440</v>
      </c>
      <c r="D430" s="152">
        <v>418</v>
      </c>
      <c r="E430" s="152">
        <v>50</v>
      </c>
      <c r="F430" s="152">
        <f>1+1</f>
        <v>2</v>
      </c>
      <c r="G430" s="245">
        <f t="shared" si="15"/>
        <v>48</v>
      </c>
      <c r="H430" s="292" t="s">
        <v>1016</v>
      </c>
      <c r="I430" s="301"/>
      <c r="J430" s="173"/>
      <c r="K430" s="173"/>
      <c r="L430" s="173"/>
      <c r="M430" s="173"/>
      <c r="N430" s="173"/>
      <c r="O430" s="173"/>
      <c r="P430" s="173"/>
      <c r="Q430" s="173"/>
      <c r="R430" s="173"/>
    </row>
    <row r="431" spans="1:18" ht="16.5" thickTop="1" thickBot="1" x14ac:dyDescent="0.3">
      <c r="A431" s="314"/>
      <c r="B431" s="152" t="s">
        <v>1</v>
      </c>
      <c r="C431" s="152">
        <v>1440</v>
      </c>
      <c r="D431" s="152">
        <v>709</v>
      </c>
      <c r="E431" s="152">
        <v>108</v>
      </c>
      <c r="F431" s="152">
        <v>1</v>
      </c>
      <c r="G431" s="245">
        <f t="shared" ref="G431:G494" si="16">E431-F431</f>
        <v>107</v>
      </c>
      <c r="H431" s="292" t="s">
        <v>1017</v>
      </c>
      <c r="I431" s="301"/>
      <c r="J431" s="173"/>
      <c r="K431" s="173"/>
      <c r="L431" s="173"/>
      <c r="M431" s="173"/>
      <c r="N431" s="173"/>
      <c r="O431" s="173"/>
      <c r="P431" s="173"/>
      <c r="Q431" s="173"/>
      <c r="R431" s="173"/>
    </row>
    <row r="432" spans="1:18" ht="16.5" thickTop="1" thickBot="1" x14ac:dyDescent="0.3">
      <c r="A432" s="315"/>
      <c r="B432" s="126" t="s">
        <v>2</v>
      </c>
      <c r="C432" s="126">
        <v>288</v>
      </c>
      <c r="D432" s="126">
        <v>388</v>
      </c>
      <c r="E432" s="126">
        <v>49</v>
      </c>
      <c r="F432" s="126"/>
      <c r="G432" s="246">
        <f t="shared" si="16"/>
        <v>49</v>
      </c>
      <c r="H432" s="295" t="s">
        <v>1018</v>
      </c>
      <c r="I432" s="301"/>
      <c r="J432" s="173"/>
      <c r="K432" s="173"/>
      <c r="L432" s="173"/>
      <c r="M432" s="173"/>
      <c r="N432" s="173"/>
      <c r="O432" s="173"/>
      <c r="P432" s="173"/>
      <c r="Q432" s="173"/>
      <c r="R432" s="173"/>
    </row>
    <row r="433" spans="1:18" ht="16.5" thickTop="1" thickBot="1" x14ac:dyDescent="0.3">
      <c r="A433" s="313" t="s">
        <v>178</v>
      </c>
      <c r="B433" s="151" t="s">
        <v>21</v>
      </c>
      <c r="C433" s="151">
        <v>1440</v>
      </c>
      <c r="D433" s="151">
        <v>215</v>
      </c>
      <c r="E433" s="151">
        <v>49</v>
      </c>
      <c r="F433" s="151">
        <v>1</v>
      </c>
      <c r="G433" s="243">
        <f t="shared" si="16"/>
        <v>48</v>
      </c>
      <c r="H433" s="291" t="s">
        <v>1019</v>
      </c>
      <c r="I433" s="301" t="s">
        <v>376</v>
      </c>
      <c r="J433" s="173"/>
      <c r="K433" s="173"/>
      <c r="L433" s="173"/>
      <c r="M433" s="173"/>
      <c r="N433" s="173"/>
      <c r="O433" s="173"/>
      <c r="P433" s="173"/>
      <c r="Q433" s="173"/>
      <c r="R433" s="173"/>
    </row>
    <row r="434" spans="1:18" ht="16.5" thickTop="1" thickBot="1" x14ac:dyDescent="0.3">
      <c r="A434" s="314"/>
      <c r="B434" s="152" t="s">
        <v>22</v>
      </c>
      <c r="C434" s="152">
        <v>1440</v>
      </c>
      <c r="D434" s="152">
        <v>253</v>
      </c>
      <c r="E434" s="152">
        <v>39</v>
      </c>
      <c r="F434" s="152">
        <v>1</v>
      </c>
      <c r="G434" s="245">
        <f t="shared" si="16"/>
        <v>38</v>
      </c>
      <c r="H434" s="292" t="s">
        <v>1020</v>
      </c>
      <c r="I434" s="301"/>
      <c r="J434" s="173"/>
      <c r="K434" s="173"/>
      <c r="L434" s="173"/>
      <c r="M434" s="173"/>
      <c r="N434" s="173"/>
      <c r="O434" s="173"/>
      <c r="P434" s="173"/>
      <c r="Q434" s="173"/>
      <c r="R434" s="173"/>
    </row>
    <row r="435" spans="1:18" ht="16.5" thickTop="1" thickBot="1" x14ac:dyDescent="0.3">
      <c r="A435" s="314"/>
      <c r="B435" s="152" t="s">
        <v>18</v>
      </c>
      <c r="C435" s="152">
        <v>1440</v>
      </c>
      <c r="D435" s="152">
        <v>281</v>
      </c>
      <c r="E435" s="152">
        <v>34</v>
      </c>
      <c r="F435" s="152"/>
      <c r="G435" s="245">
        <f t="shared" si="16"/>
        <v>34</v>
      </c>
      <c r="H435" s="292" t="s">
        <v>1021</v>
      </c>
      <c r="I435" s="301"/>
      <c r="J435" s="173"/>
      <c r="K435" s="173"/>
      <c r="L435" s="173"/>
      <c r="M435" s="173"/>
      <c r="N435" s="173"/>
      <c r="O435" s="173"/>
      <c r="P435" s="173"/>
      <c r="Q435" s="173"/>
      <c r="R435" s="173"/>
    </row>
    <row r="436" spans="1:18" ht="16.5" thickTop="1" thickBot="1" x14ac:dyDescent="0.3">
      <c r="A436" s="314"/>
      <c r="B436" s="152" t="s">
        <v>19</v>
      </c>
      <c r="C436" s="152">
        <v>1440</v>
      </c>
      <c r="D436" s="152">
        <v>347</v>
      </c>
      <c r="E436" s="152">
        <v>29</v>
      </c>
      <c r="F436" s="152"/>
      <c r="G436" s="245">
        <f t="shared" si="16"/>
        <v>29</v>
      </c>
      <c r="H436" s="292" t="s">
        <v>1022</v>
      </c>
      <c r="I436" s="301"/>
      <c r="J436" s="173"/>
      <c r="K436" s="173"/>
      <c r="L436" s="173"/>
      <c r="M436" s="173"/>
      <c r="N436" s="173"/>
      <c r="O436" s="173"/>
      <c r="P436" s="173"/>
      <c r="Q436" s="173"/>
      <c r="R436" s="173"/>
    </row>
    <row r="437" spans="1:18" ht="16.5" thickTop="1" thickBot="1" x14ac:dyDescent="0.3">
      <c r="A437" s="314"/>
      <c r="B437" s="152" t="s">
        <v>0</v>
      </c>
      <c r="C437" s="152">
        <v>1440</v>
      </c>
      <c r="D437" s="152">
        <v>428</v>
      </c>
      <c r="E437" s="152">
        <v>50</v>
      </c>
      <c r="F437" s="152"/>
      <c r="G437" s="245">
        <f t="shared" si="16"/>
        <v>50</v>
      </c>
      <c r="H437" s="292" t="s">
        <v>1023</v>
      </c>
      <c r="I437" s="301"/>
      <c r="J437" s="173"/>
      <c r="K437" s="173"/>
      <c r="L437" s="173"/>
      <c r="M437" s="173"/>
      <c r="N437" s="173"/>
      <c r="O437" s="173"/>
      <c r="P437" s="173"/>
      <c r="Q437" s="173"/>
      <c r="R437" s="173"/>
    </row>
    <row r="438" spans="1:18" ht="16.5" thickTop="1" thickBot="1" x14ac:dyDescent="0.3">
      <c r="A438" s="315"/>
      <c r="B438" s="126" t="s">
        <v>1</v>
      </c>
      <c r="C438" s="126">
        <v>1440</v>
      </c>
      <c r="D438" s="126">
        <v>593</v>
      </c>
      <c r="E438" s="126">
        <v>96</v>
      </c>
      <c r="F438" s="126">
        <v>1</v>
      </c>
      <c r="G438" s="246">
        <f t="shared" si="16"/>
        <v>95</v>
      </c>
      <c r="H438" s="295" t="s">
        <v>1024</v>
      </c>
      <c r="I438" s="301"/>
      <c r="J438" s="173"/>
      <c r="K438" s="173"/>
      <c r="L438" s="173"/>
      <c r="M438" s="173"/>
      <c r="N438" s="173"/>
      <c r="O438" s="173"/>
      <c r="P438" s="173"/>
      <c r="Q438" s="173"/>
      <c r="R438" s="173"/>
    </row>
    <row r="439" spans="1:18" ht="16.5" thickTop="1" thickBot="1" x14ac:dyDescent="0.3">
      <c r="A439" s="114" t="s">
        <v>143</v>
      </c>
      <c r="B439" s="152" t="s">
        <v>89</v>
      </c>
      <c r="C439" s="152">
        <v>1440</v>
      </c>
      <c r="D439" s="153">
        <v>226</v>
      </c>
      <c r="E439" s="152">
        <v>40</v>
      </c>
      <c r="F439" s="149">
        <v>1</v>
      </c>
      <c r="G439" s="242">
        <f>E439-F439</f>
        <v>39</v>
      </c>
      <c r="H439" s="296" t="s">
        <v>1025</v>
      </c>
      <c r="I439" s="250" t="s">
        <v>377</v>
      </c>
      <c r="J439" s="173"/>
      <c r="K439" s="173"/>
      <c r="L439" s="173"/>
      <c r="M439" s="173"/>
      <c r="N439" s="173"/>
      <c r="O439" s="173"/>
      <c r="P439" s="173"/>
      <c r="Q439" s="173"/>
      <c r="R439" s="173"/>
    </row>
    <row r="440" spans="1:18" ht="16.5" thickTop="1" thickBot="1" x14ac:dyDescent="0.3">
      <c r="A440" s="313" t="s">
        <v>378</v>
      </c>
      <c r="B440" s="151" t="s">
        <v>1</v>
      </c>
      <c r="C440" s="151">
        <v>1440</v>
      </c>
      <c r="D440" s="151">
        <v>748</v>
      </c>
      <c r="E440" s="151">
        <v>1</v>
      </c>
      <c r="F440" s="151">
        <v>1</v>
      </c>
      <c r="G440" s="243">
        <f t="shared" si="16"/>
        <v>0</v>
      </c>
      <c r="H440" s="291" t="s">
        <v>1026</v>
      </c>
      <c r="I440" s="301" t="s">
        <v>379</v>
      </c>
      <c r="J440" s="173"/>
      <c r="K440" s="173"/>
      <c r="L440" s="173"/>
      <c r="M440" s="173"/>
      <c r="N440" s="173"/>
      <c r="O440" s="173"/>
      <c r="P440" s="173"/>
      <c r="Q440" s="173"/>
      <c r="R440" s="173"/>
    </row>
    <row r="441" spans="1:18" ht="16.5" thickTop="1" thickBot="1" x14ac:dyDescent="0.3">
      <c r="A441" s="315"/>
      <c r="B441" s="126" t="s">
        <v>2</v>
      </c>
      <c r="C441" s="126">
        <v>288</v>
      </c>
      <c r="D441" s="126">
        <v>453</v>
      </c>
      <c r="E441" s="126">
        <v>1</v>
      </c>
      <c r="F441" s="126"/>
      <c r="G441" s="246">
        <f t="shared" si="16"/>
        <v>1</v>
      </c>
      <c r="H441" s="295" t="s">
        <v>1027</v>
      </c>
      <c r="I441" s="301"/>
      <c r="J441" s="173"/>
      <c r="K441" s="173"/>
      <c r="L441" s="173"/>
      <c r="M441" s="173"/>
      <c r="N441" s="173"/>
      <c r="O441" s="173"/>
      <c r="P441" s="173"/>
      <c r="Q441" s="173"/>
      <c r="R441" s="173"/>
    </row>
    <row r="442" spans="1:18" ht="16.5" thickTop="1" thickBot="1" x14ac:dyDescent="0.3">
      <c r="A442" s="313" t="s">
        <v>400</v>
      </c>
      <c r="B442" s="151" t="s">
        <v>21</v>
      </c>
      <c r="C442" s="151">
        <v>1440</v>
      </c>
      <c r="D442" s="151">
        <v>253</v>
      </c>
      <c r="E442" s="151">
        <v>50</v>
      </c>
      <c r="F442" s="151">
        <f>1+1+1+1+2</f>
        <v>6</v>
      </c>
      <c r="G442" s="243">
        <f t="shared" si="16"/>
        <v>44</v>
      </c>
      <c r="H442" s="291" t="s">
        <v>1028</v>
      </c>
      <c r="I442" s="301" t="s">
        <v>380</v>
      </c>
      <c r="J442" s="173"/>
      <c r="K442" s="173"/>
      <c r="L442" s="173"/>
      <c r="M442" s="173"/>
      <c r="N442" s="173"/>
      <c r="O442" s="173"/>
      <c r="P442" s="173"/>
      <c r="Q442" s="173"/>
      <c r="R442" s="173"/>
    </row>
    <row r="443" spans="1:18" ht="16.5" thickTop="1" thickBot="1" x14ac:dyDescent="0.3">
      <c r="A443" s="357"/>
      <c r="B443" s="153" t="s">
        <v>22</v>
      </c>
      <c r="C443" s="153">
        <v>1440</v>
      </c>
      <c r="D443" s="153">
        <v>322</v>
      </c>
      <c r="E443" s="153">
        <v>40</v>
      </c>
      <c r="F443" s="153">
        <f>1+1+1+1</f>
        <v>4</v>
      </c>
      <c r="G443" s="244">
        <f t="shared" si="16"/>
        <v>36</v>
      </c>
      <c r="H443" s="292" t="s">
        <v>1029</v>
      </c>
      <c r="I443" s="301"/>
      <c r="J443" s="173"/>
      <c r="K443" s="173"/>
      <c r="L443" s="173"/>
      <c r="M443" s="173"/>
      <c r="N443" s="173"/>
      <c r="O443" s="173"/>
      <c r="P443" s="173"/>
      <c r="Q443" s="173"/>
      <c r="R443" s="173"/>
    </row>
    <row r="444" spans="1:18" ht="16.5" thickTop="1" thickBot="1" x14ac:dyDescent="0.3">
      <c r="A444" s="314"/>
      <c r="B444" s="152" t="s">
        <v>18</v>
      </c>
      <c r="C444" s="152">
        <v>1440</v>
      </c>
      <c r="D444" s="152">
        <v>336</v>
      </c>
      <c r="E444" s="152">
        <v>35</v>
      </c>
      <c r="F444" s="152">
        <f>1+1+1+2+1</f>
        <v>6</v>
      </c>
      <c r="G444" s="245">
        <f t="shared" si="16"/>
        <v>29</v>
      </c>
      <c r="H444" s="292" t="s">
        <v>1030</v>
      </c>
      <c r="I444" s="301"/>
      <c r="J444" s="173"/>
      <c r="K444" s="173"/>
      <c r="L444" s="173"/>
      <c r="M444" s="173"/>
      <c r="N444" s="173"/>
      <c r="O444" s="173"/>
      <c r="P444" s="173"/>
      <c r="Q444" s="173"/>
      <c r="R444" s="173"/>
    </row>
    <row r="445" spans="1:18" ht="16.5" thickTop="1" thickBot="1" x14ac:dyDescent="0.3">
      <c r="A445" s="314"/>
      <c r="B445" s="152" t="s">
        <v>19</v>
      </c>
      <c r="C445" s="152">
        <v>1440</v>
      </c>
      <c r="D445" s="152">
        <v>380</v>
      </c>
      <c r="E445" s="152">
        <v>31</v>
      </c>
      <c r="F445" s="152">
        <f>1+1+1+1+1</f>
        <v>5</v>
      </c>
      <c r="G445" s="245">
        <f t="shared" si="16"/>
        <v>26</v>
      </c>
      <c r="H445" s="292" t="s">
        <v>1031</v>
      </c>
      <c r="I445" s="301"/>
      <c r="J445" s="173"/>
      <c r="K445" s="173"/>
      <c r="L445" s="173"/>
      <c r="M445" s="173"/>
      <c r="N445" s="173"/>
      <c r="O445" s="173"/>
      <c r="P445" s="173"/>
      <c r="Q445" s="173"/>
      <c r="R445" s="173"/>
    </row>
    <row r="446" spans="1:18" ht="16.5" thickTop="1" thickBot="1" x14ac:dyDescent="0.3">
      <c r="A446" s="314"/>
      <c r="B446" s="152" t="s">
        <v>0</v>
      </c>
      <c r="C446" s="152">
        <v>1440</v>
      </c>
      <c r="D446" s="152">
        <v>461</v>
      </c>
      <c r="E446" s="152">
        <v>50</v>
      </c>
      <c r="F446" s="152">
        <f>1+1+1+4+1+1</f>
        <v>9</v>
      </c>
      <c r="G446" s="245">
        <f t="shared" si="16"/>
        <v>41</v>
      </c>
      <c r="H446" s="292" t="s">
        <v>1032</v>
      </c>
      <c r="I446" s="301"/>
      <c r="J446" s="173"/>
      <c r="K446" s="173"/>
      <c r="L446" s="173"/>
      <c r="M446" s="173"/>
      <c r="N446" s="173"/>
      <c r="O446" s="173"/>
      <c r="P446" s="173"/>
      <c r="Q446" s="173"/>
      <c r="R446" s="173"/>
    </row>
    <row r="447" spans="1:18" ht="16.5" thickTop="1" thickBot="1" x14ac:dyDescent="0.3">
      <c r="A447" s="314"/>
      <c r="B447" s="152" t="s">
        <v>1</v>
      </c>
      <c r="C447" s="152">
        <v>1440</v>
      </c>
      <c r="D447" s="152">
        <v>726</v>
      </c>
      <c r="E447" s="152">
        <v>97</v>
      </c>
      <c r="F447" s="152">
        <f>1+1+1+1</f>
        <v>4</v>
      </c>
      <c r="G447" s="245">
        <f t="shared" si="16"/>
        <v>93</v>
      </c>
      <c r="H447" s="292" t="s">
        <v>1033</v>
      </c>
      <c r="I447" s="301"/>
      <c r="J447" s="173"/>
      <c r="K447" s="173"/>
      <c r="L447" s="173"/>
      <c r="M447" s="173"/>
      <c r="N447" s="173"/>
      <c r="O447" s="173"/>
      <c r="P447" s="173"/>
      <c r="Q447" s="173"/>
      <c r="R447" s="173"/>
    </row>
    <row r="448" spans="1:18" ht="16.5" thickTop="1" thickBot="1" x14ac:dyDescent="0.3">
      <c r="A448" s="356"/>
      <c r="B448" s="154" t="s">
        <v>2</v>
      </c>
      <c r="C448" s="154">
        <v>288</v>
      </c>
      <c r="D448" s="154">
        <v>433</v>
      </c>
      <c r="E448" s="154">
        <v>26</v>
      </c>
      <c r="F448" s="154">
        <f>1+1+1+3+1</f>
        <v>7</v>
      </c>
      <c r="G448" s="247">
        <f t="shared" si="16"/>
        <v>19</v>
      </c>
      <c r="H448" s="295" t="s">
        <v>1034</v>
      </c>
      <c r="I448" s="301"/>
      <c r="J448" s="173"/>
      <c r="K448" s="173"/>
      <c r="L448" s="173"/>
      <c r="M448" s="173"/>
      <c r="N448" s="173"/>
      <c r="O448" s="173"/>
      <c r="P448" s="173"/>
      <c r="Q448" s="173"/>
      <c r="R448" s="173"/>
    </row>
    <row r="449" spans="1:18" ht="16.5" thickTop="1" thickBot="1" x14ac:dyDescent="0.3">
      <c r="A449" s="313" t="s">
        <v>176</v>
      </c>
      <c r="B449" s="151" t="s">
        <v>21</v>
      </c>
      <c r="C449" s="151">
        <v>1440</v>
      </c>
      <c r="D449" s="151">
        <v>201</v>
      </c>
      <c r="E449" s="151">
        <v>39</v>
      </c>
      <c r="F449" s="151">
        <f>1+2</f>
        <v>3</v>
      </c>
      <c r="G449" s="243">
        <f t="shared" si="16"/>
        <v>36</v>
      </c>
      <c r="H449" s="291" t="s">
        <v>1035</v>
      </c>
      <c r="I449" s="301" t="s">
        <v>381</v>
      </c>
      <c r="J449" s="173"/>
      <c r="K449" s="173"/>
      <c r="L449" s="173"/>
      <c r="M449" s="173"/>
      <c r="N449" s="173"/>
      <c r="O449" s="173"/>
      <c r="P449" s="173"/>
      <c r="Q449" s="173"/>
      <c r="R449" s="173"/>
    </row>
    <row r="450" spans="1:18" ht="16.5" thickTop="1" thickBot="1" x14ac:dyDescent="0.3">
      <c r="A450" s="314"/>
      <c r="B450" s="152" t="s">
        <v>22</v>
      </c>
      <c r="C450" s="152">
        <v>1440</v>
      </c>
      <c r="D450" s="152">
        <v>260</v>
      </c>
      <c r="E450" s="152">
        <v>39</v>
      </c>
      <c r="F450" s="152">
        <f>1+2+1+1</f>
        <v>5</v>
      </c>
      <c r="G450" s="245">
        <f t="shared" si="16"/>
        <v>34</v>
      </c>
      <c r="H450" s="292" t="s">
        <v>1036</v>
      </c>
      <c r="I450" s="301"/>
      <c r="J450" s="173"/>
      <c r="K450" s="173"/>
      <c r="L450" s="173"/>
      <c r="M450" s="173"/>
      <c r="N450" s="173"/>
      <c r="O450" s="173"/>
      <c r="P450" s="173"/>
      <c r="Q450" s="173"/>
      <c r="R450" s="173"/>
    </row>
    <row r="451" spans="1:18" ht="16.5" thickTop="1" thickBot="1" x14ac:dyDescent="0.3">
      <c r="A451" s="314"/>
      <c r="B451" s="152" t="s">
        <v>18</v>
      </c>
      <c r="C451" s="152">
        <v>1440</v>
      </c>
      <c r="D451" s="152">
        <v>283</v>
      </c>
      <c r="E451" s="152">
        <v>34</v>
      </c>
      <c r="F451" s="152">
        <f>1+2</f>
        <v>3</v>
      </c>
      <c r="G451" s="245">
        <f t="shared" si="16"/>
        <v>31</v>
      </c>
      <c r="H451" s="292" t="s">
        <v>1037</v>
      </c>
      <c r="I451" s="301"/>
      <c r="J451" s="173"/>
      <c r="K451" s="173"/>
      <c r="L451" s="173"/>
      <c r="M451" s="173"/>
      <c r="N451" s="173"/>
      <c r="O451" s="173"/>
      <c r="P451" s="173"/>
      <c r="Q451" s="173"/>
      <c r="R451" s="173"/>
    </row>
    <row r="452" spans="1:18" ht="16.5" thickTop="1" thickBot="1" x14ac:dyDescent="0.3">
      <c r="A452" s="314"/>
      <c r="B452" s="152" t="s">
        <v>19</v>
      </c>
      <c r="C452" s="152">
        <v>1440</v>
      </c>
      <c r="D452" s="152">
        <v>343</v>
      </c>
      <c r="E452" s="152">
        <v>25</v>
      </c>
      <c r="F452" s="152">
        <v>2</v>
      </c>
      <c r="G452" s="245">
        <f t="shared" si="16"/>
        <v>23</v>
      </c>
      <c r="H452" s="292" t="s">
        <v>1038</v>
      </c>
      <c r="I452" s="301"/>
      <c r="J452" s="173"/>
      <c r="K452" s="173"/>
      <c r="L452" s="173"/>
      <c r="M452" s="173"/>
      <c r="N452" s="173"/>
      <c r="O452" s="173"/>
      <c r="P452" s="173"/>
      <c r="Q452" s="173"/>
      <c r="R452" s="173"/>
    </row>
    <row r="453" spans="1:18" ht="16.5" thickTop="1" thickBot="1" x14ac:dyDescent="0.3">
      <c r="A453" s="314"/>
      <c r="B453" s="152" t="s">
        <v>0</v>
      </c>
      <c r="C453" s="152">
        <v>1440</v>
      </c>
      <c r="D453" s="152">
        <v>378</v>
      </c>
      <c r="E453" s="152">
        <v>24</v>
      </c>
      <c r="F453" s="152">
        <f>2+1</f>
        <v>3</v>
      </c>
      <c r="G453" s="245">
        <f t="shared" si="16"/>
        <v>21</v>
      </c>
      <c r="H453" s="292" t="s">
        <v>1039</v>
      </c>
      <c r="I453" s="301"/>
      <c r="J453" s="173"/>
      <c r="K453" s="173"/>
      <c r="L453" s="173"/>
      <c r="M453" s="173"/>
      <c r="N453" s="173"/>
      <c r="O453" s="173"/>
      <c r="P453" s="173"/>
      <c r="Q453" s="173"/>
      <c r="R453" s="173"/>
    </row>
    <row r="454" spans="1:18" ht="16.5" thickTop="1" thickBot="1" x14ac:dyDescent="0.3">
      <c r="A454" s="314"/>
      <c r="B454" s="152" t="s">
        <v>2</v>
      </c>
      <c r="C454" s="152">
        <v>288</v>
      </c>
      <c r="D454" s="152">
        <v>378</v>
      </c>
      <c r="E454" s="152">
        <v>25</v>
      </c>
      <c r="F454" s="152"/>
      <c r="G454" s="245">
        <f t="shared" si="16"/>
        <v>25</v>
      </c>
      <c r="H454" s="292" t="s">
        <v>1040</v>
      </c>
      <c r="I454" s="301"/>
      <c r="J454" s="173"/>
      <c r="K454" s="173"/>
      <c r="L454" s="173"/>
      <c r="M454" s="173"/>
      <c r="N454" s="173"/>
      <c r="O454" s="173"/>
      <c r="P454" s="173"/>
      <c r="Q454" s="173"/>
      <c r="R454" s="173"/>
    </row>
    <row r="455" spans="1:18" ht="16.5" thickTop="1" thickBot="1" x14ac:dyDescent="0.3">
      <c r="A455" s="314"/>
      <c r="B455" s="152" t="s">
        <v>5</v>
      </c>
      <c r="C455" s="152">
        <v>144</v>
      </c>
      <c r="D455" s="152">
        <v>578</v>
      </c>
      <c r="E455" s="152">
        <v>25</v>
      </c>
      <c r="F455" s="152"/>
      <c r="G455" s="245">
        <f t="shared" si="16"/>
        <v>25</v>
      </c>
      <c r="H455" s="292" t="s">
        <v>1041</v>
      </c>
      <c r="I455" s="301"/>
      <c r="J455" s="173"/>
      <c r="K455" s="173"/>
      <c r="L455" s="173"/>
      <c r="M455" s="173"/>
      <c r="N455" s="173"/>
      <c r="O455" s="173"/>
      <c r="P455" s="173"/>
      <c r="Q455" s="173"/>
      <c r="R455" s="173"/>
    </row>
    <row r="456" spans="1:18" ht="16.5" thickTop="1" thickBot="1" x14ac:dyDescent="0.3">
      <c r="A456" s="315"/>
      <c r="B456" s="126" t="s">
        <v>20</v>
      </c>
      <c r="C456" s="126">
        <v>144</v>
      </c>
      <c r="D456" s="126">
        <v>578</v>
      </c>
      <c r="E456" s="126">
        <v>20</v>
      </c>
      <c r="F456" s="126"/>
      <c r="G456" s="246">
        <f t="shared" si="16"/>
        <v>20</v>
      </c>
      <c r="H456" s="295" t="s">
        <v>1042</v>
      </c>
      <c r="I456" s="301"/>
      <c r="J456" s="173"/>
      <c r="K456" s="173"/>
      <c r="L456" s="173"/>
      <c r="M456" s="173"/>
      <c r="N456" s="173"/>
      <c r="O456" s="173"/>
      <c r="P456" s="173"/>
      <c r="Q456" s="173"/>
      <c r="R456" s="173"/>
    </row>
    <row r="457" spans="1:18" ht="16.5" thickTop="1" thickBot="1" x14ac:dyDescent="0.3">
      <c r="A457" s="313" t="s">
        <v>401</v>
      </c>
      <c r="B457" s="151" t="s">
        <v>21</v>
      </c>
      <c r="C457" s="151">
        <v>1440</v>
      </c>
      <c r="D457" s="151">
        <v>309</v>
      </c>
      <c r="E457" s="45">
        <v>50</v>
      </c>
      <c r="F457" s="151">
        <v>1</v>
      </c>
      <c r="G457" s="243">
        <f t="shared" si="16"/>
        <v>49</v>
      </c>
      <c r="H457" s="291" t="s">
        <v>1043</v>
      </c>
      <c r="I457" s="301" t="s">
        <v>382</v>
      </c>
      <c r="J457" s="173"/>
      <c r="K457" s="173"/>
      <c r="L457" s="173"/>
      <c r="M457" s="173"/>
      <c r="N457" s="173"/>
      <c r="O457" s="173"/>
      <c r="P457" s="173"/>
      <c r="Q457" s="173"/>
      <c r="R457" s="173"/>
    </row>
    <row r="458" spans="1:18" ht="16.5" thickTop="1" thickBot="1" x14ac:dyDescent="0.3">
      <c r="A458" s="314"/>
      <c r="B458" s="152" t="s">
        <v>22</v>
      </c>
      <c r="C458" s="152">
        <v>1440</v>
      </c>
      <c r="D458" s="152">
        <v>363</v>
      </c>
      <c r="E458" s="83">
        <v>40</v>
      </c>
      <c r="F458" s="152">
        <f>1+1</f>
        <v>2</v>
      </c>
      <c r="G458" s="245">
        <f t="shared" si="16"/>
        <v>38</v>
      </c>
      <c r="H458" s="292" t="s">
        <v>1044</v>
      </c>
      <c r="I458" s="301"/>
      <c r="J458" s="173"/>
      <c r="K458" s="173"/>
      <c r="L458" s="173"/>
      <c r="M458" s="173"/>
      <c r="N458" s="173"/>
      <c r="O458" s="173"/>
      <c r="P458" s="173"/>
      <c r="Q458" s="173"/>
      <c r="R458" s="173"/>
    </row>
    <row r="459" spans="1:18" ht="16.5" thickTop="1" thickBot="1" x14ac:dyDescent="0.3">
      <c r="A459" s="314"/>
      <c r="B459" s="152" t="s">
        <v>18</v>
      </c>
      <c r="C459" s="152">
        <v>1440</v>
      </c>
      <c r="D459" s="152">
        <v>419</v>
      </c>
      <c r="E459" s="83">
        <v>35</v>
      </c>
      <c r="F459" s="152">
        <f>1+1+1+1</f>
        <v>4</v>
      </c>
      <c r="G459" s="245">
        <f t="shared" si="16"/>
        <v>31</v>
      </c>
      <c r="H459" s="292" t="s">
        <v>1045</v>
      </c>
      <c r="I459" s="301"/>
      <c r="J459" s="173"/>
      <c r="K459" s="173"/>
      <c r="L459" s="173"/>
      <c r="M459" s="173"/>
      <c r="N459" s="173"/>
      <c r="O459" s="173"/>
      <c r="P459" s="173"/>
      <c r="Q459" s="173"/>
      <c r="R459" s="173"/>
    </row>
    <row r="460" spans="1:18" ht="16.5" thickTop="1" thickBot="1" x14ac:dyDescent="0.3">
      <c r="A460" s="314"/>
      <c r="B460" s="152" t="s">
        <v>19</v>
      </c>
      <c r="C460" s="152">
        <v>1440</v>
      </c>
      <c r="D460" s="152">
        <v>529</v>
      </c>
      <c r="E460" s="83">
        <v>29</v>
      </c>
      <c r="F460" s="152"/>
      <c r="G460" s="245">
        <f t="shared" si="16"/>
        <v>29</v>
      </c>
      <c r="H460" s="292" t="s">
        <v>1046</v>
      </c>
      <c r="I460" s="301"/>
      <c r="J460" s="173"/>
      <c r="K460" s="173"/>
      <c r="L460" s="173"/>
      <c r="M460" s="173"/>
      <c r="N460" s="173"/>
      <c r="O460" s="173"/>
      <c r="P460" s="173"/>
      <c r="Q460" s="173"/>
      <c r="R460" s="173"/>
    </row>
    <row r="461" spans="1:18" ht="16.5" thickTop="1" thickBot="1" x14ac:dyDescent="0.3">
      <c r="A461" s="314"/>
      <c r="B461" s="152" t="s">
        <v>0</v>
      </c>
      <c r="C461" s="152">
        <v>1440</v>
      </c>
      <c r="D461" s="152">
        <v>681</v>
      </c>
      <c r="E461" s="83">
        <v>23</v>
      </c>
      <c r="F461" s="152">
        <f>1+1</f>
        <v>2</v>
      </c>
      <c r="G461" s="245">
        <f t="shared" si="16"/>
        <v>21</v>
      </c>
      <c r="H461" s="292" t="s">
        <v>1047</v>
      </c>
      <c r="I461" s="301"/>
      <c r="J461" s="173"/>
      <c r="K461" s="173"/>
      <c r="L461" s="173"/>
      <c r="M461" s="173"/>
      <c r="N461" s="173"/>
      <c r="O461" s="173"/>
      <c r="P461" s="173"/>
      <c r="Q461" s="173"/>
      <c r="R461" s="173"/>
    </row>
    <row r="462" spans="1:18" ht="16.5" thickTop="1" thickBot="1" x14ac:dyDescent="0.3">
      <c r="A462" s="314"/>
      <c r="B462" s="152" t="s">
        <v>1</v>
      </c>
      <c r="C462" s="152">
        <v>1440</v>
      </c>
      <c r="D462" s="152">
        <v>958</v>
      </c>
      <c r="E462" s="152">
        <v>95</v>
      </c>
      <c r="F462" s="152">
        <f>1+1</f>
        <v>2</v>
      </c>
      <c r="G462" s="245">
        <f t="shared" si="16"/>
        <v>93</v>
      </c>
      <c r="H462" s="292" t="s">
        <v>1048</v>
      </c>
      <c r="I462" s="301"/>
      <c r="J462" s="173"/>
      <c r="K462" s="173"/>
      <c r="L462" s="173"/>
      <c r="M462" s="173"/>
      <c r="N462" s="173"/>
      <c r="O462" s="173"/>
      <c r="P462" s="173"/>
      <c r="Q462" s="173"/>
      <c r="R462" s="173"/>
    </row>
    <row r="463" spans="1:18" ht="16.5" thickTop="1" thickBot="1" x14ac:dyDescent="0.3">
      <c r="A463" s="314"/>
      <c r="B463" s="152" t="s">
        <v>2</v>
      </c>
      <c r="C463" s="152">
        <v>288</v>
      </c>
      <c r="D463" s="152">
        <v>653</v>
      </c>
      <c r="E463" s="83">
        <v>48</v>
      </c>
      <c r="F463" s="152"/>
      <c r="G463" s="245">
        <f t="shared" si="16"/>
        <v>48</v>
      </c>
      <c r="H463" s="292" t="s">
        <v>1049</v>
      </c>
      <c r="I463" s="301"/>
      <c r="J463" s="173"/>
      <c r="K463" s="173"/>
      <c r="L463" s="173"/>
      <c r="M463" s="173"/>
      <c r="N463" s="173"/>
      <c r="O463" s="173"/>
      <c r="P463" s="173"/>
      <c r="Q463" s="173"/>
      <c r="R463" s="173"/>
    </row>
    <row r="464" spans="1:18" ht="16.5" thickTop="1" thickBot="1" x14ac:dyDescent="0.3">
      <c r="A464" s="315"/>
      <c r="B464" s="126" t="s">
        <v>5</v>
      </c>
      <c r="C464" s="126">
        <v>144</v>
      </c>
      <c r="D464" s="126">
        <v>773</v>
      </c>
      <c r="E464" s="46">
        <v>25</v>
      </c>
      <c r="F464" s="126"/>
      <c r="G464" s="246">
        <f t="shared" si="16"/>
        <v>25</v>
      </c>
      <c r="H464" s="295" t="s">
        <v>1050</v>
      </c>
      <c r="I464" s="301"/>
      <c r="J464" s="173"/>
      <c r="K464" s="173"/>
      <c r="L464" s="173"/>
      <c r="M464" s="173"/>
      <c r="N464" s="173"/>
      <c r="O464" s="173"/>
      <c r="P464" s="173"/>
      <c r="Q464" s="173"/>
      <c r="R464" s="173"/>
    </row>
    <row r="465" spans="1:18" ht="16.5" thickTop="1" thickBot="1" x14ac:dyDescent="0.3">
      <c r="A465" s="307" t="s">
        <v>212</v>
      </c>
      <c r="B465" s="151" t="s">
        <v>89</v>
      </c>
      <c r="C465" s="151">
        <v>1440</v>
      </c>
      <c r="D465" s="151">
        <v>192</v>
      </c>
      <c r="E465" s="45">
        <v>100</v>
      </c>
      <c r="F465" s="151"/>
      <c r="G465" s="243">
        <f t="shared" si="16"/>
        <v>100</v>
      </c>
      <c r="H465" s="291" t="s">
        <v>1051</v>
      </c>
      <c r="I465" s="301" t="s">
        <v>383</v>
      </c>
      <c r="J465" s="173"/>
      <c r="K465" s="173"/>
      <c r="L465" s="173"/>
      <c r="M465" s="173"/>
      <c r="N465" s="173"/>
      <c r="O465" s="173"/>
      <c r="P465" s="173"/>
      <c r="Q465" s="173"/>
      <c r="R465" s="173"/>
    </row>
    <row r="466" spans="1:18" ht="16.5" thickTop="1" thickBot="1" x14ac:dyDescent="0.3">
      <c r="A466" s="309"/>
      <c r="B466" s="126" t="s">
        <v>2</v>
      </c>
      <c r="C466" s="126">
        <v>288</v>
      </c>
      <c r="D466" s="126">
        <v>553</v>
      </c>
      <c r="E466" s="46">
        <v>50</v>
      </c>
      <c r="F466" s="126"/>
      <c r="G466" s="246">
        <f t="shared" si="16"/>
        <v>50</v>
      </c>
      <c r="H466" s="295" t="s">
        <v>1052</v>
      </c>
      <c r="I466" s="301"/>
      <c r="J466" s="173"/>
      <c r="K466" s="173"/>
      <c r="L466" s="173"/>
      <c r="M466" s="173"/>
      <c r="N466" s="173"/>
      <c r="O466" s="173"/>
      <c r="P466" s="173"/>
      <c r="Q466" s="173"/>
      <c r="R466" s="173"/>
    </row>
    <row r="467" spans="1:18" ht="16.5" thickTop="1" thickBot="1" x14ac:dyDescent="0.3">
      <c r="A467" s="307" t="s">
        <v>144</v>
      </c>
      <c r="B467" s="151" t="s">
        <v>90</v>
      </c>
      <c r="C467" s="151">
        <v>1440</v>
      </c>
      <c r="D467" s="151">
        <v>93</v>
      </c>
      <c r="E467" s="151">
        <v>58</v>
      </c>
      <c r="F467" s="151"/>
      <c r="G467" s="243">
        <f t="shared" si="16"/>
        <v>58</v>
      </c>
      <c r="H467" s="291" t="s">
        <v>1053</v>
      </c>
      <c r="I467" s="301" t="s">
        <v>384</v>
      </c>
      <c r="J467" s="173"/>
      <c r="K467" s="173"/>
      <c r="L467" s="173"/>
      <c r="M467" s="173"/>
      <c r="N467" s="173"/>
      <c r="O467" s="173"/>
      <c r="P467" s="173"/>
      <c r="Q467" s="173"/>
      <c r="R467" s="173"/>
    </row>
    <row r="468" spans="1:18" ht="16.5" thickTop="1" thickBot="1" x14ac:dyDescent="0.3">
      <c r="A468" s="308"/>
      <c r="B468" s="152" t="s">
        <v>89</v>
      </c>
      <c r="C468" s="152">
        <v>1440</v>
      </c>
      <c r="D468" s="152">
        <v>83</v>
      </c>
      <c r="E468" s="152">
        <v>58</v>
      </c>
      <c r="F468" s="152"/>
      <c r="G468" s="245">
        <f>E468-F468</f>
        <v>58</v>
      </c>
      <c r="H468" s="292" t="s">
        <v>1054</v>
      </c>
      <c r="I468" s="301"/>
      <c r="J468" s="173"/>
      <c r="K468" s="173"/>
      <c r="L468" s="173"/>
      <c r="M468" s="173"/>
      <c r="N468" s="173"/>
      <c r="O468" s="173"/>
      <c r="P468" s="173"/>
      <c r="Q468" s="173"/>
      <c r="R468" s="173"/>
    </row>
    <row r="469" spans="1:18" ht="16.5" thickTop="1" thickBot="1" x14ac:dyDescent="0.3">
      <c r="A469" s="308"/>
      <c r="B469" s="152" t="s">
        <v>21</v>
      </c>
      <c r="C469" s="152">
        <v>1440</v>
      </c>
      <c r="D469" s="152">
        <v>83</v>
      </c>
      <c r="E469" s="83">
        <v>20</v>
      </c>
      <c r="F469" s="152">
        <v>1</v>
      </c>
      <c r="G469" s="245">
        <f t="shared" ref="G469:G475" si="17">E469-F469</f>
        <v>19</v>
      </c>
      <c r="H469" s="292" t="s">
        <v>1055</v>
      </c>
      <c r="I469" s="301"/>
      <c r="J469" s="173"/>
      <c r="K469" s="173"/>
      <c r="L469" s="173"/>
      <c r="M469" s="173"/>
      <c r="N469" s="173"/>
      <c r="O469" s="173"/>
      <c r="P469" s="173"/>
      <c r="Q469" s="173"/>
      <c r="R469" s="173"/>
    </row>
    <row r="470" spans="1:18" ht="16.5" thickTop="1" thickBot="1" x14ac:dyDescent="0.3">
      <c r="A470" s="308"/>
      <c r="B470" s="152" t="s">
        <v>22</v>
      </c>
      <c r="C470" s="152">
        <v>1440</v>
      </c>
      <c r="D470" s="152">
        <v>113</v>
      </c>
      <c r="E470" s="83">
        <v>20</v>
      </c>
      <c r="F470" s="152">
        <v>1</v>
      </c>
      <c r="G470" s="245">
        <f t="shared" si="17"/>
        <v>19</v>
      </c>
      <c r="H470" s="292" t="s">
        <v>1056</v>
      </c>
      <c r="I470" s="301"/>
      <c r="J470" s="173"/>
      <c r="K470" s="173"/>
      <c r="L470" s="173"/>
      <c r="M470" s="173"/>
      <c r="N470" s="173"/>
      <c r="O470" s="173"/>
      <c r="P470" s="173"/>
      <c r="Q470" s="173"/>
      <c r="R470" s="173"/>
    </row>
    <row r="471" spans="1:18" ht="16.5" thickTop="1" thickBot="1" x14ac:dyDescent="0.3">
      <c r="A471" s="308"/>
      <c r="B471" s="152" t="s">
        <v>18</v>
      </c>
      <c r="C471" s="152">
        <v>1440</v>
      </c>
      <c r="D471" s="152">
        <v>123</v>
      </c>
      <c r="E471" s="83">
        <v>30</v>
      </c>
      <c r="F471" s="152">
        <f>1+1</f>
        <v>2</v>
      </c>
      <c r="G471" s="245">
        <f t="shared" si="17"/>
        <v>28</v>
      </c>
      <c r="H471" s="292" t="s">
        <v>1057</v>
      </c>
      <c r="I471" s="301"/>
      <c r="J471" s="173"/>
      <c r="K471" s="173"/>
      <c r="L471" s="173"/>
      <c r="M471" s="173"/>
      <c r="N471" s="173"/>
      <c r="O471" s="173"/>
      <c r="P471" s="173"/>
      <c r="Q471" s="173"/>
      <c r="R471" s="173"/>
    </row>
    <row r="472" spans="1:18" ht="16.5" thickTop="1" thickBot="1" x14ac:dyDescent="0.3">
      <c r="A472" s="308"/>
      <c r="B472" s="152" t="s">
        <v>19</v>
      </c>
      <c r="C472" s="152">
        <v>1440</v>
      </c>
      <c r="D472" s="152">
        <v>199</v>
      </c>
      <c r="E472" s="83">
        <v>20</v>
      </c>
      <c r="F472" s="152"/>
      <c r="G472" s="245">
        <f t="shared" si="17"/>
        <v>20</v>
      </c>
      <c r="H472" s="292" t="s">
        <v>1058</v>
      </c>
      <c r="I472" s="301"/>
      <c r="J472" s="173"/>
      <c r="K472" s="173"/>
      <c r="L472" s="173"/>
      <c r="M472" s="173"/>
      <c r="N472" s="173"/>
      <c r="O472" s="173"/>
      <c r="P472" s="173"/>
      <c r="Q472" s="173"/>
      <c r="R472" s="173"/>
    </row>
    <row r="473" spans="1:18" ht="16.5" thickTop="1" thickBot="1" x14ac:dyDescent="0.3">
      <c r="A473" s="308"/>
      <c r="B473" s="152" t="s">
        <v>0</v>
      </c>
      <c r="C473" s="152">
        <v>1440</v>
      </c>
      <c r="D473" s="152">
        <v>245</v>
      </c>
      <c r="E473" s="83">
        <v>20</v>
      </c>
      <c r="F473" s="152">
        <v>1</v>
      </c>
      <c r="G473" s="245">
        <f t="shared" si="17"/>
        <v>19</v>
      </c>
      <c r="H473" s="292" t="s">
        <v>1059</v>
      </c>
      <c r="I473" s="301"/>
      <c r="J473" s="173"/>
      <c r="K473" s="173"/>
      <c r="L473" s="173"/>
      <c r="M473" s="173"/>
      <c r="N473" s="173"/>
      <c r="O473" s="173"/>
      <c r="P473" s="173"/>
      <c r="Q473" s="173"/>
      <c r="R473" s="173"/>
    </row>
    <row r="474" spans="1:18" ht="16.5" thickTop="1" thickBot="1" x14ac:dyDescent="0.3">
      <c r="A474" s="308"/>
      <c r="B474" s="152" t="s">
        <v>1</v>
      </c>
      <c r="C474" s="152">
        <v>1440</v>
      </c>
      <c r="D474" s="152">
        <v>398</v>
      </c>
      <c r="E474" s="83">
        <v>19</v>
      </c>
      <c r="F474" s="152">
        <v>1</v>
      </c>
      <c r="G474" s="245">
        <f t="shared" si="17"/>
        <v>18</v>
      </c>
      <c r="H474" s="292" t="s">
        <v>1060</v>
      </c>
      <c r="I474" s="301"/>
      <c r="J474" s="173"/>
      <c r="K474" s="173"/>
      <c r="L474" s="173"/>
      <c r="M474" s="173"/>
      <c r="N474" s="173"/>
      <c r="O474" s="173"/>
      <c r="P474" s="173"/>
      <c r="Q474" s="173"/>
      <c r="R474" s="173"/>
    </row>
    <row r="475" spans="1:18" ht="16.5" thickTop="1" thickBot="1" x14ac:dyDescent="0.3">
      <c r="A475" s="309"/>
      <c r="B475" s="126" t="s">
        <v>2</v>
      </c>
      <c r="C475" s="126">
        <v>288</v>
      </c>
      <c r="D475" s="126">
        <v>235</v>
      </c>
      <c r="E475" s="46">
        <v>20</v>
      </c>
      <c r="F475" s="126"/>
      <c r="G475" s="246">
        <f t="shared" si="17"/>
        <v>20</v>
      </c>
      <c r="H475" s="295" t="s">
        <v>1061</v>
      </c>
      <c r="I475" s="301"/>
      <c r="J475" s="173"/>
      <c r="K475" s="173"/>
      <c r="L475" s="173"/>
      <c r="M475" s="173"/>
      <c r="N475" s="173"/>
      <c r="O475" s="173"/>
      <c r="P475" s="173"/>
      <c r="Q475" s="173"/>
      <c r="R475" s="173"/>
    </row>
    <row r="476" spans="1:18" ht="16.5" thickTop="1" thickBot="1" x14ac:dyDescent="0.3">
      <c r="A476" s="307" t="s">
        <v>133</v>
      </c>
      <c r="B476" s="153" t="s">
        <v>89</v>
      </c>
      <c r="C476" s="153">
        <v>1440</v>
      </c>
      <c r="D476" s="153">
        <v>253</v>
      </c>
      <c r="E476" s="153">
        <v>49</v>
      </c>
      <c r="F476" s="153"/>
      <c r="G476" s="244">
        <f>E476-F476</f>
        <v>49</v>
      </c>
      <c r="H476" s="291" t="s">
        <v>1062</v>
      </c>
      <c r="I476" s="301" t="s">
        <v>385</v>
      </c>
      <c r="J476" s="173"/>
      <c r="K476" s="173"/>
      <c r="L476" s="173"/>
      <c r="M476" s="173"/>
      <c r="N476" s="173"/>
      <c r="O476" s="173"/>
      <c r="P476" s="173"/>
      <c r="Q476" s="173"/>
      <c r="R476" s="173"/>
    </row>
    <row r="477" spans="1:18" ht="16.5" thickTop="1" thickBot="1" x14ac:dyDescent="0.3">
      <c r="A477" s="308"/>
      <c r="B477" s="152" t="s">
        <v>21</v>
      </c>
      <c r="C477" s="152">
        <v>1440</v>
      </c>
      <c r="D477" s="152">
        <v>253</v>
      </c>
      <c r="E477" s="152">
        <v>49</v>
      </c>
      <c r="F477" s="152"/>
      <c r="G477" s="245">
        <f t="shared" si="16"/>
        <v>49</v>
      </c>
      <c r="H477" s="292" t="s">
        <v>1063</v>
      </c>
      <c r="I477" s="301"/>
      <c r="J477" s="173"/>
      <c r="K477" s="173"/>
      <c r="L477" s="173"/>
      <c r="M477" s="173"/>
      <c r="N477" s="173"/>
      <c r="O477" s="173"/>
      <c r="P477" s="173"/>
      <c r="Q477" s="173"/>
      <c r="R477" s="173"/>
    </row>
    <row r="478" spans="1:18" ht="16.5" thickTop="1" thickBot="1" x14ac:dyDescent="0.3">
      <c r="A478" s="308"/>
      <c r="B478" s="152" t="s">
        <v>22</v>
      </c>
      <c r="C478" s="152">
        <v>1440</v>
      </c>
      <c r="D478" s="152">
        <v>293</v>
      </c>
      <c r="E478" s="152">
        <v>39</v>
      </c>
      <c r="F478" s="152"/>
      <c r="G478" s="245">
        <f t="shared" si="16"/>
        <v>39</v>
      </c>
      <c r="H478" s="292" t="s">
        <v>1064</v>
      </c>
      <c r="I478" s="301"/>
      <c r="J478" s="173"/>
      <c r="K478" s="173"/>
      <c r="L478" s="173"/>
      <c r="M478" s="173"/>
      <c r="N478" s="173"/>
      <c r="O478" s="173"/>
      <c r="P478" s="173"/>
      <c r="Q478" s="173"/>
      <c r="R478" s="173"/>
    </row>
    <row r="479" spans="1:18" ht="16.5" thickTop="1" thickBot="1" x14ac:dyDescent="0.3">
      <c r="A479" s="308"/>
      <c r="B479" s="152" t="s">
        <v>18</v>
      </c>
      <c r="C479" s="152">
        <v>1440</v>
      </c>
      <c r="D479" s="152">
        <v>313</v>
      </c>
      <c r="E479" s="152">
        <v>35</v>
      </c>
      <c r="F479" s="152"/>
      <c r="G479" s="245">
        <f t="shared" si="16"/>
        <v>35</v>
      </c>
      <c r="H479" s="292" t="s">
        <v>1066</v>
      </c>
      <c r="I479" s="301"/>
      <c r="J479" s="173"/>
      <c r="K479" s="173"/>
      <c r="L479" s="173"/>
      <c r="M479" s="173"/>
      <c r="N479" s="173"/>
      <c r="O479" s="173"/>
      <c r="P479" s="173"/>
      <c r="Q479" s="173"/>
      <c r="R479" s="173"/>
    </row>
    <row r="480" spans="1:18" ht="16.5" thickTop="1" thickBot="1" x14ac:dyDescent="0.3">
      <c r="A480" s="308"/>
      <c r="B480" s="152" t="s">
        <v>19</v>
      </c>
      <c r="C480" s="152">
        <v>1440</v>
      </c>
      <c r="D480" s="152">
        <v>360</v>
      </c>
      <c r="E480" s="152">
        <v>30</v>
      </c>
      <c r="F480" s="152"/>
      <c r="G480" s="245">
        <f t="shared" si="16"/>
        <v>30</v>
      </c>
      <c r="H480" s="292" t="s">
        <v>1065</v>
      </c>
      <c r="I480" s="301"/>
      <c r="J480" s="173"/>
      <c r="K480" s="173"/>
      <c r="L480" s="173"/>
      <c r="M480" s="173"/>
      <c r="N480" s="173"/>
      <c r="O480" s="173"/>
      <c r="P480" s="173"/>
      <c r="Q480" s="173"/>
      <c r="R480" s="173"/>
    </row>
    <row r="481" spans="1:18" ht="16.5" thickTop="1" thickBot="1" x14ac:dyDescent="0.3">
      <c r="A481" s="308"/>
      <c r="B481" s="152" t="s">
        <v>0</v>
      </c>
      <c r="C481" s="152">
        <v>1440</v>
      </c>
      <c r="D481" s="152">
        <v>418</v>
      </c>
      <c r="E481" s="152">
        <v>75</v>
      </c>
      <c r="F481" s="152"/>
      <c r="G481" s="245">
        <f t="shared" si="16"/>
        <v>75</v>
      </c>
      <c r="H481" s="292" t="s">
        <v>1067</v>
      </c>
      <c r="I481" s="301"/>
      <c r="J481" s="173"/>
      <c r="K481" s="173"/>
      <c r="L481" s="173"/>
      <c r="M481" s="173"/>
      <c r="N481" s="173"/>
      <c r="O481" s="173"/>
      <c r="P481" s="173"/>
      <c r="Q481" s="173"/>
      <c r="R481" s="173"/>
    </row>
    <row r="482" spans="1:18" ht="16.5" thickTop="1" thickBot="1" x14ac:dyDescent="0.3">
      <c r="A482" s="308"/>
      <c r="B482" s="152" t="s">
        <v>1</v>
      </c>
      <c r="C482" s="152">
        <v>1440</v>
      </c>
      <c r="D482" s="152">
        <v>726</v>
      </c>
      <c r="E482" s="152">
        <v>120</v>
      </c>
      <c r="F482" s="152"/>
      <c r="G482" s="245">
        <f t="shared" si="16"/>
        <v>120</v>
      </c>
      <c r="H482" s="292" t="s">
        <v>1068</v>
      </c>
      <c r="I482" s="301"/>
      <c r="J482" s="173"/>
      <c r="K482" s="173"/>
      <c r="L482" s="173"/>
      <c r="M482" s="173"/>
      <c r="N482" s="173"/>
      <c r="O482" s="173"/>
      <c r="P482" s="173"/>
      <c r="Q482" s="173"/>
      <c r="R482" s="173"/>
    </row>
    <row r="483" spans="1:18" ht="16.5" thickTop="1" thickBot="1" x14ac:dyDescent="0.3">
      <c r="A483" s="308"/>
      <c r="B483" s="152" t="s">
        <v>2</v>
      </c>
      <c r="C483" s="152">
        <v>288</v>
      </c>
      <c r="D483" s="152">
        <v>388</v>
      </c>
      <c r="E483" s="152">
        <v>49</v>
      </c>
      <c r="F483" s="152">
        <v>1</v>
      </c>
      <c r="G483" s="245">
        <f t="shared" si="16"/>
        <v>48</v>
      </c>
      <c r="H483" s="292" t="s">
        <v>1069</v>
      </c>
      <c r="I483" s="301"/>
      <c r="J483" s="173"/>
      <c r="K483" s="173"/>
      <c r="L483" s="173"/>
      <c r="M483" s="173"/>
      <c r="N483" s="173"/>
      <c r="O483" s="173"/>
      <c r="P483" s="173"/>
      <c r="Q483" s="173"/>
      <c r="R483" s="173"/>
    </row>
    <row r="484" spans="1:18" ht="16.5" thickTop="1" thickBot="1" x14ac:dyDescent="0.3">
      <c r="A484" s="309"/>
      <c r="B484" s="126" t="s">
        <v>20</v>
      </c>
      <c r="C484" s="126">
        <v>144</v>
      </c>
      <c r="D484" s="126">
        <v>636</v>
      </c>
      <c r="E484" s="126">
        <v>19</v>
      </c>
      <c r="F484" s="126">
        <v>1</v>
      </c>
      <c r="G484" s="246">
        <f t="shared" si="16"/>
        <v>18</v>
      </c>
      <c r="H484" s="295" t="s">
        <v>1070</v>
      </c>
      <c r="I484" s="301"/>
      <c r="J484" s="173"/>
      <c r="K484" s="173"/>
      <c r="L484" s="173"/>
      <c r="M484" s="173"/>
      <c r="N484" s="173"/>
      <c r="O484" s="173"/>
      <c r="P484" s="173"/>
      <c r="Q484" s="173"/>
      <c r="R484" s="173"/>
    </row>
    <row r="485" spans="1:18" ht="16.5" thickTop="1" thickBot="1" x14ac:dyDescent="0.3">
      <c r="A485" s="307" t="s">
        <v>190</v>
      </c>
      <c r="B485" s="152" t="s">
        <v>22</v>
      </c>
      <c r="C485" s="152">
        <v>1440</v>
      </c>
      <c r="D485" s="153">
        <v>369</v>
      </c>
      <c r="E485" s="152">
        <v>1</v>
      </c>
      <c r="F485" s="152"/>
      <c r="G485" s="245">
        <f t="shared" si="16"/>
        <v>1</v>
      </c>
      <c r="H485" s="291" t="s">
        <v>1071</v>
      </c>
      <c r="I485" s="301" t="s">
        <v>386</v>
      </c>
      <c r="J485" s="173"/>
      <c r="K485" s="173"/>
      <c r="L485" s="173"/>
      <c r="M485" s="173"/>
      <c r="N485" s="173"/>
      <c r="O485" s="173"/>
      <c r="P485" s="173"/>
      <c r="Q485" s="173"/>
      <c r="R485" s="173"/>
    </row>
    <row r="486" spans="1:18" ht="16.5" thickTop="1" thickBot="1" x14ac:dyDescent="0.3">
      <c r="A486" s="309"/>
      <c r="B486" s="126" t="s">
        <v>18</v>
      </c>
      <c r="C486" s="126">
        <v>1440</v>
      </c>
      <c r="D486" s="126">
        <v>436</v>
      </c>
      <c r="E486" s="126">
        <v>1</v>
      </c>
      <c r="F486" s="126"/>
      <c r="G486" s="246">
        <f t="shared" si="16"/>
        <v>1</v>
      </c>
      <c r="H486" s="295" t="s">
        <v>1072</v>
      </c>
      <c r="I486" s="301"/>
      <c r="J486" s="173"/>
      <c r="K486" s="173"/>
      <c r="L486" s="173"/>
      <c r="M486" s="173"/>
      <c r="N486" s="173"/>
      <c r="O486" s="173"/>
      <c r="P486" s="173"/>
      <c r="Q486" s="173"/>
      <c r="R486" s="173"/>
    </row>
    <row r="487" spans="1:18" ht="16.5" thickTop="1" thickBot="1" x14ac:dyDescent="0.3">
      <c r="A487" s="313" t="s">
        <v>85</v>
      </c>
      <c r="B487" s="151" t="s">
        <v>21</v>
      </c>
      <c r="C487" s="151">
        <v>1440</v>
      </c>
      <c r="D487" s="151">
        <v>236</v>
      </c>
      <c r="E487" s="151">
        <v>50</v>
      </c>
      <c r="F487" s="151">
        <f>2+1</f>
        <v>3</v>
      </c>
      <c r="G487" s="243">
        <f t="shared" si="16"/>
        <v>47</v>
      </c>
      <c r="H487" s="291" t="s">
        <v>1073</v>
      </c>
      <c r="I487" s="301" t="s">
        <v>387</v>
      </c>
      <c r="J487" s="173"/>
      <c r="K487" s="173"/>
      <c r="L487" s="173"/>
      <c r="M487" s="173"/>
      <c r="N487" s="173"/>
      <c r="O487" s="173"/>
      <c r="P487" s="173"/>
      <c r="Q487" s="173"/>
      <c r="R487" s="173"/>
    </row>
    <row r="488" spans="1:18" ht="16.5" thickTop="1" thickBot="1" x14ac:dyDescent="0.3">
      <c r="A488" s="314"/>
      <c r="B488" s="152" t="s">
        <v>22</v>
      </c>
      <c r="C488" s="152">
        <v>1440</v>
      </c>
      <c r="D488" s="152">
        <v>325</v>
      </c>
      <c r="E488" s="152">
        <v>40</v>
      </c>
      <c r="F488" s="152"/>
      <c r="G488" s="245">
        <f t="shared" si="16"/>
        <v>40</v>
      </c>
      <c r="H488" s="292" t="s">
        <v>1074</v>
      </c>
      <c r="I488" s="301"/>
      <c r="J488" s="173"/>
      <c r="K488" s="173"/>
      <c r="L488" s="173"/>
      <c r="M488" s="173"/>
      <c r="N488" s="173"/>
      <c r="O488" s="173"/>
      <c r="P488" s="173"/>
      <c r="Q488" s="173"/>
      <c r="R488" s="173"/>
    </row>
    <row r="489" spans="1:18" ht="16.5" thickTop="1" thickBot="1" x14ac:dyDescent="0.3">
      <c r="A489" s="314"/>
      <c r="B489" s="152" t="s">
        <v>18</v>
      </c>
      <c r="C489" s="152">
        <v>1440</v>
      </c>
      <c r="D489" s="152">
        <v>380</v>
      </c>
      <c r="E489" s="152">
        <v>35</v>
      </c>
      <c r="F489" s="152"/>
      <c r="G489" s="245">
        <f t="shared" si="16"/>
        <v>35</v>
      </c>
      <c r="H489" s="292" t="s">
        <v>1075</v>
      </c>
      <c r="I489" s="301"/>
      <c r="J489" s="173"/>
      <c r="K489" s="173"/>
      <c r="L489" s="173"/>
      <c r="M489" s="173"/>
      <c r="N489" s="173"/>
      <c r="O489" s="173"/>
      <c r="P489" s="173"/>
      <c r="Q489" s="173"/>
      <c r="R489" s="173"/>
    </row>
    <row r="490" spans="1:18" ht="16.5" thickTop="1" thickBot="1" x14ac:dyDescent="0.3">
      <c r="A490" s="314"/>
      <c r="B490" s="152" t="s">
        <v>19</v>
      </c>
      <c r="C490" s="152">
        <v>1440</v>
      </c>
      <c r="D490" s="152">
        <v>458</v>
      </c>
      <c r="E490" s="152">
        <v>30</v>
      </c>
      <c r="F490" s="152"/>
      <c r="G490" s="245">
        <f t="shared" si="16"/>
        <v>30</v>
      </c>
      <c r="H490" s="292" t="s">
        <v>1076</v>
      </c>
      <c r="I490" s="301"/>
      <c r="J490" s="173"/>
      <c r="K490" s="173"/>
      <c r="L490" s="173"/>
      <c r="M490" s="173"/>
      <c r="N490" s="173"/>
      <c r="O490" s="173"/>
      <c r="P490" s="173"/>
      <c r="Q490" s="173"/>
      <c r="R490" s="173"/>
    </row>
    <row r="491" spans="1:18" ht="16.5" thickTop="1" thickBot="1" x14ac:dyDescent="0.3">
      <c r="A491" s="315"/>
      <c r="B491" s="126" t="s">
        <v>0</v>
      </c>
      <c r="C491" s="126">
        <v>1440</v>
      </c>
      <c r="D491" s="126">
        <v>555</v>
      </c>
      <c r="E491" s="126">
        <v>50</v>
      </c>
      <c r="F491" s="126">
        <f>1+1+1</f>
        <v>3</v>
      </c>
      <c r="G491" s="246">
        <f t="shared" si="16"/>
        <v>47</v>
      </c>
      <c r="H491" s="295" t="s">
        <v>1077</v>
      </c>
      <c r="I491" s="301"/>
      <c r="J491" s="173"/>
      <c r="K491" s="173"/>
      <c r="L491" s="173"/>
      <c r="M491" s="173"/>
      <c r="N491" s="173"/>
      <c r="O491" s="173"/>
      <c r="P491" s="173"/>
      <c r="Q491" s="173"/>
      <c r="R491" s="173"/>
    </row>
    <row r="492" spans="1:18" ht="16.5" thickTop="1" thickBot="1" x14ac:dyDescent="0.3">
      <c r="A492" s="307" t="s">
        <v>82</v>
      </c>
      <c r="B492" s="153" t="s">
        <v>21</v>
      </c>
      <c r="C492" s="153">
        <v>1440</v>
      </c>
      <c r="D492" s="153">
        <v>236</v>
      </c>
      <c r="E492" s="153">
        <v>50</v>
      </c>
      <c r="F492" s="153">
        <f>1+1</f>
        <v>2</v>
      </c>
      <c r="G492" s="243">
        <f t="shared" si="16"/>
        <v>48</v>
      </c>
      <c r="H492" s="291" t="s">
        <v>1078</v>
      </c>
      <c r="I492" s="301" t="s">
        <v>388</v>
      </c>
      <c r="J492" s="173"/>
      <c r="K492" s="173"/>
      <c r="L492" s="173"/>
      <c r="M492" s="173"/>
      <c r="N492" s="173"/>
      <c r="O492" s="173"/>
      <c r="P492" s="173"/>
      <c r="Q492" s="173"/>
      <c r="R492" s="173"/>
    </row>
    <row r="493" spans="1:18" ht="16.5" thickTop="1" thickBot="1" x14ac:dyDescent="0.3">
      <c r="A493" s="308"/>
      <c r="B493" s="152" t="s">
        <v>22</v>
      </c>
      <c r="C493" s="152">
        <v>1440</v>
      </c>
      <c r="D493" s="152">
        <v>325</v>
      </c>
      <c r="E493" s="83">
        <v>40</v>
      </c>
      <c r="F493" s="152">
        <v>1</v>
      </c>
      <c r="G493" s="245">
        <f t="shared" si="16"/>
        <v>39</v>
      </c>
      <c r="H493" s="292" t="s">
        <v>1079</v>
      </c>
      <c r="I493" s="301"/>
      <c r="J493" s="173"/>
      <c r="K493" s="173"/>
      <c r="L493" s="173"/>
      <c r="M493" s="173"/>
      <c r="N493" s="173"/>
      <c r="O493" s="173"/>
      <c r="P493" s="173"/>
      <c r="Q493" s="173"/>
      <c r="R493" s="173"/>
    </row>
    <row r="494" spans="1:18" ht="16.5" thickTop="1" thickBot="1" x14ac:dyDescent="0.3">
      <c r="A494" s="308"/>
      <c r="B494" s="154" t="s">
        <v>18</v>
      </c>
      <c r="C494" s="154">
        <v>1440</v>
      </c>
      <c r="D494" s="154">
        <v>380</v>
      </c>
      <c r="E494" s="127">
        <v>35</v>
      </c>
      <c r="F494" s="154">
        <f>1+1+1</f>
        <v>3</v>
      </c>
      <c r="G494" s="245">
        <f t="shared" si="16"/>
        <v>32</v>
      </c>
      <c r="H494" s="292" t="s">
        <v>1080</v>
      </c>
      <c r="I494" s="301"/>
      <c r="J494" s="173"/>
      <c r="K494" s="173"/>
      <c r="L494" s="173"/>
      <c r="M494" s="173"/>
      <c r="N494" s="173"/>
      <c r="O494" s="173"/>
      <c r="P494" s="173"/>
      <c r="Q494" s="173"/>
      <c r="R494" s="173"/>
    </row>
    <row r="495" spans="1:18" ht="16.5" thickTop="1" thickBot="1" x14ac:dyDescent="0.3">
      <c r="A495" s="308"/>
      <c r="B495" s="154" t="s">
        <v>19</v>
      </c>
      <c r="C495" s="154">
        <v>1440</v>
      </c>
      <c r="D495" s="154">
        <v>457</v>
      </c>
      <c r="E495" s="127">
        <v>29</v>
      </c>
      <c r="F495" s="154"/>
      <c r="G495" s="245">
        <f t="shared" ref="G495:G503" si="18">E495-F495</f>
        <v>29</v>
      </c>
      <c r="H495" s="292" t="s">
        <v>1081</v>
      </c>
      <c r="I495" s="301"/>
      <c r="J495" s="173"/>
      <c r="K495" s="173"/>
      <c r="L495" s="173"/>
      <c r="M495" s="173"/>
      <c r="N495" s="173"/>
      <c r="O495" s="173"/>
      <c r="P495" s="173"/>
      <c r="Q495" s="173"/>
      <c r="R495" s="173"/>
    </row>
    <row r="496" spans="1:18" ht="16.5" thickTop="1" thickBot="1" x14ac:dyDescent="0.3">
      <c r="A496" s="308"/>
      <c r="B496" s="154" t="s">
        <v>0</v>
      </c>
      <c r="C496" s="154">
        <v>1440</v>
      </c>
      <c r="D496" s="154">
        <v>555</v>
      </c>
      <c r="E496" s="127">
        <v>25</v>
      </c>
      <c r="F496" s="154">
        <f>1+1</f>
        <v>2</v>
      </c>
      <c r="G496" s="245">
        <f t="shared" si="18"/>
        <v>23</v>
      </c>
      <c r="H496" s="292" t="s">
        <v>1082</v>
      </c>
      <c r="I496" s="301"/>
      <c r="J496" s="173"/>
      <c r="K496" s="173"/>
      <c r="L496" s="173"/>
      <c r="M496" s="173"/>
      <c r="N496" s="173"/>
      <c r="O496" s="173"/>
      <c r="P496" s="173"/>
      <c r="Q496" s="173"/>
      <c r="R496" s="173"/>
    </row>
    <row r="497" spans="1:18" ht="16.5" thickTop="1" thickBot="1" x14ac:dyDescent="0.3">
      <c r="A497" s="308"/>
      <c r="B497" s="154" t="s">
        <v>1</v>
      </c>
      <c r="C497" s="154">
        <v>1440</v>
      </c>
      <c r="D497" s="154">
        <v>858</v>
      </c>
      <c r="E497" s="154">
        <v>90</v>
      </c>
      <c r="F497" s="152">
        <f>2+1</f>
        <v>3</v>
      </c>
      <c r="G497" s="245">
        <f t="shared" si="18"/>
        <v>87</v>
      </c>
      <c r="H497" s="292" t="s">
        <v>1083</v>
      </c>
      <c r="I497" s="301"/>
      <c r="J497" s="173"/>
      <c r="K497" s="173"/>
      <c r="L497" s="173"/>
      <c r="M497" s="173"/>
      <c r="N497" s="173"/>
      <c r="O497" s="173"/>
      <c r="P497" s="173"/>
      <c r="Q497" s="173"/>
      <c r="R497" s="173"/>
    </row>
    <row r="498" spans="1:18" ht="16.5" thickTop="1" thickBot="1" x14ac:dyDescent="0.3">
      <c r="A498" s="308"/>
      <c r="B498" s="154" t="s">
        <v>2</v>
      </c>
      <c r="C498" s="154">
        <v>288</v>
      </c>
      <c r="D498" s="154">
        <v>526</v>
      </c>
      <c r="E498" s="127">
        <v>25</v>
      </c>
      <c r="F498" s="154">
        <f>1+1+1</f>
        <v>3</v>
      </c>
      <c r="G498" s="246">
        <f t="shared" si="18"/>
        <v>22</v>
      </c>
      <c r="H498" s="295" t="s">
        <v>1084</v>
      </c>
      <c r="I498" s="301"/>
      <c r="J498" s="173"/>
      <c r="K498" s="173"/>
      <c r="L498" s="173"/>
      <c r="M498" s="173"/>
      <c r="N498" s="173"/>
      <c r="O498" s="173"/>
      <c r="P498" s="173"/>
      <c r="Q498" s="173"/>
      <c r="R498" s="173"/>
    </row>
    <row r="499" spans="1:18" ht="16.5" thickTop="1" thickBot="1" x14ac:dyDescent="0.3">
      <c r="A499" s="313" t="s">
        <v>83</v>
      </c>
      <c r="B499" s="151" t="s">
        <v>21</v>
      </c>
      <c r="C499" s="151">
        <v>1440</v>
      </c>
      <c r="D499" s="151">
        <v>236</v>
      </c>
      <c r="E499" s="45">
        <v>50</v>
      </c>
      <c r="F499" s="151">
        <f>1+1</f>
        <v>2</v>
      </c>
      <c r="G499" s="242">
        <f t="shared" si="18"/>
        <v>48</v>
      </c>
      <c r="H499" s="291" t="s">
        <v>1085</v>
      </c>
      <c r="I499" s="301" t="s">
        <v>389</v>
      </c>
      <c r="J499" s="173"/>
      <c r="K499" s="173"/>
      <c r="L499" s="173"/>
      <c r="M499" s="173"/>
      <c r="N499" s="173"/>
      <c r="O499" s="173"/>
      <c r="P499" s="173"/>
      <c r="Q499" s="173"/>
      <c r="R499" s="173"/>
    </row>
    <row r="500" spans="1:18" ht="16.5" thickTop="1" thickBot="1" x14ac:dyDescent="0.3">
      <c r="A500" s="314"/>
      <c r="B500" s="152" t="s">
        <v>22</v>
      </c>
      <c r="C500" s="152">
        <v>1440</v>
      </c>
      <c r="D500" s="152">
        <v>325</v>
      </c>
      <c r="E500" s="83">
        <v>40</v>
      </c>
      <c r="F500" s="152"/>
      <c r="G500" s="247">
        <f t="shared" si="18"/>
        <v>40</v>
      </c>
      <c r="H500" s="292" t="s">
        <v>1086</v>
      </c>
      <c r="I500" s="301"/>
      <c r="J500" s="173"/>
      <c r="K500" s="173"/>
      <c r="L500" s="173"/>
      <c r="M500" s="173"/>
      <c r="N500" s="173"/>
      <c r="O500" s="173"/>
      <c r="P500" s="173"/>
      <c r="Q500" s="173"/>
      <c r="R500" s="173"/>
    </row>
    <row r="501" spans="1:18" ht="16.5" thickTop="1" thickBot="1" x14ac:dyDescent="0.3">
      <c r="A501" s="314"/>
      <c r="B501" s="152" t="s">
        <v>18</v>
      </c>
      <c r="C501" s="152">
        <v>1440</v>
      </c>
      <c r="D501" s="152">
        <v>380</v>
      </c>
      <c r="E501" s="83">
        <v>35</v>
      </c>
      <c r="F501" s="152">
        <v>1</v>
      </c>
      <c r="G501" s="247">
        <f t="shared" si="18"/>
        <v>34</v>
      </c>
      <c r="H501" s="292" t="s">
        <v>1087</v>
      </c>
      <c r="I501" s="301"/>
      <c r="J501" s="173"/>
      <c r="K501" s="173"/>
      <c r="L501" s="173"/>
      <c r="M501" s="173"/>
      <c r="N501" s="173"/>
      <c r="O501" s="173"/>
      <c r="P501" s="173"/>
      <c r="Q501" s="173"/>
      <c r="R501" s="173"/>
    </row>
    <row r="502" spans="1:18" ht="16.5" thickTop="1" thickBot="1" x14ac:dyDescent="0.3">
      <c r="A502" s="314"/>
      <c r="B502" s="152" t="s">
        <v>19</v>
      </c>
      <c r="C502" s="152">
        <v>1440</v>
      </c>
      <c r="D502" s="152">
        <v>457</v>
      </c>
      <c r="E502" s="83">
        <v>30</v>
      </c>
      <c r="F502" s="152"/>
      <c r="G502" s="247">
        <f t="shared" si="18"/>
        <v>30</v>
      </c>
      <c r="H502" s="292" t="s">
        <v>1088</v>
      </c>
      <c r="I502" s="301"/>
      <c r="J502" s="173"/>
      <c r="K502" s="173"/>
      <c r="L502" s="173"/>
      <c r="M502" s="173"/>
      <c r="N502" s="173"/>
      <c r="O502" s="173"/>
      <c r="P502" s="173"/>
      <c r="Q502" s="173"/>
      <c r="R502" s="173"/>
    </row>
    <row r="503" spans="1:18" ht="16.5" thickTop="1" thickBot="1" x14ac:dyDescent="0.3">
      <c r="A503" s="314"/>
      <c r="B503" s="152" t="s">
        <v>0</v>
      </c>
      <c r="C503" s="152">
        <v>1440</v>
      </c>
      <c r="D503" s="152">
        <v>555</v>
      </c>
      <c r="E503" s="83">
        <v>50</v>
      </c>
      <c r="F503" s="152"/>
      <c r="G503" s="247">
        <f t="shared" si="18"/>
        <v>50</v>
      </c>
      <c r="H503" s="292" t="s">
        <v>1089</v>
      </c>
      <c r="I503" s="301"/>
      <c r="J503" s="173"/>
      <c r="K503" s="173"/>
      <c r="L503" s="173"/>
      <c r="M503" s="173"/>
      <c r="N503" s="173"/>
      <c r="O503" s="173"/>
      <c r="P503" s="173"/>
      <c r="Q503" s="173"/>
      <c r="R503" s="173"/>
    </row>
    <row r="504" spans="1:18" ht="16.5" thickTop="1" thickBot="1" x14ac:dyDescent="0.3">
      <c r="A504" s="314"/>
      <c r="B504" s="152" t="s">
        <v>1</v>
      </c>
      <c r="C504" s="152">
        <v>1440</v>
      </c>
      <c r="D504" s="152">
        <v>858</v>
      </c>
      <c r="E504" s="152">
        <v>90</v>
      </c>
      <c r="F504" s="152"/>
      <c r="G504" s="245">
        <f t="shared" ref="G504:G509" si="19">E504-F504</f>
        <v>90</v>
      </c>
      <c r="H504" s="292" t="s">
        <v>1090</v>
      </c>
      <c r="I504" s="301"/>
      <c r="J504" s="173"/>
      <c r="K504" s="173"/>
      <c r="L504" s="173"/>
      <c r="M504" s="173"/>
      <c r="N504" s="173"/>
      <c r="O504" s="173"/>
      <c r="P504" s="173"/>
      <c r="Q504" s="173"/>
      <c r="R504" s="173"/>
    </row>
    <row r="505" spans="1:18" ht="16.5" thickTop="1" thickBot="1" x14ac:dyDescent="0.3">
      <c r="A505" s="315"/>
      <c r="B505" s="46" t="s">
        <v>2</v>
      </c>
      <c r="C505" s="126">
        <v>288</v>
      </c>
      <c r="D505" s="126">
        <v>526</v>
      </c>
      <c r="E505" s="46">
        <v>50</v>
      </c>
      <c r="F505" s="126"/>
      <c r="G505" s="246">
        <f t="shared" si="19"/>
        <v>50</v>
      </c>
      <c r="H505" s="295" t="s">
        <v>1091</v>
      </c>
      <c r="I505" s="301"/>
      <c r="J505" s="173"/>
      <c r="K505" s="173"/>
      <c r="L505" s="173"/>
      <c r="M505" s="173"/>
      <c r="N505" s="173"/>
      <c r="O505" s="173"/>
      <c r="P505" s="173"/>
      <c r="Q505" s="173"/>
      <c r="R505" s="173"/>
    </row>
    <row r="506" spans="1:18" ht="16.5" thickTop="1" thickBot="1" x14ac:dyDescent="0.3">
      <c r="A506" s="313" t="s">
        <v>320</v>
      </c>
      <c r="B506" s="151" t="s">
        <v>19</v>
      </c>
      <c r="C506" s="151">
        <v>1440</v>
      </c>
      <c r="D506" s="151">
        <v>457</v>
      </c>
      <c r="E506" s="151">
        <v>30</v>
      </c>
      <c r="F506" s="151">
        <v>1</v>
      </c>
      <c r="G506" s="243">
        <f t="shared" si="19"/>
        <v>29</v>
      </c>
      <c r="H506" s="291" t="s">
        <v>1092</v>
      </c>
      <c r="I506" s="301" t="s">
        <v>390</v>
      </c>
      <c r="J506" s="173"/>
      <c r="K506" s="173"/>
      <c r="L506" s="173"/>
      <c r="M506" s="173"/>
      <c r="N506" s="173"/>
      <c r="O506" s="173"/>
      <c r="P506" s="173"/>
      <c r="Q506" s="173"/>
      <c r="R506" s="173"/>
    </row>
    <row r="507" spans="1:18" ht="16.5" thickTop="1" thickBot="1" x14ac:dyDescent="0.3">
      <c r="A507" s="314"/>
      <c r="B507" s="152" t="s">
        <v>0</v>
      </c>
      <c r="C507" s="152">
        <v>1440</v>
      </c>
      <c r="D507" s="152">
        <v>555</v>
      </c>
      <c r="E507" s="152">
        <f>4+25</f>
        <v>29</v>
      </c>
      <c r="F507" s="152">
        <v>3</v>
      </c>
      <c r="G507" s="245">
        <f t="shared" si="19"/>
        <v>26</v>
      </c>
      <c r="H507" s="292" t="s">
        <v>1093</v>
      </c>
      <c r="I507" s="301"/>
      <c r="J507" s="173"/>
      <c r="K507" s="173"/>
      <c r="L507" s="173"/>
      <c r="M507" s="173"/>
      <c r="N507" s="173"/>
      <c r="O507" s="173"/>
      <c r="P507" s="173"/>
      <c r="Q507" s="173"/>
      <c r="R507" s="173"/>
    </row>
    <row r="508" spans="1:18" ht="16.5" thickTop="1" thickBot="1" x14ac:dyDescent="0.3">
      <c r="A508" s="314"/>
      <c r="B508" s="152" t="s">
        <v>1</v>
      </c>
      <c r="C508" s="152">
        <v>1440</v>
      </c>
      <c r="D508" s="152">
        <v>858</v>
      </c>
      <c r="E508" s="152">
        <f>14+15</f>
        <v>29</v>
      </c>
      <c r="F508" s="152">
        <v>3</v>
      </c>
      <c r="G508" s="245">
        <f t="shared" si="19"/>
        <v>26</v>
      </c>
      <c r="H508" s="292" t="s">
        <v>1094</v>
      </c>
      <c r="I508" s="301"/>
      <c r="J508" s="173"/>
      <c r="K508" s="173"/>
      <c r="L508" s="173"/>
      <c r="M508" s="173"/>
      <c r="N508" s="173"/>
      <c r="O508" s="173"/>
      <c r="P508" s="173"/>
      <c r="Q508" s="173"/>
      <c r="R508" s="173"/>
    </row>
    <row r="509" spans="1:18" ht="16.5" thickTop="1" thickBot="1" x14ac:dyDescent="0.3">
      <c r="A509" s="315"/>
      <c r="B509" s="126" t="s">
        <v>2</v>
      </c>
      <c r="C509" s="126">
        <v>288</v>
      </c>
      <c r="D509" s="126">
        <v>526</v>
      </c>
      <c r="E509" s="126">
        <v>23</v>
      </c>
      <c r="F509" s="126">
        <v>3</v>
      </c>
      <c r="G509" s="246">
        <f t="shared" si="19"/>
        <v>20</v>
      </c>
      <c r="H509" s="295" t="s">
        <v>1095</v>
      </c>
      <c r="I509" s="321"/>
      <c r="J509" s="173"/>
      <c r="K509" s="173"/>
      <c r="L509" s="173"/>
      <c r="M509" s="173"/>
      <c r="N509" s="173"/>
      <c r="O509" s="173"/>
      <c r="P509" s="173"/>
      <c r="Q509" s="173"/>
      <c r="R509" s="173"/>
    </row>
    <row r="510" spans="1:18" ht="15.75" thickTop="1" x14ac:dyDescent="0.25">
      <c r="A510" s="137"/>
      <c r="B510" s="173"/>
      <c r="C510" s="173"/>
      <c r="D510" s="173"/>
      <c r="E510" s="173"/>
      <c r="F510" s="173"/>
      <c r="G510" s="173"/>
      <c r="H510" s="298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</row>
    <row r="511" spans="1:18" x14ac:dyDescent="0.25">
      <c r="A511" s="173"/>
      <c r="B511" s="173"/>
      <c r="C511" s="173"/>
      <c r="D511" s="173"/>
      <c r="E511" s="173"/>
      <c r="F511" s="173"/>
      <c r="G511" s="173"/>
      <c r="H511" s="298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</row>
    <row r="512" spans="1:18" x14ac:dyDescent="0.25">
      <c r="A512" s="173"/>
      <c r="B512" s="173"/>
      <c r="C512" s="173"/>
      <c r="D512" s="173"/>
      <c r="E512" s="173"/>
      <c r="F512" s="173"/>
      <c r="G512" s="173"/>
      <c r="H512" s="298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</row>
    <row r="513" spans="1:18" x14ac:dyDescent="0.25">
      <c r="A513" s="173"/>
      <c r="B513" s="173"/>
      <c r="C513" s="173"/>
      <c r="D513" s="173"/>
      <c r="E513" s="173"/>
      <c r="F513" s="173"/>
      <c r="G513" s="173"/>
      <c r="H513" s="298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</row>
    <row r="514" spans="1:18" x14ac:dyDescent="0.25">
      <c r="A514" s="161"/>
      <c r="B514" s="161"/>
      <c r="C514" s="161"/>
      <c r="D514" s="161"/>
      <c r="E514" s="161"/>
      <c r="F514" s="161"/>
      <c r="G514" s="161"/>
      <c r="I514" s="161"/>
    </row>
  </sheetData>
  <mergeCells count="121">
    <mergeCell ref="A1:D1"/>
    <mergeCell ref="I485:I486"/>
    <mergeCell ref="I487:I491"/>
    <mergeCell ref="I492:I498"/>
    <mergeCell ref="I499:I505"/>
    <mergeCell ref="I506:I509"/>
    <mergeCell ref="I449:I456"/>
    <mergeCell ref="I457:I464"/>
    <mergeCell ref="I465:I466"/>
    <mergeCell ref="I467:I475"/>
    <mergeCell ref="I476:I484"/>
    <mergeCell ref="I418:I426"/>
    <mergeCell ref="I427:I432"/>
    <mergeCell ref="I433:I438"/>
    <mergeCell ref="I440:I441"/>
    <mergeCell ref="I442:I448"/>
    <mergeCell ref="I384:I391"/>
    <mergeCell ref="I392:I395"/>
    <mergeCell ref="I396:I401"/>
    <mergeCell ref="I402:I406"/>
    <mergeCell ref="I407:I417"/>
    <mergeCell ref="I348:I349"/>
    <mergeCell ref="I350:I360"/>
    <mergeCell ref="I361:I367"/>
    <mergeCell ref="I368:I376"/>
    <mergeCell ref="I377:I383"/>
    <mergeCell ref="I294:I304"/>
    <mergeCell ref="I305:I315"/>
    <mergeCell ref="I316:I325"/>
    <mergeCell ref="I326:I336"/>
    <mergeCell ref="I337:I347"/>
    <mergeCell ref="I245:I254"/>
    <mergeCell ref="I255:I264"/>
    <mergeCell ref="I265:I273"/>
    <mergeCell ref="I274:I284"/>
    <mergeCell ref="I285:I293"/>
    <mergeCell ref="I202:I210"/>
    <mergeCell ref="I211:I221"/>
    <mergeCell ref="I222:I223"/>
    <mergeCell ref="I224:I233"/>
    <mergeCell ref="I234:I244"/>
    <mergeCell ref="I154:I162"/>
    <mergeCell ref="I163:I173"/>
    <mergeCell ref="I174:I182"/>
    <mergeCell ref="I183:I192"/>
    <mergeCell ref="I193:I201"/>
    <mergeCell ref="I105:I113"/>
    <mergeCell ref="I114:I123"/>
    <mergeCell ref="I124:I131"/>
    <mergeCell ref="I132:I142"/>
    <mergeCell ref="I143:I153"/>
    <mergeCell ref="I53:I63"/>
    <mergeCell ref="I64:I73"/>
    <mergeCell ref="I74:I84"/>
    <mergeCell ref="I85:I94"/>
    <mergeCell ref="I95:I104"/>
    <mergeCell ref="I3:I13"/>
    <mergeCell ref="I14:I22"/>
    <mergeCell ref="I23:I32"/>
    <mergeCell ref="I33:I43"/>
    <mergeCell ref="I44:I52"/>
    <mergeCell ref="A506:A509"/>
    <mergeCell ref="A407:A417"/>
    <mergeCell ref="A348:A349"/>
    <mergeCell ref="A368:A376"/>
    <mergeCell ref="A193:A201"/>
    <mergeCell ref="A202:A210"/>
    <mergeCell ref="A222:A223"/>
    <mergeCell ref="A384:A391"/>
    <mergeCell ref="A467:A475"/>
    <mergeCell ref="A465:A466"/>
    <mergeCell ref="A440:A441"/>
    <mergeCell ref="A211:A221"/>
    <mergeCell ref="A224:A233"/>
    <mergeCell ref="A316:A325"/>
    <mergeCell ref="A234:A244"/>
    <mergeCell ref="A245:A254"/>
    <mergeCell ref="A114:A123"/>
    <mergeCell ref="A183:A192"/>
    <mergeCell ref="A163:A173"/>
    <mergeCell ref="A3:A13"/>
    <mergeCell ref="A14:A22"/>
    <mergeCell ref="A23:A32"/>
    <mergeCell ref="A33:A43"/>
    <mergeCell ref="A74:A84"/>
    <mergeCell ref="A44:A52"/>
    <mergeCell ref="A64:A73"/>
    <mergeCell ref="A265:A273"/>
    <mergeCell ref="A274:A284"/>
    <mergeCell ref="A174:A182"/>
    <mergeCell ref="A53:A63"/>
    <mergeCell ref="A124:A131"/>
    <mergeCell ref="A154:A162"/>
    <mergeCell ref="A143:A153"/>
    <mergeCell ref="A132:A142"/>
    <mergeCell ref="A85:A94"/>
    <mergeCell ref="A95:A104"/>
    <mergeCell ref="A105:A113"/>
    <mergeCell ref="A285:A293"/>
    <mergeCell ref="A305:A315"/>
    <mergeCell ref="A418:A426"/>
    <mergeCell ref="A294:A304"/>
    <mergeCell ref="A337:A347"/>
    <mergeCell ref="A350:A360"/>
    <mergeCell ref="A326:A336"/>
    <mergeCell ref="A361:A367"/>
    <mergeCell ref="A255:A264"/>
    <mergeCell ref="A499:A505"/>
    <mergeCell ref="A377:A383"/>
    <mergeCell ref="A396:A401"/>
    <mergeCell ref="A402:A406"/>
    <mergeCell ref="A442:A448"/>
    <mergeCell ref="A476:A484"/>
    <mergeCell ref="A427:A432"/>
    <mergeCell ref="A433:A438"/>
    <mergeCell ref="A485:A486"/>
    <mergeCell ref="A487:A491"/>
    <mergeCell ref="A457:A464"/>
    <mergeCell ref="A449:A456"/>
    <mergeCell ref="A492:A498"/>
    <mergeCell ref="A392:A395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87" fitToHeight="1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A0CE-6071-47BF-A04B-A6EDA6492670}">
  <dimension ref="A1:I3"/>
  <sheetViews>
    <sheetView workbookViewId="0">
      <selection activeCell="I20" sqref="I20"/>
    </sheetView>
  </sheetViews>
  <sheetFormatPr defaultRowHeight="15" x14ac:dyDescent="0.25"/>
  <cols>
    <col min="9" max="9" width="25.85546875" bestFit="1" customWidth="1"/>
  </cols>
  <sheetData>
    <row r="1" spans="1:9" ht="42.75" x14ac:dyDescent="0.25">
      <c r="A1" s="38" t="s">
        <v>16</v>
      </c>
      <c r="B1" s="38" t="s">
        <v>17</v>
      </c>
      <c r="C1" s="38" t="s">
        <v>101</v>
      </c>
      <c r="D1" s="38" t="s">
        <v>100</v>
      </c>
      <c r="E1" s="38" t="s">
        <v>106</v>
      </c>
      <c r="F1" s="38" t="s">
        <v>87</v>
      </c>
      <c r="G1" s="38" t="s">
        <v>88</v>
      </c>
      <c r="H1" s="38" t="s">
        <v>329</v>
      </c>
      <c r="I1" s="152" t="s">
        <v>573</v>
      </c>
    </row>
    <row r="2" spans="1:9" x14ac:dyDescent="0.25">
      <c r="A2" s="152" t="s">
        <v>97</v>
      </c>
      <c r="B2" s="152" t="s">
        <v>93</v>
      </c>
      <c r="C2" s="152" t="s">
        <v>108</v>
      </c>
      <c r="D2" s="152">
        <v>300</v>
      </c>
      <c r="E2" s="152">
        <v>7</v>
      </c>
      <c r="F2" s="152">
        <f>2+2</f>
        <v>4</v>
      </c>
      <c r="G2" s="152">
        <f>E2-F2</f>
        <v>3</v>
      </c>
      <c r="H2" s="171" t="s">
        <v>330</v>
      </c>
      <c r="I2" s="152" t="s">
        <v>607</v>
      </c>
    </row>
    <row r="3" spans="1:9" x14ac:dyDescent="0.25">
      <c r="A3" s="152" t="s">
        <v>581</v>
      </c>
      <c r="B3" s="152" t="s">
        <v>93</v>
      </c>
      <c r="C3" s="152" t="s">
        <v>108</v>
      </c>
      <c r="D3" s="152">
        <v>550</v>
      </c>
      <c r="E3" s="152">
        <v>7</v>
      </c>
      <c r="F3" s="152">
        <f>1+1</f>
        <v>2</v>
      </c>
      <c r="G3" s="152">
        <f>E3-F3</f>
        <v>5</v>
      </c>
      <c r="H3" s="171" t="s">
        <v>358</v>
      </c>
      <c r="I3" s="152" t="s">
        <v>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0"/>
  <sheetViews>
    <sheetView topLeftCell="A20" workbookViewId="0">
      <selection activeCell="I58" sqref="I58:I64"/>
    </sheetView>
  </sheetViews>
  <sheetFormatPr defaultRowHeight="15" x14ac:dyDescent="0.25"/>
  <cols>
    <col min="1" max="1" width="20.42578125" customWidth="1"/>
    <col min="2" max="2" width="9.5703125" customWidth="1"/>
    <col min="3" max="3" width="11.42578125" customWidth="1"/>
    <col min="4" max="4" width="10.85546875" customWidth="1"/>
    <col min="5" max="6" width="9.85546875" customWidth="1"/>
    <col min="7" max="7" width="10.140625" customWidth="1"/>
    <col min="8" max="8" width="36.7109375" style="282" customWidth="1"/>
  </cols>
  <sheetData>
    <row r="1" spans="1:9" ht="15.75" x14ac:dyDescent="0.25">
      <c r="A1" s="325" t="s">
        <v>115</v>
      </c>
      <c r="B1" s="325"/>
      <c r="C1" s="325"/>
      <c r="D1" s="325"/>
      <c r="E1" s="162"/>
      <c r="F1" s="162"/>
      <c r="G1" s="162"/>
      <c r="I1" s="161"/>
    </row>
    <row r="2" spans="1:9" ht="43.5" thickBot="1" x14ac:dyDescent="0.3">
      <c r="A2" s="25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83" t="s">
        <v>1096</v>
      </c>
      <c r="I2" s="25" t="s">
        <v>329</v>
      </c>
    </row>
    <row r="3" spans="1:9" ht="15.75" customHeight="1" thickTop="1" thickBot="1" x14ac:dyDescent="0.3">
      <c r="A3" s="310" t="s">
        <v>404</v>
      </c>
      <c r="B3" s="151" t="s">
        <v>21</v>
      </c>
      <c r="C3" s="151">
        <v>1440</v>
      </c>
      <c r="D3" s="151">
        <v>221</v>
      </c>
      <c r="E3" s="151">
        <v>2</v>
      </c>
      <c r="F3" s="151"/>
      <c r="G3" s="243">
        <f t="shared" ref="G3:G36" si="0">E3-F3</f>
        <v>2</v>
      </c>
      <c r="H3" s="284" t="s">
        <v>1097</v>
      </c>
      <c r="I3" s="365" t="s">
        <v>402</v>
      </c>
    </row>
    <row r="4" spans="1:9" ht="16.5" thickTop="1" thickBot="1" x14ac:dyDescent="0.3">
      <c r="A4" s="311"/>
      <c r="B4" s="152" t="s">
        <v>22</v>
      </c>
      <c r="C4" s="152">
        <v>1440</v>
      </c>
      <c r="D4" s="152">
        <v>259</v>
      </c>
      <c r="E4" s="152">
        <v>2</v>
      </c>
      <c r="F4" s="152"/>
      <c r="G4" s="245">
        <f t="shared" si="0"/>
        <v>2</v>
      </c>
      <c r="H4" s="285" t="s">
        <v>1098</v>
      </c>
      <c r="I4" s="365"/>
    </row>
    <row r="5" spans="1:9" ht="16.5" thickTop="1" thickBot="1" x14ac:dyDescent="0.3">
      <c r="A5" s="311"/>
      <c r="B5" s="152" t="s">
        <v>18</v>
      </c>
      <c r="C5" s="152">
        <v>1440</v>
      </c>
      <c r="D5" s="152">
        <v>281</v>
      </c>
      <c r="E5" s="152">
        <v>2</v>
      </c>
      <c r="F5" s="152"/>
      <c r="G5" s="245">
        <f t="shared" si="0"/>
        <v>2</v>
      </c>
      <c r="H5" s="285" t="s">
        <v>1099</v>
      </c>
      <c r="I5" s="365"/>
    </row>
    <row r="6" spans="1:9" ht="16.5" thickTop="1" thickBot="1" x14ac:dyDescent="0.3">
      <c r="A6" s="311"/>
      <c r="B6" s="152" t="s">
        <v>19</v>
      </c>
      <c r="C6" s="152">
        <v>1440</v>
      </c>
      <c r="D6" s="152">
        <v>391</v>
      </c>
      <c r="E6" s="152">
        <v>2</v>
      </c>
      <c r="F6" s="152">
        <v>1</v>
      </c>
      <c r="G6" s="245">
        <f t="shared" si="0"/>
        <v>1</v>
      </c>
      <c r="H6" s="285" t="s">
        <v>1100</v>
      </c>
      <c r="I6" s="365"/>
    </row>
    <row r="7" spans="1:9" ht="16.5" thickTop="1" thickBot="1" x14ac:dyDescent="0.3">
      <c r="A7" s="311"/>
      <c r="B7" s="152" t="s">
        <v>0</v>
      </c>
      <c r="C7" s="152">
        <v>1440</v>
      </c>
      <c r="D7" s="152">
        <v>499</v>
      </c>
      <c r="E7" s="152">
        <v>1</v>
      </c>
      <c r="F7" s="152"/>
      <c r="G7" s="245">
        <f t="shared" si="0"/>
        <v>1</v>
      </c>
      <c r="H7" s="285" t="s">
        <v>1101</v>
      </c>
      <c r="I7" s="365"/>
    </row>
    <row r="8" spans="1:9" ht="16.5" thickTop="1" thickBot="1" x14ac:dyDescent="0.3">
      <c r="A8" s="312"/>
      <c r="B8" s="126" t="s">
        <v>1</v>
      </c>
      <c r="C8" s="126">
        <v>1440</v>
      </c>
      <c r="D8" s="126">
        <v>803</v>
      </c>
      <c r="E8" s="126">
        <v>1</v>
      </c>
      <c r="F8" s="126"/>
      <c r="G8" s="246">
        <f t="shared" si="0"/>
        <v>1</v>
      </c>
      <c r="H8" s="287" t="s">
        <v>1102</v>
      </c>
      <c r="I8" s="365"/>
    </row>
    <row r="9" spans="1:9" ht="16.5" thickTop="1" thickBot="1" x14ac:dyDescent="0.3">
      <c r="A9" s="310" t="s">
        <v>405</v>
      </c>
      <c r="B9" s="151" t="s">
        <v>21</v>
      </c>
      <c r="C9" s="151">
        <v>1440</v>
      </c>
      <c r="D9" s="151">
        <v>221</v>
      </c>
      <c r="E9" s="151">
        <v>1</v>
      </c>
      <c r="F9" s="151"/>
      <c r="G9" s="243">
        <f t="shared" si="0"/>
        <v>1</v>
      </c>
      <c r="H9" s="291" t="s">
        <v>1103</v>
      </c>
      <c r="I9" s="365" t="s">
        <v>403</v>
      </c>
    </row>
    <row r="10" spans="1:9" ht="16.5" thickTop="1" thickBot="1" x14ac:dyDescent="0.3">
      <c r="A10" s="311"/>
      <c r="B10" s="152" t="s">
        <v>22</v>
      </c>
      <c r="C10" s="152">
        <v>1440</v>
      </c>
      <c r="D10" s="152">
        <v>259</v>
      </c>
      <c r="E10" s="152">
        <v>1</v>
      </c>
      <c r="F10" s="152">
        <v>1</v>
      </c>
      <c r="G10" s="245">
        <f t="shared" si="0"/>
        <v>0</v>
      </c>
      <c r="H10" s="292" t="s">
        <v>1104</v>
      </c>
      <c r="I10" s="365"/>
    </row>
    <row r="11" spans="1:9" ht="16.5" thickTop="1" thickBot="1" x14ac:dyDescent="0.3">
      <c r="A11" s="311"/>
      <c r="B11" s="152" t="s">
        <v>18</v>
      </c>
      <c r="C11" s="152">
        <v>1440</v>
      </c>
      <c r="D11" s="152">
        <v>281</v>
      </c>
      <c r="E11" s="152">
        <v>1</v>
      </c>
      <c r="F11" s="152"/>
      <c r="G11" s="245">
        <f t="shared" si="0"/>
        <v>1</v>
      </c>
      <c r="H11" s="292" t="s">
        <v>1105</v>
      </c>
      <c r="I11" s="365"/>
    </row>
    <row r="12" spans="1:9" ht="16.5" thickTop="1" thickBot="1" x14ac:dyDescent="0.3">
      <c r="A12" s="311"/>
      <c r="B12" s="152" t="s">
        <v>19</v>
      </c>
      <c r="C12" s="152">
        <v>1440</v>
      </c>
      <c r="D12" s="152">
        <v>391</v>
      </c>
      <c r="E12" s="152">
        <v>1</v>
      </c>
      <c r="F12" s="152"/>
      <c r="G12" s="245">
        <f t="shared" si="0"/>
        <v>1</v>
      </c>
      <c r="H12" s="292" t="s">
        <v>1106</v>
      </c>
      <c r="I12" s="365"/>
    </row>
    <row r="13" spans="1:9" ht="16.5" thickTop="1" thickBot="1" x14ac:dyDescent="0.3">
      <c r="A13" s="311"/>
      <c r="B13" s="152" t="s">
        <v>0</v>
      </c>
      <c r="C13" s="152">
        <v>1440</v>
      </c>
      <c r="D13" s="152">
        <v>499</v>
      </c>
      <c r="E13" s="152">
        <v>1</v>
      </c>
      <c r="F13" s="152"/>
      <c r="G13" s="245">
        <f t="shared" si="0"/>
        <v>1</v>
      </c>
      <c r="H13" s="292" t="s">
        <v>1107</v>
      </c>
      <c r="I13" s="365"/>
    </row>
    <row r="14" spans="1:9" ht="16.5" thickTop="1" thickBot="1" x14ac:dyDescent="0.3">
      <c r="A14" s="312"/>
      <c r="B14" s="126" t="s">
        <v>1</v>
      </c>
      <c r="C14" s="126">
        <v>1440</v>
      </c>
      <c r="D14" s="126">
        <v>803</v>
      </c>
      <c r="E14" s="126">
        <v>1</v>
      </c>
      <c r="F14" s="126"/>
      <c r="G14" s="246">
        <f t="shared" si="0"/>
        <v>1</v>
      </c>
      <c r="H14" s="295" t="s">
        <v>1108</v>
      </c>
      <c r="I14" s="365"/>
    </row>
    <row r="15" spans="1:9" ht="16.5" thickTop="1" thickBot="1" x14ac:dyDescent="0.3">
      <c r="A15" s="310" t="s">
        <v>407</v>
      </c>
      <c r="B15" s="151" t="s">
        <v>21</v>
      </c>
      <c r="C15" s="151">
        <v>1440</v>
      </c>
      <c r="D15" s="151">
        <v>221</v>
      </c>
      <c r="E15" s="151">
        <v>1</v>
      </c>
      <c r="F15" s="151"/>
      <c r="G15" s="243">
        <f t="shared" si="0"/>
        <v>1</v>
      </c>
      <c r="H15" s="291" t="s">
        <v>1109</v>
      </c>
      <c r="I15" s="365" t="s">
        <v>406</v>
      </c>
    </row>
    <row r="16" spans="1:9" ht="16.5" thickTop="1" thickBot="1" x14ac:dyDescent="0.3">
      <c r="A16" s="311"/>
      <c r="B16" s="152" t="s">
        <v>22</v>
      </c>
      <c r="C16" s="152">
        <v>1440</v>
      </c>
      <c r="D16" s="152">
        <v>259</v>
      </c>
      <c r="E16" s="152">
        <v>1</v>
      </c>
      <c r="F16" s="152"/>
      <c r="G16" s="245">
        <f t="shared" si="0"/>
        <v>1</v>
      </c>
      <c r="H16" s="292" t="s">
        <v>1110</v>
      </c>
      <c r="I16" s="365"/>
    </row>
    <row r="17" spans="1:9" ht="16.5" thickTop="1" thickBot="1" x14ac:dyDescent="0.3">
      <c r="A17" s="311"/>
      <c r="B17" s="152" t="s">
        <v>18</v>
      </c>
      <c r="C17" s="152">
        <v>1440</v>
      </c>
      <c r="D17" s="152">
        <v>281</v>
      </c>
      <c r="E17" s="152">
        <v>2</v>
      </c>
      <c r="F17" s="152">
        <v>2</v>
      </c>
      <c r="G17" s="245">
        <f t="shared" si="0"/>
        <v>0</v>
      </c>
      <c r="H17" s="292" t="s">
        <v>1111</v>
      </c>
      <c r="I17" s="365"/>
    </row>
    <row r="18" spans="1:9" ht="16.5" thickTop="1" thickBot="1" x14ac:dyDescent="0.3">
      <c r="A18" s="311"/>
      <c r="B18" s="152" t="s">
        <v>19</v>
      </c>
      <c r="C18" s="152">
        <v>1440</v>
      </c>
      <c r="D18" s="152">
        <v>391</v>
      </c>
      <c r="E18" s="152">
        <v>1</v>
      </c>
      <c r="F18" s="152">
        <v>1</v>
      </c>
      <c r="G18" s="245">
        <f t="shared" si="0"/>
        <v>0</v>
      </c>
      <c r="H18" s="292" t="s">
        <v>1112</v>
      </c>
      <c r="I18" s="365"/>
    </row>
    <row r="19" spans="1:9" ht="16.5" thickTop="1" thickBot="1" x14ac:dyDescent="0.3">
      <c r="A19" s="311"/>
      <c r="B19" s="152" t="s">
        <v>0</v>
      </c>
      <c r="C19" s="152">
        <v>1440</v>
      </c>
      <c r="D19" s="152">
        <v>499</v>
      </c>
      <c r="E19" s="152">
        <v>1</v>
      </c>
      <c r="F19" s="152"/>
      <c r="G19" s="245">
        <f t="shared" si="0"/>
        <v>1</v>
      </c>
      <c r="H19" s="292" t="s">
        <v>1113</v>
      </c>
      <c r="I19" s="365"/>
    </row>
    <row r="20" spans="1:9" ht="16.5" thickTop="1" thickBot="1" x14ac:dyDescent="0.3">
      <c r="A20" s="312"/>
      <c r="B20" s="126" t="s">
        <v>1</v>
      </c>
      <c r="C20" s="126">
        <v>1440</v>
      </c>
      <c r="D20" s="126">
        <v>803</v>
      </c>
      <c r="E20" s="126">
        <v>1</v>
      </c>
      <c r="F20" s="126"/>
      <c r="G20" s="246">
        <f t="shared" si="0"/>
        <v>1</v>
      </c>
      <c r="H20" s="295" t="s">
        <v>1114</v>
      </c>
      <c r="I20" s="365"/>
    </row>
    <row r="21" spans="1:9" ht="16.5" thickTop="1" thickBot="1" x14ac:dyDescent="0.3">
      <c r="A21" s="310" t="s">
        <v>585</v>
      </c>
      <c r="B21" s="151" t="s">
        <v>21</v>
      </c>
      <c r="C21" s="151">
        <v>1440</v>
      </c>
      <c r="D21" s="151">
        <v>221</v>
      </c>
      <c r="E21" s="151">
        <v>2</v>
      </c>
      <c r="F21" s="151">
        <v>1</v>
      </c>
      <c r="G21" s="243">
        <f t="shared" si="0"/>
        <v>1</v>
      </c>
      <c r="H21" s="291" t="s">
        <v>1115</v>
      </c>
      <c r="I21" s="365" t="s">
        <v>408</v>
      </c>
    </row>
    <row r="22" spans="1:9" ht="16.5" thickTop="1" thickBot="1" x14ac:dyDescent="0.3">
      <c r="A22" s="311"/>
      <c r="B22" s="152" t="s">
        <v>22</v>
      </c>
      <c r="C22" s="152">
        <v>1440</v>
      </c>
      <c r="D22" s="152">
        <v>259</v>
      </c>
      <c r="E22" s="152">
        <v>2</v>
      </c>
      <c r="F22" s="152">
        <v>1</v>
      </c>
      <c r="G22" s="245">
        <f t="shared" si="0"/>
        <v>1</v>
      </c>
      <c r="H22" s="292" t="s">
        <v>1116</v>
      </c>
      <c r="I22" s="365"/>
    </row>
    <row r="23" spans="1:9" ht="16.5" thickTop="1" thickBot="1" x14ac:dyDescent="0.3">
      <c r="A23" s="311"/>
      <c r="B23" s="152" t="s">
        <v>18</v>
      </c>
      <c r="C23" s="152">
        <v>1440</v>
      </c>
      <c r="D23" s="152">
        <v>281</v>
      </c>
      <c r="E23" s="152">
        <v>2</v>
      </c>
      <c r="F23" s="152"/>
      <c r="G23" s="245">
        <f t="shared" si="0"/>
        <v>2</v>
      </c>
      <c r="H23" s="292" t="s">
        <v>1117</v>
      </c>
      <c r="I23" s="365"/>
    </row>
    <row r="24" spans="1:9" ht="16.5" thickTop="1" thickBot="1" x14ac:dyDescent="0.3">
      <c r="A24" s="311"/>
      <c r="B24" s="152" t="s">
        <v>19</v>
      </c>
      <c r="C24" s="152">
        <v>1440</v>
      </c>
      <c r="D24" s="152">
        <v>391</v>
      </c>
      <c r="E24" s="152">
        <v>2</v>
      </c>
      <c r="F24" s="152"/>
      <c r="G24" s="245">
        <f t="shared" si="0"/>
        <v>2</v>
      </c>
      <c r="H24" s="292" t="s">
        <v>1118</v>
      </c>
      <c r="I24" s="365"/>
    </row>
    <row r="25" spans="1:9" ht="16.5" thickTop="1" thickBot="1" x14ac:dyDescent="0.3">
      <c r="A25" s="311"/>
      <c r="B25" s="152" t="s">
        <v>0</v>
      </c>
      <c r="C25" s="152">
        <v>1440</v>
      </c>
      <c r="D25" s="152">
        <v>499</v>
      </c>
      <c r="E25" s="152">
        <v>1</v>
      </c>
      <c r="F25" s="152"/>
      <c r="G25" s="245">
        <f t="shared" si="0"/>
        <v>1</v>
      </c>
      <c r="H25" s="292" t="s">
        <v>1119</v>
      </c>
      <c r="I25" s="365"/>
    </row>
    <row r="26" spans="1:9" ht="16.5" thickTop="1" thickBot="1" x14ac:dyDescent="0.3">
      <c r="A26" s="311"/>
      <c r="B26" s="152" t="s">
        <v>1</v>
      </c>
      <c r="C26" s="152">
        <v>1440</v>
      </c>
      <c r="D26" s="152">
        <v>803</v>
      </c>
      <c r="E26" s="152">
        <v>1</v>
      </c>
      <c r="F26" s="152"/>
      <c r="G26" s="245">
        <f t="shared" si="0"/>
        <v>1</v>
      </c>
      <c r="H26" s="292" t="s">
        <v>1120</v>
      </c>
      <c r="I26" s="365"/>
    </row>
    <row r="27" spans="1:9" ht="16.5" thickTop="1" thickBot="1" x14ac:dyDescent="0.3">
      <c r="A27" s="312"/>
      <c r="B27" s="126" t="s">
        <v>2</v>
      </c>
      <c r="C27" s="126">
        <v>288</v>
      </c>
      <c r="D27" s="126">
        <v>471</v>
      </c>
      <c r="E27" s="126">
        <v>1</v>
      </c>
      <c r="F27" s="126"/>
      <c r="G27" s="246">
        <f t="shared" si="0"/>
        <v>1</v>
      </c>
      <c r="H27" s="295" t="s">
        <v>1121</v>
      </c>
      <c r="I27" s="365"/>
    </row>
    <row r="28" spans="1:9" ht="15.75" thickTop="1" x14ac:dyDescent="0.25">
      <c r="A28" s="304" t="s">
        <v>94</v>
      </c>
      <c r="B28" s="151" t="s">
        <v>0</v>
      </c>
      <c r="C28" s="151">
        <v>1440</v>
      </c>
      <c r="D28" s="151">
        <v>453</v>
      </c>
      <c r="E28" s="151">
        <v>5</v>
      </c>
      <c r="F28" s="151">
        <v>1</v>
      </c>
      <c r="G28" s="243">
        <f t="shared" si="0"/>
        <v>4</v>
      </c>
      <c r="H28" s="291" t="s">
        <v>1122</v>
      </c>
      <c r="I28" s="362" t="s">
        <v>409</v>
      </c>
    </row>
    <row r="29" spans="1:9" x14ac:dyDescent="0.25">
      <c r="A29" s="305"/>
      <c r="B29" s="152" t="s">
        <v>1</v>
      </c>
      <c r="C29" s="152">
        <v>1440</v>
      </c>
      <c r="D29" s="152">
        <v>726</v>
      </c>
      <c r="E29" s="152">
        <f>5+1</f>
        <v>6</v>
      </c>
      <c r="F29" s="34">
        <v>1</v>
      </c>
      <c r="G29" s="245">
        <f t="shared" si="0"/>
        <v>5</v>
      </c>
      <c r="H29" s="292" t="s">
        <v>1123</v>
      </c>
      <c r="I29" s="363"/>
    </row>
    <row r="30" spans="1:9" ht="15.75" thickBot="1" x14ac:dyDescent="0.3">
      <c r="A30" s="306"/>
      <c r="B30" s="126" t="s">
        <v>2</v>
      </c>
      <c r="C30" s="126">
        <v>288</v>
      </c>
      <c r="D30" s="126">
        <v>424</v>
      </c>
      <c r="E30" s="126">
        <v>5</v>
      </c>
      <c r="F30" s="33">
        <v>1</v>
      </c>
      <c r="G30" s="246">
        <f>E30-F30</f>
        <v>4</v>
      </c>
      <c r="H30" s="295" t="s">
        <v>1124</v>
      </c>
      <c r="I30" s="364"/>
    </row>
    <row r="31" spans="1:9" ht="16.5" thickTop="1" thickBot="1" x14ac:dyDescent="0.3">
      <c r="A31" s="304" t="s">
        <v>184</v>
      </c>
      <c r="B31" s="151" t="s">
        <v>21</v>
      </c>
      <c r="C31" s="112">
        <v>1440</v>
      </c>
      <c r="D31" s="151">
        <v>369</v>
      </c>
      <c r="E31" s="45">
        <v>50</v>
      </c>
      <c r="F31" s="112">
        <f>1+1+1</f>
        <v>3</v>
      </c>
      <c r="G31" s="243">
        <f t="shared" si="0"/>
        <v>47</v>
      </c>
      <c r="H31" s="291" t="s">
        <v>1125</v>
      </c>
      <c r="I31" s="366" t="s">
        <v>410</v>
      </c>
    </row>
    <row r="32" spans="1:9" ht="16.5" thickTop="1" thickBot="1" x14ac:dyDescent="0.3">
      <c r="A32" s="305"/>
      <c r="B32" s="152" t="s">
        <v>18</v>
      </c>
      <c r="C32" s="114">
        <v>1440</v>
      </c>
      <c r="D32" s="152">
        <v>545</v>
      </c>
      <c r="E32" s="83">
        <v>20</v>
      </c>
      <c r="F32" s="114">
        <f>1+1+1+1</f>
        <v>4</v>
      </c>
      <c r="G32" s="245">
        <f t="shared" si="0"/>
        <v>16</v>
      </c>
      <c r="H32" s="292" t="s">
        <v>1126</v>
      </c>
      <c r="I32" s="366"/>
    </row>
    <row r="33" spans="1:9" ht="16.5" thickTop="1" thickBot="1" x14ac:dyDescent="0.3">
      <c r="A33" s="305"/>
      <c r="B33" s="152" t="s">
        <v>19</v>
      </c>
      <c r="C33" s="114">
        <v>1440</v>
      </c>
      <c r="D33" s="152">
        <v>749</v>
      </c>
      <c r="E33" s="83">
        <v>30</v>
      </c>
      <c r="F33" s="114">
        <f>1+1</f>
        <v>2</v>
      </c>
      <c r="G33" s="245">
        <f t="shared" si="0"/>
        <v>28</v>
      </c>
      <c r="H33" s="292" t="s">
        <v>1127</v>
      </c>
      <c r="I33" s="366"/>
    </row>
    <row r="34" spans="1:9" ht="16.5" thickTop="1" thickBot="1" x14ac:dyDescent="0.3">
      <c r="A34" s="306"/>
      <c r="B34" s="126" t="s">
        <v>1</v>
      </c>
      <c r="C34" s="116">
        <v>1440</v>
      </c>
      <c r="D34" s="126">
        <v>1513</v>
      </c>
      <c r="E34" s="46">
        <v>30</v>
      </c>
      <c r="F34" s="116">
        <f>1+1</f>
        <v>2</v>
      </c>
      <c r="G34" s="246">
        <f t="shared" si="0"/>
        <v>28</v>
      </c>
      <c r="H34" s="295" t="s">
        <v>1128</v>
      </c>
      <c r="I34" s="366"/>
    </row>
    <row r="35" spans="1:9" ht="31.5" thickTop="1" thickBot="1" x14ac:dyDescent="0.3">
      <c r="A35" s="36" t="s">
        <v>95</v>
      </c>
      <c r="B35" s="31" t="s">
        <v>1</v>
      </c>
      <c r="C35" s="31">
        <v>1440</v>
      </c>
      <c r="D35" s="148">
        <v>628</v>
      </c>
      <c r="E35" s="31">
        <v>1</v>
      </c>
      <c r="F35" s="35"/>
      <c r="G35" s="256">
        <f t="shared" si="0"/>
        <v>1</v>
      </c>
      <c r="H35" s="288" t="s">
        <v>1129</v>
      </c>
      <c r="I35" s="257">
        <v>255</v>
      </c>
    </row>
    <row r="36" spans="1:9" ht="16.5" thickTop="1" thickBot="1" x14ac:dyDescent="0.3">
      <c r="A36" s="304" t="s">
        <v>145</v>
      </c>
      <c r="B36" s="151" t="s">
        <v>90</v>
      </c>
      <c r="C36" s="112">
        <v>1440</v>
      </c>
      <c r="D36" s="151">
        <v>166</v>
      </c>
      <c r="E36" s="112">
        <v>47</v>
      </c>
      <c r="F36" s="32"/>
      <c r="G36" s="243">
        <f t="shared" si="0"/>
        <v>47</v>
      </c>
      <c r="H36" s="291" t="s">
        <v>1130</v>
      </c>
      <c r="I36" s="365">
        <v>110</v>
      </c>
    </row>
    <row r="37" spans="1:9" ht="16.5" thickTop="1" thickBot="1" x14ac:dyDescent="0.3">
      <c r="A37" s="306"/>
      <c r="B37" s="126" t="s">
        <v>89</v>
      </c>
      <c r="C37" s="126">
        <v>1440</v>
      </c>
      <c r="D37" s="126">
        <v>166</v>
      </c>
      <c r="E37" s="126">
        <v>40</v>
      </c>
      <c r="F37" s="33"/>
      <c r="G37" s="246">
        <f>E37-F37</f>
        <v>40</v>
      </c>
      <c r="H37" s="295" t="s">
        <v>1131</v>
      </c>
      <c r="I37" s="365"/>
    </row>
    <row r="38" spans="1:9" ht="16.5" thickTop="1" thickBot="1" x14ac:dyDescent="0.3">
      <c r="A38" s="310" t="s">
        <v>185</v>
      </c>
      <c r="B38" s="151" t="s">
        <v>21</v>
      </c>
      <c r="C38" s="151">
        <v>1440</v>
      </c>
      <c r="D38" s="151">
        <v>319</v>
      </c>
      <c r="E38" s="151">
        <v>20</v>
      </c>
      <c r="F38" s="32">
        <f>2+1+3+1+1+1+1+2</f>
        <v>12</v>
      </c>
      <c r="G38" s="243">
        <f t="shared" ref="G38:G49" si="1">E38-F38</f>
        <v>8</v>
      </c>
      <c r="H38" s="291" t="s">
        <v>1132</v>
      </c>
      <c r="I38" s="365" t="s">
        <v>411</v>
      </c>
    </row>
    <row r="39" spans="1:9" ht="16.5" thickTop="1" thickBot="1" x14ac:dyDescent="0.3">
      <c r="A39" s="311"/>
      <c r="B39" s="152" t="s">
        <v>22</v>
      </c>
      <c r="C39" s="152">
        <v>1440</v>
      </c>
      <c r="D39" s="152">
        <v>413</v>
      </c>
      <c r="E39" s="152">
        <v>20</v>
      </c>
      <c r="F39" s="34"/>
      <c r="G39" s="245">
        <f t="shared" si="1"/>
        <v>20</v>
      </c>
      <c r="H39" s="292" t="s">
        <v>1133</v>
      </c>
      <c r="I39" s="365"/>
    </row>
    <row r="40" spans="1:9" ht="16.5" thickTop="1" thickBot="1" x14ac:dyDescent="0.3">
      <c r="A40" s="311"/>
      <c r="B40" s="152" t="s">
        <v>18</v>
      </c>
      <c r="C40" s="152">
        <v>1440</v>
      </c>
      <c r="D40" s="152">
        <v>457</v>
      </c>
      <c r="E40" s="152">
        <v>20</v>
      </c>
      <c r="F40" s="34">
        <v>1</v>
      </c>
      <c r="G40" s="245">
        <f t="shared" si="1"/>
        <v>19</v>
      </c>
      <c r="H40" s="292" t="s">
        <v>1134</v>
      </c>
      <c r="I40" s="365"/>
    </row>
    <row r="41" spans="1:9" ht="16.5" thickTop="1" thickBot="1" x14ac:dyDescent="0.3">
      <c r="A41" s="311"/>
      <c r="B41" s="152" t="s">
        <v>19</v>
      </c>
      <c r="C41" s="152">
        <v>1440</v>
      </c>
      <c r="D41" s="152">
        <v>558</v>
      </c>
      <c r="E41" s="152">
        <v>20</v>
      </c>
      <c r="F41" s="34"/>
      <c r="G41" s="245">
        <f t="shared" si="1"/>
        <v>20</v>
      </c>
      <c r="H41" s="292" t="s">
        <v>1135</v>
      </c>
      <c r="I41" s="365"/>
    </row>
    <row r="42" spans="1:9" ht="16.5" thickTop="1" thickBot="1" x14ac:dyDescent="0.3">
      <c r="A42" s="311"/>
      <c r="B42" s="152" t="s">
        <v>0</v>
      </c>
      <c r="C42" s="152">
        <v>1440</v>
      </c>
      <c r="D42" s="152">
        <v>803</v>
      </c>
      <c r="E42" s="152">
        <v>20</v>
      </c>
      <c r="F42" s="34"/>
      <c r="G42" s="245">
        <f t="shared" si="1"/>
        <v>20</v>
      </c>
      <c r="H42" s="292" t="s">
        <v>1136</v>
      </c>
      <c r="I42" s="365"/>
    </row>
    <row r="43" spans="1:9" ht="16.5" thickTop="1" thickBot="1" x14ac:dyDescent="0.3">
      <c r="A43" s="311"/>
      <c r="B43" s="152" t="s">
        <v>1</v>
      </c>
      <c r="C43" s="152">
        <v>1440</v>
      </c>
      <c r="D43" s="152">
        <v>969</v>
      </c>
      <c r="E43" s="152">
        <v>14</v>
      </c>
      <c r="F43" s="152"/>
      <c r="G43" s="245">
        <f t="shared" si="1"/>
        <v>14</v>
      </c>
      <c r="H43" s="292" t="s">
        <v>1137</v>
      </c>
      <c r="I43" s="365"/>
    </row>
    <row r="44" spans="1:9" ht="16.5" thickTop="1" thickBot="1" x14ac:dyDescent="0.3">
      <c r="A44" s="312"/>
      <c r="B44" s="126" t="s">
        <v>2</v>
      </c>
      <c r="C44" s="126">
        <v>288</v>
      </c>
      <c r="D44" s="126">
        <v>773</v>
      </c>
      <c r="E44" s="126">
        <v>19</v>
      </c>
      <c r="F44" s="126"/>
      <c r="G44" s="246">
        <f t="shared" si="1"/>
        <v>19</v>
      </c>
      <c r="H44" s="295" t="s">
        <v>1138</v>
      </c>
      <c r="I44" s="365"/>
    </row>
    <row r="45" spans="1:9" ht="16.5" thickTop="1" thickBot="1" x14ac:dyDescent="0.3">
      <c r="A45" s="304" t="s">
        <v>186</v>
      </c>
      <c r="B45" s="151" t="s">
        <v>21</v>
      </c>
      <c r="C45" s="151">
        <v>1440</v>
      </c>
      <c r="D45" s="151">
        <v>319</v>
      </c>
      <c r="E45" s="151">
        <f>10+20</f>
        <v>30</v>
      </c>
      <c r="F45" s="151">
        <f>1+1+1+2+2+1+5+2+1+1+1+1</f>
        <v>19</v>
      </c>
      <c r="G45" s="243">
        <f t="shared" si="1"/>
        <v>11</v>
      </c>
      <c r="H45" s="291" t="s">
        <v>1139</v>
      </c>
      <c r="I45" s="365" t="s">
        <v>412</v>
      </c>
    </row>
    <row r="46" spans="1:9" ht="16.5" thickTop="1" thickBot="1" x14ac:dyDescent="0.3">
      <c r="A46" s="305"/>
      <c r="B46" s="153" t="s">
        <v>22</v>
      </c>
      <c r="C46" s="153">
        <v>1440</v>
      </c>
      <c r="D46" s="153">
        <v>400</v>
      </c>
      <c r="E46" s="153">
        <v>10</v>
      </c>
      <c r="F46" s="153"/>
      <c r="G46" s="244">
        <f>E46-F46</f>
        <v>10</v>
      </c>
      <c r="H46" s="292" t="s">
        <v>1140</v>
      </c>
      <c r="I46" s="365"/>
    </row>
    <row r="47" spans="1:9" ht="16.5" thickTop="1" thickBot="1" x14ac:dyDescent="0.3">
      <c r="A47" s="305"/>
      <c r="B47" s="152" t="s">
        <v>18</v>
      </c>
      <c r="C47" s="152">
        <v>1440</v>
      </c>
      <c r="D47" s="152">
        <v>457</v>
      </c>
      <c r="E47" s="152">
        <f>10+20</f>
        <v>30</v>
      </c>
      <c r="F47" s="152">
        <f>1+1+1+1+1+1+1+1+1</f>
        <v>9</v>
      </c>
      <c r="G47" s="245">
        <f t="shared" si="1"/>
        <v>21</v>
      </c>
      <c r="H47" s="292" t="s">
        <v>1141</v>
      </c>
      <c r="I47" s="365"/>
    </row>
    <row r="48" spans="1:9" ht="16.5" thickTop="1" thickBot="1" x14ac:dyDescent="0.3">
      <c r="A48" s="305"/>
      <c r="B48" s="152" t="s">
        <v>19</v>
      </c>
      <c r="C48" s="152">
        <v>1440</v>
      </c>
      <c r="D48" s="152">
        <v>601</v>
      </c>
      <c r="E48" s="152">
        <v>10</v>
      </c>
      <c r="F48" s="152"/>
      <c r="G48" s="245">
        <f t="shared" si="1"/>
        <v>10</v>
      </c>
      <c r="H48" s="292" t="s">
        <v>1142</v>
      </c>
      <c r="I48" s="365"/>
    </row>
    <row r="49" spans="1:9" ht="16.5" thickTop="1" thickBot="1" x14ac:dyDescent="0.3">
      <c r="A49" s="305"/>
      <c r="B49" s="152" t="s">
        <v>0</v>
      </c>
      <c r="C49" s="152">
        <v>1440</v>
      </c>
      <c r="D49" s="152">
        <v>802</v>
      </c>
      <c r="E49" s="152">
        <f>10+20</f>
        <v>30</v>
      </c>
      <c r="F49" s="152">
        <f>1+1+2+1+1+1+1+1+1+1</f>
        <v>11</v>
      </c>
      <c r="G49" s="245">
        <f t="shared" si="1"/>
        <v>19</v>
      </c>
      <c r="H49" s="292" t="s">
        <v>1143</v>
      </c>
      <c r="I49" s="365"/>
    </row>
    <row r="50" spans="1:9" ht="16.5" thickTop="1" thickBot="1" x14ac:dyDescent="0.3">
      <c r="A50" s="305"/>
      <c r="B50" s="152" t="s">
        <v>1</v>
      </c>
      <c r="C50" s="152">
        <v>1440</v>
      </c>
      <c r="D50" s="152">
        <v>1023</v>
      </c>
      <c r="E50" s="152">
        <f>10+11</f>
        <v>21</v>
      </c>
      <c r="F50" s="152">
        <f>1+1+1+7+1+1+1</f>
        <v>13</v>
      </c>
      <c r="G50" s="245">
        <f t="shared" ref="G50:G78" si="2">E50-F50</f>
        <v>8</v>
      </c>
      <c r="H50" s="292" t="s">
        <v>1144</v>
      </c>
      <c r="I50" s="365"/>
    </row>
    <row r="51" spans="1:9" ht="16.5" thickTop="1" thickBot="1" x14ac:dyDescent="0.3">
      <c r="A51" s="305"/>
      <c r="B51" s="154" t="s">
        <v>2</v>
      </c>
      <c r="C51" s="154">
        <v>288</v>
      </c>
      <c r="D51" s="154">
        <v>773</v>
      </c>
      <c r="E51" s="154">
        <v>20</v>
      </c>
      <c r="F51" s="154">
        <f>1+1</f>
        <v>2</v>
      </c>
      <c r="G51" s="247">
        <f t="shared" si="2"/>
        <v>18</v>
      </c>
      <c r="H51" s="295" t="s">
        <v>1145</v>
      </c>
      <c r="I51" s="362"/>
    </row>
    <row r="52" spans="1:9" ht="15.75" thickTop="1" x14ac:dyDescent="0.25">
      <c r="A52" s="310" t="s">
        <v>187</v>
      </c>
      <c r="B52" s="151" t="s">
        <v>21</v>
      </c>
      <c r="C52" s="151">
        <v>1440</v>
      </c>
      <c r="D52" s="151">
        <v>319</v>
      </c>
      <c r="E52" s="151">
        <v>10</v>
      </c>
      <c r="F52" s="151"/>
      <c r="G52" s="243">
        <f>E52-F52</f>
        <v>10</v>
      </c>
      <c r="H52" s="291" t="s">
        <v>1146</v>
      </c>
      <c r="I52" s="367" t="s">
        <v>413</v>
      </c>
    </row>
    <row r="53" spans="1:9" x14ac:dyDescent="0.25">
      <c r="A53" s="311"/>
      <c r="B53" s="153" t="s">
        <v>22</v>
      </c>
      <c r="C53" s="153">
        <v>1440</v>
      </c>
      <c r="D53" s="153">
        <v>413</v>
      </c>
      <c r="E53" s="153">
        <f>10+20</f>
        <v>30</v>
      </c>
      <c r="F53" s="153">
        <f>1+1+3+1+1</f>
        <v>7</v>
      </c>
      <c r="G53" s="245">
        <f t="shared" si="2"/>
        <v>23</v>
      </c>
      <c r="H53" s="292" t="s">
        <v>1147</v>
      </c>
      <c r="I53" s="368"/>
    </row>
    <row r="54" spans="1:9" x14ac:dyDescent="0.25">
      <c r="A54" s="311"/>
      <c r="B54" s="152" t="s">
        <v>18</v>
      </c>
      <c r="C54" s="152">
        <v>1440</v>
      </c>
      <c r="D54" s="152">
        <v>468</v>
      </c>
      <c r="E54" s="152">
        <f>10+20</f>
        <v>30</v>
      </c>
      <c r="F54" s="152">
        <f>1+1+1+1</f>
        <v>4</v>
      </c>
      <c r="G54" s="245">
        <f t="shared" si="2"/>
        <v>26</v>
      </c>
      <c r="H54" s="292" t="s">
        <v>1148</v>
      </c>
      <c r="I54" s="368"/>
    </row>
    <row r="55" spans="1:9" x14ac:dyDescent="0.25">
      <c r="A55" s="311"/>
      <c r="B55" s="152" t="s">
        <v>19</v>
      </c>
      <c r="C55" s="152">
        <v>1440</v>
      </c>
      <c r="D55" s="152">
        <v>558</v>
      </c>
      <c r="E55" s="152">
        <f>10+20</f>
        <v>30</v>
      </c>
      <c r="F55" s="152">
        <v>1</v>
      </c>
      <c r="G55" s="245">
        <f t="shared" si="2"/>
        <v>29</v>
      </c>
      <c r="H55" s="292" t="s">
        <v>1149</v>
      </c>
      <c r="I55" s="368"/>
    </row>
    <row r="56" spans="1:9" x14ac:dyDescent="0.25">
      <c r="A56" s="311"/>
      <c r="B56" s="152" t="s">
        <v>0</v>
      </c>
      <c r="C56" s="152">
        <v>1440</v>
      </c>
      <c r="D56" s="152">
        <v>803</v>
      </c>
      <c r="E56" s="152">
        <f>10+20</f>
        <v>30</v>
      </c>
      <c r="F56" s="152">
        <f>1+1+1+1</f>
        <v>4</v>
      </c>
      <c r="G56" s="245">
        <f t="shared" si="2"/>
        <v>26</v>
      </c>
      <c r="H56" s="292" t="s">
        <v>1150</v>
      </c>
      <c r="I56" s="368"/>
    </row>
    <row r="57" spans="1:9" ht="15.75" thickBot="1" x14ac:dyDescent="0.3">
      <c r="A57" s="312"/>
      <c r="B57" s="126" t="s">
        <v>1</v>
      </c>
      <c r="C57" s="126">
        <v>1440</v>
      </c>
      <c r="D57" s="126">
        <v>1023</v>
      </c>
      <c r="E57" s="126">
        <f>10+11</f>
        <v>21</v>
      </c>
      <c r="F57" s="126">
        <f>1+1</f>
        <v>2</v>
      </c>
      <c r="G57" s="246">
        <f t="shared" si="2"/>
        <v>19</v>
      </c>
      <c r="H57" s="295" t="s">
        <v>1151</v>
      </c>
      <c r="I57" s="369"/>
    </row>
    <row r="58" spans="1:9" ht="16.5" thickTop="1" thickBot="1" x14ac:dyDescent="0.3">
      <c r="A58" s="304" t="s">
        <v>213</v>
      </c>
      <c r="B58" s="151" t="s">
        <v>21</v>
      </c>
      <c r="C58" s="151">
        <v>1440</v>
      </c>
      <c r="D58" s="151">
        <v>319</v>
      </c>
      <c r="E58" s="151">
        <v>20</v>
      </c>
      <c r="F58" s="151">
        <f>1+1</f>
        <v>2</v>
      </c>
      <c r="G58" s="243">
        <f t="shared" si="2"/>
        <v>18</v>
      </c>
      <c r="H58" s="291" t="s">
        <v>2143</v>
      </c>
      <c r="I58" s="365" t="s">
        <v>414</v>
      </c>
    </row>
    <row r="59" spans="1:9" ht="16.5" thickTop="1" thickBot="1" x14ac:dyDescent="0.3">
      <c r="A59" s="305"/>
      <c r="B59" s="152" t="s">
        <v>22</v>
      </c>
      <c r="C59" s="152">
        <v>1440</v>
      </c>
      <c r="D59" s="152">
        <v>413</v>
      </c>
      <c r="E59" s="152">
        <v>20</v>
      </c>
      <c r="F59" s="152"/>
      <c r="G59" s="245">
        <f t="shared" si="2"/>
        <v>20</v>
      </c>
      <c r="H59" s="292" t="s">
        <v>2144</v>
      </c>
      <c r="I59" s="365"/>
    </row>
    <row r="60" spans="1:9" ht="16.5" thickTop="1" thickBot="1" x14ac:dyDescent="0.3">
      <c r="A60" s="305"/>
      <c r="B60" s="152" t="s">
        <v>18</v>
      </c>
      <c r="C60" s="152">
        <v>1440</v>
      </c>
      <c r="D60" s="152">
        <v>457</v>
      </c>
      <c r="E60" s="152">
        <v>20</v>
      </c>
      <c r="F60" s="152"/>
      <c r="G60" s="245">
        <f t="shared" si="2"/>
        <v>20</v>
      </c>
      <c r="H60" s="292" t="s">
        <v>2145</v>
      </c>
      <c r="I60" s="365"/>
    </row>
    <row r="61" spans="1:9" ht="16.5" thickTop="1" thickBot="1" x14ac:dyDescent="0.3">
      <c r="A61" s="305"/>
      <c r="B61" s="152" t="s">
        <v>19</v>
      </c>
      <c r="C61" s="152">
        <v>1440</v>
      </c>
      <c r="D61" s="152">
        <v>558</v>
      </c>
      <c r="E61" s="152">
        <v>20</v>
      </c>
      <c r="F61" s="152"/>
      <c r="G61" s="245">
        <f t="shared" si="2"/>
        <v>20</v>
      </c>
      <c r="H61" s="292" t="s">
        <v>2146</v>
      </c>
      <c r="I61" s="365"/>
    </row>
    <row r="62" spans="1:9" ht="16.5" thickTop="1" thickBot="1" x14ac:dyDescent="0.3">
      <c r="A62" s="305"/>
      <c r="B62" s="83" t="s">
        <v>0</v>
      </c>
      <c r="C62" s="152">
        <v>1440</v>
      </c>
      <c r="D62" s="152">
        <v>803</v>
      </c>
      <c r="E62" s="152">
        <v>20</v>
      </c>
      <c r="F62" s="152"/>
      <c r="G62" s="245">
        <f t="shared" si="2"/>
        <v>20</v>
      </c>
      <c r="H62" s="292" t="s">
        <v>2147</v>
      </c>
      <c r="I62" s="365"/>
    </row>
    <row r="63" spans="1:9" ht="16.5" thickTop="1" thickBot="1" x14ac:dyDescent="0.3">
      <c r="A63" s="305"/>
      <c r="B63" s="152" t="s">
        <v>1</v>
      </c>
      <c r="C63" s="152">
        <v>1440</v>
      </c>
      <c r="D63" s="152">
        <v>1023</v>
      </c>
      <c r="E63" s="152">
        <v>19</v>
      </c>
      <c r="F63" s="152">
        <v>1</v>
      </c>
      <c r="G63" s="245">
        <f t="shared" si="2"/>
        <v>18</v>
      </c>
      <c r="H63" s="292" t="s">
        <v>2148</v>
      </c>
      <c r="I63" s="365"/>
    </row>
    <row r="64" spans="1:9" ht="16.5" thickTop="1" thickBot="1" x14ac:dyDescent="0.3">
      <c r="A64" s="306"/>
      <c r="B64" s="126" t="s">
        <v>2</v>
      </c>
      <c r="C64" s="126">
        <v>288</v>
      </c>
      <c r="D64" s="126">
        <v>773</v>
      </c>
      <c r="E64" s="126">
        <v>20</v>
      </c>
      <c r="F64" s="126"/>
      <c r="G64" s="246">
        <f t="shared" si="2"/>
        <v>20</v>
      </c>
      <c r="H64" s="295" t="s">
        <v>2149</v>
      </c>
      <c r="I64" s="365"/>
    </row>
    <row r="65" spans="1:9" ht="16.5" thickTop="1" thickBot="1" x14ac:dyDescent="0.3">
      <c r="A65" s="304" t="s">
        <v>1152</v>
      </c>
      <c r="B65" s="151" t="s">
        <v>21</v>
      </c>
      <c r="C65" s="151">
        <v>1440</v>
      </c>
      <c r="D65" s="151">
        <v>319</v>
      </c>
      <c r="E65" s="151">
        <v>20</v>
      </c>
      <c r="F65" s="151">
        <f>1+1+1+1+1</f>
        <v>5</v>
      </c>
      <c r="G65" s="244">
        <f t="shared" si="2"/>
        <v>15</v>
      </c>
      <c r="H65" s="291" t="s">
        <v>1153</v>
      </c>
      <c r="I65" s="365" t="s">
        <v>415</v>
      </c>
    </row>
    <row r="66" spans="1:9" ht="16.5" thickTop="1" thickBot="1" x14ac:dyDescent="0.3">
      <c r="A66" s="305"/>
      <c r="B66" s="152" t="s">
        <v>22</v>
      </c>
      <c r="C66" s="152">
        <v>1440</v>
      </c>
      <c r="D66" s="152">
        <v>413</v>
      </c>
      <c r="E66" s="152">
        <f>20</f>
        <v>20</v>
      </c>
      <c r="F66" s="152">
        <f>1+1+1</f>
        <v>3</v>
      </c>
      <c r="G66" s="245">
        <f t="shared" si="2"/>
        <v>17</v>
      </c>
      <c r="H66" s="292" t="s">
        <v>1154</v>
      </c>
      <c r="I66" s="365"/>
    </row>
    <row r="67" spans="1:9" ht="16.5" thickTop="1" thickBot="1" x14ac:dyDescent="0.3">
      <c r="A67" s="305"/>
      <c r="B67" s="152" t="s">
        <v>18</v>
      </c>
      <c r="C67" s="152">
        <v>1440</v>
      </c>
      <c r="D67" s="152">
        <v>457</v>
      </c>
      <c r="E67" s="152">
        <v>20</v>
      </c>
      <c r="F67" s="152">
        <v>1</v>
      </c>
      <c r="G67" s="245">
        <f t="shared" si="2"/>
        <v>19</v>
      </c>
      <c r="H67" s="292" t="s">
        <v>1155</v>
      </c>
      <c r="I67" s="365"/>
    </row>
    <row r="68" spans="1:9" ht="16.5" thickTop="1" thickBot="1" x14ac:dyDescent="0.3">
      <c r="A68" s="305"/>
      <c r="B68" s="152" t="s">
        <v>19</v>
      </c>
      <c r="C68" s="152">
        <v>1440</v>
      </c>
      <c r="D68" s="152">
        <v>558</v>
      </c>
      <c r="E68" s="152">
        <v>20</v>
      </c>
      <c r="F68" s="152">
        <v>1</v>
      </c>
      <c r="G68" s="245">
        <f t="shared" si="2"/>
        <v>19</v>
      </c>
      <c r="H68" s="292" t="s">
        <v>1156</v>
      </c>
      <c r="I68" s="365"/>
    </row>
    <row r="69" spans="1:9" ht="16.5" thickTop="1" thickBot="1" x14ac:dyDescent="0.3">
      <c r="A69" s="305"/>
      <c r="B69" s="152" t="s">
        <v>0</v>
      </c>
      <c r="C69" s="152">
        <v>1440</v>
      </c>
      <c r="D69" s="152">
        <v>803</v>
      </c>
      <c r="E69" s="152">
        <v>19</v>
      </c>
      <c r="F69" s="152">
        <v>1</v>
      </c>
      <c r="G69" s="245">
        <f t="shared" si="2"/>
        <v>18</v>
      </c>
      <c r="H69" s="292" t="s">
        <v>1157</v>
      </c>
      <c r="I69" s="365"/>
    </row>
    <row r="70" spans="1:9" ht="16.5" thickTop="1" thickBot="1" x14ac:dyDescent="0.3">
      <c r="A70" s="305"/>
      <c r="B70" s="152" t="s">
        <v>1</v>
      </c>
      <c r="C70" s="152">
        <v>1440</v>
      </c>
      <c r="D70" s="152">
        <v>1023</v>
      </c>
      <c r="E70" s="152">
        <v>19</v>
      </c>
      <c r="F70" s="152">
        <f>1+1+1</f>
        <v>3</v>
      </c>
      <c r="G70" s="245">
        <f t="shared" si="2"/>
        <v>16</v>
      </c>
      <c r="H70" s="292" t="s">
        <v>1158</v>
      </c>
      <c r="I70" s="365"/>
    </row>
    <row r="71" spans="1:9" ht="16.5" thickTop="1" thickBot="1" x14ac:dyDescent="0.3">
      <c r="A71" s="306"/>
      <c r="B71" s="126" t="s">
        <v>2</v>
      </c>
      <c r="C71" s="126">
        <v>288</v>
      </c>
      <c r="D71" s="126">
        <v>773</v>
      </c>
      <c r="E71" s="126">
        <v>20</v>
      </c>
      <c r="F71" s="126">
        <f>1+1</f>
        <v>2</v>
      </c>
      <c r="G71" s="246">
        <f t="shared" si="2"/>
        <v>18</v>
      </c>
      <c r="H71" s="295" t="s">
        <v>1159</v>
      </c>
      <c r="I71" s="365"/>
    </row>
    <row r="72" spans="1:9" ht="16.5" thickTop="1" thickBot="1" x14ac:dyDescent="0.3">
      <c r="A72" s="310" t="s">
        <v>214</v>
      </c>
      <c r="B72" s="151" t="s">
        <v>21</v>
      </c>
      <c r="C72" s="151">
        <v>1440</v>
      </c>
      <c r="D72" s="151">
        <v>319</v>
      </c>
      <c r="E72" s="151">
        <v>19</v>
      </c>
      <c r="F72" s="151">
        <v>2</v>
      </c>
      <c r="G72" s="243">
        <f t="shared" si="2"/>
        <v>17</v>
      </c>
      <c r="H72" s="291" t="s">
        <v>1160</v>
      </c>
      <c r="I72" s="365" t="s">
        <v>416</v>
      </c>
    </row>
    <row r="73" spans="1:9" ht="16.5" thickTop="1" thickBot="1" x14ac:dyDescent="0.3">
      <c r="A73" s="319"/>
      <c r="B73" s="152" t="s">
        <v>22</v>
      </c>
      <c r="C73" s="152">
        <v>1440</v>
      </c>
      <c r="D73" s="153">
        <v>413</v>
      </c>
      <c r="E73" s="153">
        <v>21</v>
      </c>
      <c r="F73" s="153"/>
      <c r="G73" s="244">
        <f t="shared" si="2"/>
        <v>21</v>
      </c>
      <c r="H73" s="292" t="s">
        <v>1161</v>
      </c>
      <c r="I73" s="365"/>
    </row>
    <row r="74" spans="1:9" ht="16.5" thickTop="1" thickBot="1" x14ac:dyDescent="0.3">
      <c r="A74" s="311"/>
      <c r="B74" s="152" t="s">
        <v>18</v>
      </c>
      <c r="C74" s="152">
        <v>1440</v>
      </c>
      <c r="D74" s="152">
        <v>457</v>
      </c>
      <c r="E74" s="152">
        <v>20</v>
      </c>
      <c r="F74" s="152"/>
      <c r="G74" s="245">
        <f t="shared" si="2"/>
        <v>20</v>
      </c>
      <c r="H74" s="292" t="s">
        <v>1162</v>
      </c>
      <c r="I74" s="365"/>
    </row>
    <row r="75" spans="1:9" ht="16.5" thickTop="1" thickBot="1" x14ac:dyDescent="0.3">
      <c r="A75" s="311"/>
      <c r="B75" s="152" t="s">
        <v>19</v>
      </c>
      <c r="C75" s="152">
        <v>1440</v>
      </c>
      <c r="D75" s="152">
        <v>558</v>
      </c>
      <c r="E75" s="152">
        <v>20</v>
      </c>
      <c r="F75" s="152"/>
      <c r="G75" s="245">
        <f t="shared" si="2"/>
        <v>20</v>
      </c>
      <c r="H75" s="292" t="s">
        <v>1163</v>
      </c>
      <c r="I75" s="365"/>
    </row>
    <row r="76" spans="1:9" ht="16.5" thickTop="1" thickBot="1" x14ac:dyDescent="0.3">
      <c r="A76" s="311"/>
      <c r="B76" s="152" t="s">
        <v>0</v>
      </c>
      <c r="C76" s="152">
        <v>1440</v>
      </c>
      <c r="D76" s="152">
        <v>803</v>
      </c>
      <c r="E76" s="152">
        <v>20</v>
      </c>
      <c r="F76" s="152"/>
      <c r="G76" s="245">
        <f t="shared" si="2"/>
        <v>20</v>
      </c>
      <c r="H76" s="292" t="s">
        <v>1164</v>
      </c>
      <c r="I76" s="365"/>
    </row>
    <row r="77" spans="1:9" ht="16.5" thickTop="1" thickBot="1" x14ac:dyDescent="0.3">
      <c r="A77" s="311"/>
      <c r="B77" s="152" t="s">
        <v>1</v>
      </c>
      <c r="C77" s="152">
        <v>1440</v>
      </c>
      <c r="D77" s="152">
        <v>1023</v>
      </c>
      <c r="E77" s="152">
        <v>19</v>
      </c>
      <c r="F77" s="152"/>
      <c r="G77" s="245">
        <f t="shared" si="2"/>
        <v>19</v>
      </c>
      <c r="H77" s="292" t="s">
        <v>1165</v>
      </c>
      <c r="I77" s="365"/>
    </row>
    <row r="78" spans="1:9" ht="16.5" thickTop="1" thickBot="1" x14ac:dyDescent="0.3">
      <c r="A78" s="312"/>
      <c r="B78" s="126" t="s">
        <v>2</v>
      </c>
      <c r="C78" s="126">
        <v>288</v>
      </c>
      <c r="D78" s="126">
        <v>773</v>
      </c>
      <c r="E78" s="126">
        <f>10+10</f>
        <v>20</v>
      </c>
      <c r="F78" s="126"/>
      <c r="G78" s="246">
        <f t="shared" si="2"/>
        <v>20</v>
      </c>
      <c r="H78" s="295" t="s">
        <v>1166</v>
      </c>
      <c r="I78" s="365"/>
    </row>
    <row r="79" spans="1:9" ht="15.75" thickTop="1" x14ac:dyDescent="0.25">
      <c r="A79" s="161"/>
      <c r="B79" s="161"/>
      <c r="C79" s="161"/>
      <c r="D79" s="161"/>
      <c r="E79" s="161"/>
      <c r="F79" s="161"/>
      <c r="G79" s="161"/>
      <c r="I79" s="161"/>
    </row>
    <row r="80" spans="1:9" x14ac:dyDescent="0.25">
      <c r="A80" s="161"/>
      <c r="B80" s="161"/>
      <c r="C80" s="161"/>
      <c r="D80" s="161"/>
      <c r="E80" s="161"/>
      <c r="F80" s="161"/>
      <c r="G80" s="161"/>
      <c r="I80" s="161"/>
    </row>
  </sheetData>
  <mergeCells count="27">
    <mergeCell ref="I65:I71"/>
    <mergeCell ref="I72:I78"/>
    <mergeCell ref="I36:I37"/>
    <mergeCell ref="I38:I44"/>
    <mergeCell ref="I45:I51"/>
    <mergeCell ref="I58:I64"/>
    <mergeCell ref="I52:I57"/>
    <mergeCell ref="A65:A71"/>
    <mergeCell ref="A72:A78"/>
    <mergeCell ref="A38:A44"/>
    <mergeCell ref="A31:A34"/>
    <mergeCell ref="A36:A37"/>
    <mergeCell ref="A52:A57"/>
    <mergeCell ref="A28:A30"/>
    <mergeCell ref="I28:I30"/>
    <mergeCell ref="A1:D1"/>
    <mergeCell ref="A45:A51"/>
    <mergeCell ref="A58:A64"/>
    <mergeCell ref="A3:A8"/>
    <mergeCell ref="A9:A14"/>
    <mergeCell ref="A15:A20"/>
    <mergeCell ref="A21:A27"/>
    <mergeCell ref="I3:I8"/>
    <mergeCell ref="I9:I14"/>
    <mergeCell ref="I15:I20"/>
    <mergeCell ref="I21:I27"/>
    <mergeCell ref="I31:I34"/>
  </mergeCells>
  <pageMargins left="0.70866141732283472" right="0.70866141732283472" top="0.74803149606299213" bottom="0.74803149606299213" header="0.31496062992125984" footer="0.31496062992125984"/>
  <pageSetup paperSize="9" scale="95" fitToHeight="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551"/>
  <sheetViews>
    <sheetView topLeftCell="A125" workbookViewId="0">
      <selection activeCell="H140" sqref="H140:H141"/>
    </sheetView>
  </sheetViews>
  <sheetFormatPr defaultRowHeight="15" x14ac:dyDescent="0.25"/>
  <cols>
    <col min="1" max="1" width="29.7109375" customWidth="1"/>
    <col min="2" max="2" width="8.140625" customWidth="1"/>
    <col min="3" max="3" width="11.5703125" customWidth="1"/>
    <col min="4" max="4" width="8.5703125" customWidth="1"/>
    <col min="5" max="7" width="8.85546875" customWidth="1"/>
    <col min="8" max="8" width="35.42578125" style="255" bestFit="1" customWidth="1"/>
    <col min="9" max="9" width="8.85546875" customWidth="1"/>
    <col min="10" max="10" width="3.7109375" customWidth="1"/>
    <col min="11" max="11" width="24.28515625" customWidth="1"/>
    <col min="12" max="12" width="8.85546875" customWidth="1"/>
    <col min="13" max="13" width="12" customWidth="1"/>
    <col min="14" max="14" width="9.42578125" customWidth="1"/>
    <col min="15" max="17" width="8.85546875" customWidth="1"/>
    <col min="19" max="19" width="34.42578125" bestFit="1" customWidth="1"/>
    <col min="21" max="21" width="11.85546875" customWidth="1"/>
    <col min="23" max="23" width="8.7109375" customWidth="1"/>
  </cols>
  <sheetData>
    <row r="1" spans="1:23" ht="21.75" customHeight="1" x14ac:dyDescent="0.25">
      <c r="A1" s="325" t="s">
        <v>91</v>
      </c>
      <c r="B1" s="325"/>
      <c r="C1" s="325"/>
      <c r="D1" s="325"/>
      <c r="E1" s="167"/>
      <c r="F1" s="167"/>
      <c r="G1" s="167"/>
      <c r="H1" s="300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2"/>
      <c r="T1" s="2"/>
      <c r="U1" s="2"/>
      <c r="V1" s="2"/>
      <c r="W1" s="2"/>
    </row>
    <row r="2" spans="1:23" ht="43.5" thickBot="1" x14ac:dyDescent="0.3">
      <c r="A2" s="37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5" t="s">
        <v>1096</v>
      </c>
      <c r="I2" s="25" t="s">
        <v>329</v>
      </c>
      <c r="J2" s="161"/>
    </row>
    <row r="3" spans="1:23" ht="15.75" customHeight="1" thickTop="1" thickBot="1" x14ac:dyDescent="0.3">
      <c r="A3" s="310" t="s">
        <v>223</v>
      </c>
      <c r="B3" s="151" t="s">
        <v>90</v>
      </c>
      <c r="C3" s="151">
        <v>1440</v>
      </c>
      <c r="D3" s="30">
        <v>135</v>
      </c>
      <c r="E3" s="151">
        <f>139+200+355</f>
        <v>694</v>
      </c>
      <c r="F3" s="151">
        <f>1+1+2+1+1+6+1+1+29+2+1+6+3+3+4+1+9+2+2+1+1+1+10+1+15+10+2+1+5+13+1+14+1</f>
        <v>152</v>
      </c>
      <c r="G3" s="243">
        <f>E3-F3</f>
        <v>542</v>
      </c>
      <c r="H3" s="252" t="s">
        <v>1167</v>
      </c>
      <c r="I3" s="370" t="s">
        <v>330</v>
      </c>
      <c r="J3" s="161"/>
    </row>
    <row r="4" spans="1:23" ht="15.75" customHeight="1" thickTop="1" thickBot="1" x14ac:dyDescent="0.3">
      <c r="A4" s="319"/>
      <c r="B4" s="152" t="s">
        <v>89</v>
      </c>
      <c r="C4" s="152">
        <v>1440</v>
      </c>
      <c r="D4" s="26">
        <v>135</v>
      </c>
      <c r="E4" s="153">
        <v>179</v>
      </c>
      <c r="F4" s="153">
        <f>1+1+1+1+1+1+1+1+2+1+1+1+1+1+1+2+20+1</f>
        <v>39</v>
      </c>
      <c r="G4" s="244">
        <f>E4-F4</f>
        <v>140</v>
      </c>
      <c r="H4" s="253" t="s">
        <v>1225</v>
      </c>
      <c r="I4" s="371"/>
      <c r="J4" s="161"/>
    </row>
    <row r="5" spans="1:23" ht="15.75" customHeight="1" thickTop="1" thickBot="1" x14ac:dyDescent="0.3">
      <c r="A5" s="319"/>
      <c r="B5" s="104" t="s">
        <v>21</v>
      </c>
      <c r="C5" s="153">
        <v>1440</v>
      </c>
      <c r="D5" s="26">
        <v>135</v>
      </c>
      <c r="E5" s="153">
        <v>516</v>
      </c>
      <c r="F5" s="153">
        <f>16+1+1+1+1+1+2+1+1+3+2+3+1+1+1+1+2+5+1+1+15+10+1</f>
        <v>72</v>
      </c>
      <c r="G5" s="245">
        <f t="shared" ref="G5:G13" si="0">E5-F5</f>
        <v>444</v>
      </c>
      <c r="H5" s="253" t="s">
        <v>1226</v>
      </c>
      <c r="I5" s="371"/>
      <c r="J5" s="161"/>
    </row>
    <row r="6" spans="1:23" ht="15.75" customHeight="1" thickTop="1" thickBot="1" x14ac:dyDescent="0.3">
      <c r="A6" s="319"/>
      <c r="B6" s="104" t="s">
        <v>22</v>
      </c>
      <c r="C6" s="153">
        <v>1440</v>
      </c>
      <c r="D6" s="26">
        <v>165</v>
      </c>
      <c r="E6" s="153">
        <f>499+1</f>
        <v>500</v>
      </c>
      <c r="F6" s="153">
        <f>1+1+1+1+1+1+1+3+2+3+1+1+1+1+1+1+1+1+1+2+1+10+1+20+4+1+1+10</f>
        <v>74</v>
      </c>
      <c r="G6" s="245">
        <f t="shared" si="0"/>
        <v>426</v>
      </c>
      <c r="H6" s="253" t="s">
        <v>1227</v>
      </c>
      <c r="I6" s="371"/>
      <c r="J6" s="161"/>
    </row>
    <row r="7" spans="1:23" ht="15.75" customHeight="1" thickTop="1" thickBot="1" x14ac:dyDescent="0.3">
      <c r="A7" s="319"/>
      <c r="B7" s="153" t="s">
        <v>18</v>
      </c>
      <c r="C7" s="153">
        <v>1440</v>
      </c>
      <c r="D7" s="26">
        <v>175.44444444444446</v>
      </c>
      <c r="E7" s="153">
        <v>540</v>
      </c>
      <c r="F7" s="153">
        <f>1+1+2+1+1+1+1+2+2+1+1+1+1+10+1+1+1+1+1</f>
        <v>31</v>
      </c>
      <c r="G7" s="245">
        <f t="shared" si="0"/>
        <v>509</v>
      </c>
      <c r="H7" s="253" t="s">
        <v>1228</v>
      </c>
      <c r="I7" s="371"/>
      <c r="J7" s="161"/>
    </row>
    <row r="8" spans="1:23" ht="16.5" thickTop="1" thickBot="1" x14ac:dyDescent="0.3">
      <c r="A8" s="311"/>
      <c r="B8" s="152" t="s">
        <v>19</v>
      </c>
      <c r="C8" s="152">
        <v>1440</v>
      </c>
      <c r="D8" s="27">
        <v>226.44444444444443</v>
      </c>
      <c r="E8" s="152">
        <v>386</v>
      </c>
      <c r="F8" s="152">
        <f>1+1+1+1+1+1+2+3+1+1+1+10+1+1+1</f>
        <v>27</v>
      </c>
      <c r="G8" s="245">
        <f t="shared" si="0"/>
        <v>359</v>
      </c>
      <c r="H8" s="253" t="s">
        <v>1229</v>
      </c>
      <c r="I8" s="371"/>
      <c r="J8" s="161"/>
    </row>
    <row r="9" spans="1:23" ht="16.5" thickTop="1" thickBot="1" x14ac:dyDescent="0.3">
      <c r="A9" s="311"/>
      <c r="B9" s="152" t="s">
        <v>0</v>
      </c>
      <c r="C9" s="152">
        <v>1440</v>
      </c>
      <c r="D9" s="27">
        <v>285</v>
      </c>
      <c r="E9" s="152">
        <v>509</v>
      </c>
      <c r="F9" s="152">
        <f>1+1+1+1+1+1+1+1+1+2+3+1+1+1+2+10+1+1+1+1+1+1+1+1+3</f>
        <v>40</v>
      </c>
      <c r="G9" s="245">
        <f t="shared" si="0"/>
        <v>469</v>
      </c>
      <c r="H9" s="253" t="s">
        <v>1230</v>
      </c>
      <c r="I9" s="371"/>
      <c r="J9" s="161"/>
    </row>
    <row r="10" spans="1:23" ht="16.5" thickTop="1" thickBot="1" x14ac:dyDescent="0.3">
      <c r="A10" s="311"/>
      <c r="B10" s="152" t="s">
        <v>1</v>
      </c>
      <c r="C10" s="152">
        <v>1440</v>
      </c>
      <c r="D10" s="27">
        <v>417.22222222222223</v>
      </c>
      <c r="E10" s="152">
        <v>625</v>
      </c>
      <c r="F10" s="152">
        <f>1+1+2+2+1+2+1+1+1+2+2+1+1+5+1+1+2+10+2+2+1+1+1+3+1+1+1+1+1+3</f>
        <v>55</v>
      </c>
      <c r="G10" s="245">
        <f t="shared" si="0"/>
        <v>570</v>
      </c>
      <c r="H10" s="253" t="s">
        <v>1231</v>
      </c>
      <c r="I10" s="371"/>
      <c r="J10" s="161"/>
    </row>
    <row r="11" spans="1:23" ht="16.5" thickTop="1" thickBot="1" x14ac:dyDescent="0.3">
      <c r="A11" s="320"/>
      <c r="B11" s="154" t="s">
        <v>2</v>
      </c>
      <c r="C11" s="154">
        <v>288</v>
      </c>
      <c r="D11" s="29">
        <v>211</v>
      </c>
      <c r="E11" s="154">
        <v>527</v>
      </c>
      <c r="F11" s="154">
        <f>1+1+1+1+10+1+2+2+1+2+1+1+2+10+1+1+2+2+2+1+1+1+1+1+3</f>
        <v>52</v>
      </c>
      <c r="G11" s="245">
        <f t="shared" si="0"/>
        <v>475</v>
      </c>
      <c r="H11" s="253" t="s">
        <v>1232</v>
      </c>
      <c r="I11" s="371"/>
      <c r="J11" s="161"/>
    </row>
    <row r="12" spans="1:23" ht="16.5" thickTop="1" thickBot="1" x14ac:dyDescent="0.3">
      <c r="A12" s="320"/>
      <c r="B12" s="154" t="s">
        <v>5</v>
      </c>
      <c r="C12" s="154">
        <v>144</v>
      </c>
      <c r="D12" s="29">
        <v>376</v>
      </c>
      <c r="E12" s="154">
        <v>402</v>
      </c>
      <c r="F12" s="154">
        <f>1+1+1+2+2+1+10+1+2</f>
        <v>21</v>
      </c>
      <c r="G12" s="245">
        <f t="shared" si="0"/>
        <v>381</v>
      </c>
      <c r="H12" s="253" t="s">
        <v>1233</v>
      </c>
      <c r="I12" s="371"/>
      <c r="J12" s="161"/>
    </row>
    <row r="13" spans="1:23" ht="16.5" thickTop="1" thickBot="1" x14ac:dyDescent="0.3">
      <c r="A13" s="320"/>
      <c r="B13" s="154" t="s">
        <v>20</v>
      </c>
      <c r="C13" s="154">
        <v>144</v>
      </c>
      <c r="D13" s="29">
        <v>267</v>
      </c>
      <c r="E13" s="154">
        <v>249</v>
      </c>
      <c r="F13" s="154">
        <f>2+1</f>
        <v>3</v>
      </c>
      <c r="G13" s="246">
        <f t="shared" si="0"/>
        <v>246</v>
      </c>
      <c r="H13" s="254" t="s">
        <v>1234</v>
      </c>
      <c r="I13" s="371"/>
      <c r="J13" s="161"/>
    </row>
    <row r="14" spans="1:23" ht="16.5" thickTop="1" thickBot="1" x14ac:dyDescent="0.3">
      <c r="A14" s="313" t="s">
        <v>572</v>
      </c>
      <c r="B14" s="151" t="s">
        <v>90</v>
      </c>
      <c r="C14" s="151">
        <v>1440</v>
      </c>
      <c r="D14" s="151">
        <v>96</v>
      </c>
      <c r="E14" s="151">
        <v>111</v>
      </c>
      <c r="F14" s="151">
        <f>1+1+1+1+1+1+1</f>
        <v>7</v>
      </c>
      <c r="G14" s="243">
        <f t="shared" ref="G14:G37" si="1">E14-F14</f>
        <v>104</v>
      </c>
      <c r="H14" s="252" t="s">
        <v>1223</v>
      </c>
      <c r="I14" s="371" t="s">
        <v>331</v>
      </c>
      <c r="J14" s="161"/>
    </row>
    <row r="15" spans="1:23" ht="16.5" thickTop="1" thickBot="1" x14ac:dyDescent="0.3">
      <c r="A15" s="314"/>
      <c r="B15" s="152" t="s">
        <v>89</v>
      </c>
      <c r="C15" s="152">
        <v>1440</v>
      </c>
      <c r="D15" s="152">
        <v>78</v>
      </c>
      <c r="E15" s="152">
        <v>113</v>
      </c>
      <c r="F15" s="152">
        <f>1+3+2+1+3</f>
        <v>10</v>
      </c>
      <c r="G15" s="245">
        <f t="shared" si="1"/>
        <v>103</v>
      </c>
      <c r="H15" s="253" t="s">
        <v>1235</v>
      </c>
      <c r="I15" s="371"/>
      <c r="J15" s="161"/>
    </row>
    <row r="16" spans="1:23" ht="16.5" thickTop="1" thickBot="1" x14ac:dyDescent="0.3">
      <c r="A16" s="314"/>
      <c r="B16" s="152" t="s">
        <v>21</v>
      </c>
      <c r="C16" s="152">
        <v>1440</v>
      </c>
      <c r="D16" s="152">
        <v>78</v>
      </c>
      <c r="E16" s="152">
        <v>52</v>
      </c>
      <c r="F16" s="152">
        <f>4+2+2+1+1+3+10+3+1</f>
        <v>27</v>
      </c>
      <c r="G16" s="245">
        <f t="shared" si="1"/>
        <v>25</v>
      </c>
      <c r="H16" s="253" t="s">
        <v>1236</v>
      </c>
      <c r="I16" s="371"/>
      <c r="J16" s="161"/>
    </row>
    <row r="17" spans="1:10" ht="16.5" thickTop="1" thickBot="1" x14ac:dyDescent="0.3">
      <c r="A17" s="314"/>
      <c r="B17" s="152" t="s">
        <v>22</v>
      </c>
      <c r="C17" s="152">
        <v>1440</v>
      </c>
      <c r="D17" s="152">
        <v>104</v>
      </c>
      <c r="E17" s="152">
        <v>72</v>
      </c>
      <c r="F17" s="152">
        <f>3+2+2+1+1+1+1+3+1</f>
        <v>15</v>
      </c>
      <c r="G17" s="245">
        <f t="shared" si="1"/>
        <v>57</v>
      </c>
      <c r="H17" s="253" t="s">
        <v>1237</v>
      </c>
      <c r="I17" s="371"/>
      <c r="J17" s="161"/>
    </row>
    <row r="18" spans="1:10" ht="16.5" thickTop="1" thickBot="1" x14ac:dyDescent="0.3">
      <c r="A18" s="314"/>
      <c r="B18" s="152" t="s">
        <v>18</v>
      </c>
      <c r="C18" s="152">
        <v>1440</v>
      </c>
      <c r="D18" s="152">
        <v>115</v>
      </c>
      <c r="E18" s="152">
        <f>50+28+100</f>
        <v>178</v>
      </c>
      <c r="F18" s="152">
        <f>2+1+1+1+1+1+1+3+1</f>
        <v>12</v>
      </c>
      <c r="G18" s="245">
        <f t="shared" si="1"/>
        <v>166</v>
      </c>
      <c r="H18" s="253" t="s">
        <v>1238</v>
      </c>
      <c r="I18" s="371"/>
      <c r="J18" s="161"/>
    </row>
    <row r="19" spans="1:10" ht="16.5" thickTop="1" thickBot="1" x14ac:dyDescent="0.3">
      <c r="A19" s="314"/>
      <c r="B19" s="152" t="s">
        <v>19</v>
      </c>
      <c r="C19" s="152">
        <v>1440</v>
      </c>
      <c r="D19" s="152">
        <v>164</v>
      </c>
      <c r="E19" s="152">
        <f>40+30+200</f>
        <v>270</v>
      </c>
      <c r="F19" s="152">
        <f>1+2+2+1+1+1+1+3+1</f>
        <v>13</v>
      </c>
      <c r="G19" s="245">
        <f t="shared" si="1"/>
        <v>257</v>
      </c>
      <c r="H19" s="253" t="s">
        <v>1239</v>
      </c>
      <c r="I19" s="371"/>
      <c r="J19" s="161"/>
    </row>
    <row r="20" spans="1:10" ht="16.5" thickTop="1" thickBot="1" x14ac:dyDescent="0.3">
      <c r="A20" s="314"/>
      <c r="B20" s="152" t="s">
        <v>0</v>
      </c>
      <c r="C20" s="152">
        <v>1440</v>
      </c>
      <c r="D20" s="152">
        <v>198</v>
      </c>
      <c r="E20" s="152">
        <f>40+18+181</f>
        <v>239</v>
      </c>
      <c r="F20" s="152">
        <f>2+3+1+1+1+1+1+1+2+2+1+1+1+1+2</f>
        <v>21</v>
      </c>
      <c r="G20" s="245">
        <f t="shared" si="1"/>
        <v>218</v>
      </c>
      <c r="H20" s="253" t="s">
        <v>1240</v>
      </c>
      <c r="I20" s="371"/>
      <c r="J20" s="161"/>
    </row>
    <row r="21" spans="1:10" ht="16.5" thickTop="1" thickBot="1" x14ac:dyDescent="0.3">
      <c r="A21" s="314"/>
      <c r="B21" s="152" t="s">
        <v>1</v>
      </c>
      <c r="C21" s="152">
        <v>1440</v>
      </c>
      <c r="D21" s="152">
        <v>282</v>
      </c>
      <c r="E21" s="152">
        <f>89</f>
        <v>89</v>
      </c>
      <c r="F21" s="152">
        <f>15+3+4+1+1+1+2+1+2+4+10+10+1+3+6+1+3</f>
        <v>68</v>
      </c>
      <c r="G21" s="245">
        <f t="shared" si="1"/>
        <v>21</v>
      </c>
      <c r="H21" s="253" t="s">
        <v>1241</v>
      </c>
      <c r="I21" s="371"/>
      <c r="J21" s="161"/>
    </row>
    <row r="22" spans="1:10" ht="16.5" thickTop="1" thickBot="1" x14ac:dyDescent="0.3">
      <c r="A22" s="315"/>
      <c r="B22" s="126" t="s">
        <v>5</v>
      </c>
      <c r="C22" s="126">
        <v>144</v>
      </c>
      <c r="D22" s="126">
        <v>242</v>
      </c>
      <c r="E22" s="126">
        <f>61+6+40</f>
        <v>107</v>
      </c>
      <c r="F22" s="126">
        <f>1+1+1+2+1+1+1+1+1</f>
        <v>10</v>
      </c>
      <c r="G22" s="246">
        <f t="shared" si="1"/>
        <v>97</v>
      </c>
      <c r="H22" s="254" t="s">
        <v>1242</v>
      </c>
      <c r="I22" s="371"/>
      <c r="J22" s="161"/>
    </row>
    <row r="23" spans="1:10" ht="16.5" thickTop="1" thickBot="1" x14ac:dyDescent="0.3">
      <c r="A23" s="313" t="s">
        <v>98</v>
      </c>
      <c r="B23" s="151" t="s">
        <v>90</v>
      </c>
      <c r="C23" s="151">
        <v>1440</v>
      </c>
      <c r="D23" s="151">
        <v>172</v>
      </c>
      <c r="E23" s="151">
        <v>23</v>
      </c>
      <c r="F23" s="151">
        <f>1+1+2+1+1+1+1+6+1+1+2+2</f>
        <v>20</v>
      </c>
      <c r="G23" s="243">
        <f t="shared" si="1"/>
        <v>3</v>
      </c>
      <c r="H23" s="252" t="s">
        <v>1243</v>
      </c>
      <c r="I23" s="371" t="s">
        <v>332</v>
      </c>
      <c r="J23" s="161"/>
    </row>
    <row r="24" spans="1:10" ht="16.5" thickTop="1" thickBot="1" x14ac:dyDescent="0.3">
      <c r="A24" s="314"/>
      <c r="B24" s="152" t="s">
        <v>89</v>
      </c>
      <c r="C24" s="152">
        <v>1440</v>
      </c>
      <c r="D24" s="152">
        <v>172</v>
      </c>
      <c r="E24" s="152">
        <v>371</v>
      </c>
      <c r="F24" s="152">
        <f>1+1+1+1+1+1+1+1+1+1+1+1+1+2+1+1+1</f>
        <v>18</v>
      </c>
      <c r="G24" s="245">
        <f t="shared" si="1"/>
        <v>353</v>
      </c>
      <c r="H24" s="253" t="s">
        <v>1277</v>
      </c>
      <c r="I24" s="371"/>
      <c r="J24" s="161"/>
    </row>
    <row r="25" spans="1:10" ht="16.5" thickTop="1" thickBot="1" x14ac:dyDescent="0.3">
      <c r="A25" s="314"/>
      <c r="B25" s="152" t="s">
        <v>21</v>
      </c>
      <c r="C25" s="152">
        <v>1440</v>
      </c>
      <c r="D25" s="152">
        <v>172</v>
      </c>
      <c r="E25" s="152">
        <v>660</v>
      </c>
      <c r="F25" s="152">
        <f>1+1+1+1+1+2+1+2+1+1+1+20+1+1+3+1+1+1</f>
        <v>41</v>
      </c>
      <c r="G25" s="245">
        <f t="shared" si="1"/>
        <v>619</v>
      </c>
      <c r="H25" s="253" t="s">
        <v>1278</v>
      </c>
      <c r="I25" s="371"/>
      <c r="J25" s="161"/>
    </row>
    <row r="26" spans="1:10" ht="16.5" thickTop="1" thickBot="1" x14ac:dyDescent="0.3">
      <c r="A26" s="314"/>
      <c r="B26" s="152" t="s">
        <v>22</v>
      </c>
      <c r="C26" s="152">
        <v>1440</v>
      </c>
      <c r="D26" s="152">
        <v>220</v>
      </c>
      <c r="E26" s="152">
        <v>635</v>
      </c>
      <c r="F26" s="152">
        <f>1+2+1+1+1+3+2+2+1+20+1+1+1</f>
        <v>37</v>
      </c>
      <c r="G26" s="245">
        <f t="shared" si="1"/>
        <v>598</v>
      </c>
      <c r="H26" s="253" t="s">
        <v>1279</v>
      </c>
      <c r="I26" s="371"/>
      <c r="J26" s="161"/>
    </row>
    <row r="27" spans="1:10" ht="16.5" thickTop="1" thickBot="1" x14ac:dyDescent="0.3">
      <c r="A27" s="314"/>
      <c r="B27" s="152" t="s">
        <v>18</v>
      </c>
      <c r="C27" s="152">
        <v>1440</v>
      </c>
      <c r="D27" s="152">
        <v>233</v>
      </c>
      <c r="E27" s="152">
        <v>87</v>
      </c>
      <c r="F27" s="152">
        <f>1+1+1+1+3+1+20+1+1+1+1+1+1</f>
        <v>34</v>
      </c>
      <c r="G27" s="245">
        <f t="shared" si="1"/>
        <v>53</v>
      </c>
      <c r="H27" s="253" t="s">
        <v>1280</v>
      </c>
      <c r="I27" s="371"/>
      <c r="J27" s="161"/>
    </row>
    <row r="28" spans="1:10" ht="16.5" thickTop="1" thickBot="1" x14ac:dyDescent="0.3">
      <c r="A28" s="314"/>
      <c r="B28" s="152" t="s">
        <v>19</v>
      </c>
      <c r="C28" s="152">
        <v>1440</v>
      </c>
      <c r="D28" s="152">
        <v>309</v>
      </c>
      <c r="E28" s="152">
        <v>59</v>
      </c>
      <c r="F28" s="152">
        <f>1+1+1+1+1+1+1+1+1+1+5+1+1+20+1+1+1+1+1+1</f>
        <v>43</v>
      </c>
      <c r="G28" s="245">
        <f t="shared" si="1"/>
        <v>16</v>
      </c>
      <c r="H28" s="253" t="s">
        <v>1281</v>
      </c>
      <c r="I28" s="371"/>
      <c r="J28" s="161"/>
    </row>
    <row r="29" spans="1:10" ht="16.5" thickTop="1" thickBot="1" x14ac:dyDescent="0.3">
      <c r="A29" s="314"/>
      <c r="B29" s="152" t="s">
        <v>0</v>
      </c>
      <c r="C29" s="152">
        <v>1440</v>
      </c>
      <c r="D29" s="152">
        <v>387</v>
      </c>
      <c r="E29" s="152">
        <v>193</v>
      </c>
      <c r="F29" s="152">
        <f>1+2+2+1+1+2+1+1+3+10+3+1+1+1+1+1+2+10+1+1+1+1+4+5+1+10+5+1+1+20+1+1+1+1+2+2+3+1+1+1+1+3</f>
        <v>113</v>
      </c>
      <c r="G29" s="245">
        <f t="shared" si="1"/>
        <v>80</v>
      </c>
      <c r="H29" s="253" t="s">
        <v>1282</v>
      </c>
      <c r="I29" s="371"/>
      <c r="J29" s="161"/>
    </row>
    <row r="30" spans="1:10" ht="16.5" thickTop="1" thickBot="1" x14ac:dyDescent="0.3">
      <c r="A30" s="314"/>
      <c r="B30" s="152" t="s">
        <v>1</v>
      </c>
      <c r="C30" s="152">
        <v>1440</v>
      </c>
      <c r="D30" s="152">
        <v>732</v>
      </c>
      <c r="E30" s="152">
        <f>210+7+105+300</f>
        <v>622</v>
      </c>
      <c r="F30" s="152">
        <f>12+3+30+7+1+1+10+1+10+1+1+15+1+1+1+1+10+1+1+1+30+5+5+10+30+1+1+1+1+20+1+1+1+1+2+3+3+1+1+3</f>
        <v>230</v>
      </c>
      <c r="G30" s="245">
        <f t="shared" si="1"/>
        <v>392</v>
      </c>
      <c r="H30" s="253" t="s">
        <v>1283</v>
      </c>
      <c r="I30" s="371"/>
      <c r="J30" s="161"/>
    </row>
    <row r="31" spans="1:10" ht="16.5" thickTop="1" thickBot="1" x14ac:dyDescent="0.3">
      <c r="A31" s="314"/>
      <c r="B31" s="152" t="s">
        <v>2</v>
      </c>
      <c r="C31" s="152">
        <v>288</v>
      </c>
      <c r="D31" s="152">
        <v>387</v>
      </c>
      <c r="E31" s="152">
        <f>20+107+60</f>
        <v>187</v>
      </c>
      <c r="F31" s="152">
        <f>3+2+2+1+3+10+1+1+10+1+1+1+10+1+1+1+1+1+1+30+10+2+1+1+1+1+2+1+3+1+3+1+1+3+1+1+1+3+1</f>
        <v>120</v>
      </c>
      <c r="G31" s="245">
        <f t="shared" si="1"/>
        <v>67</v>
      </c>
      <c r="H31" s="253" t="s">
        <v>1284</v>
      </c>
      <c r="I31" s="371"/>
      <c r="J31" s="161"/>
    </row>
    <row r="32" spans="1:10" ht="16.5" thickTop="1" thickBot="1" x14ac:dyDescent="0.3">
      <c r="A32" s="314"/>
      <c r="B32" s="152" t="s">
        <v>5</v>
      </c>
      <c r="C32" s="152">
        <v>144</v>
      </c>
      <c r="D32" s="152">
        <v>495</v>
      </c>
      <c r="E32" s="152">
        <v>207</v>
      </c>
      <c r="F32" s="152">
        <f>2+2+2+2+1+1+1+1+1+20+2+1+3+3</f>
        <v>42</v>
      </c>
      <c r="G32" s="245">
        <f t="shared" si="1"/>
        <v>165</v>
      </c>
      <c r="H32" s="253" t="s">
        <v>1285</v>
      </c>
      <c r="I32" s="371"/>
      <c r="J32" s="161"/>
    </row>
    <row r="33" spans="1:18" ht="16.5" thickTop="1" thickBot="1" x14ac:dyDescent="0.3">
      <c r="A33" s="315"/>
      <c r="B33" s="126" t="s">
        <v>20</v>
      </c>
      <c r="C33" s="126">
        <v>144</v>
      </c>
      <c r="D33" s="126">
        <v>495</v>
      </c>
      <c r="E33" s="126">
        <v>244</v>
      </c>
      <c r="F33" s="126">
        <f>2+6+2+1+1+1+20+2+2</f>
        <v>37</v>
      </c>
      <c r="G33" s="246">
        <f t="shared" si="1"/>
        <v>207</v>
      </c>
      <c r="H33" s="254" t="s">
        <v>1286</v>
      </c>
      <c r="I33" s="371"/>
      <c r="J33" s="161"/>
      <c r="K33" s="161"/>
      <c r="L33" s="161"/>
      <c r="M33" s="161"/>
      <c r="N33" s="161"/>
      <c r="O33" s="161"/>
      <c r="P33" s="161"/>
      <c r="Q33" s="161"/>
      <c r="R33" s="161"/>
    </row>
    <row r="34" spans="1:18" ht="16.5" thickTop="1" thickBot="1" x14ac:dyDescent="0.3">
      <c r="A34" s="307" t="s">
        <v>609</v>
      </c>
      <c r="B34" s="175" t="s">
        <v>90</v>
      </c>
      <c r="C34" s="112">
        <v>1440</v>
      </c>
      <c r="D34" s="151">
        <v>111</v>
      </c>
      <c r="E34" s="151">
        <v>100</v>
      </c>
      <c r="F34" s="151">
        <f>1+1+1+2+1+1+1+1+3+1+1+1+1+1+1+1+1+3+1+2+1+2+1+1+1+1+1+1+1+5+1+2+30+1+2+2+1+2+2+1+10</f>
        <v>95</v>
      </c>
      <c r="G34" s="243">
        <f t="shared" si="1"/>
        <v>5</v>
      </c>
      <c r="H34" s="252" t="s">
        <v>1188</v>
      </c>
      <c r="I34" s="371" t="s">
        <v>333</v>
      </c>
      <c r="J34" s="161"/>
      <c r="K34" s="161"/>
      <c r="L34" s="161"/>
      <c r="M34" s="161"/>
      <c r="N34" s="161"/>
      <c r="O34" s="161"/>
      <c r="P34" s="161"/>
      <c r="Q34" s="161"/>
      <c r="R34" s="161"/>
    </row>
    <row r="35" spans="1:18" ht="16.5" thickTop="1" thickBot="1" x14ac:dyDescent="0.3">
      <c r="A35" s="308"/>
      <c r="B35" s="104" t="s">
        <v>89</v>
      </c>
      <c r="C35" s="114">
        <v>1440</v>
      </c>
      <c r="D35" s="152">
        <v>113</v>
      </c>
      <c r="E35" s="152">
        <v>100</v>
      </c>
      <c r="F35" s="152">
        <f>1+1+1+2+1+1+1+1+1+1+1+1+1+1+1+15+1+1+1+1+10</f>
        <v>45</v>
      </c>
      <c r="G35" s="245">
        <f t="shared" si="1"/>
        <v>55</v>
      </c>
      <c r="H35" s="253" t="s">
        <v>1287</v>
      </c>
      <c r="I35" s="371"/>
      <c r="J35" s="161"/>
      <c r="K35" s="161"/>
      <c r="L35" s="161"/>
      <c r="M35" s="161"/>
      <c r="N35" s="161"/>
      <c r="O35" s="161"/>
      <c r="P35" s="161"/>
      <c r="Q35" s="161"/>
      <c r="R35" s="161"/>
    </row>
    <row r="36" spans="1:18" ht="16.5" thickTop="1" thickBot="1" x14ac:dyDescent="0.3">
      <c r="A36" s="308"/>
      <c r="B36" s="176" t="s">
        <v>21</v>
      </c>
      <c r="C36" s="123">
        <v>1440</v>
      </c>
      <c r="D36" s="153">
        <v>155</v>
      </c>
      <c r="E36" s="153">
        <v>397</v>
      </c>
      <c r="F36" s="153">
        <f>1+2+3+3+1+1+2+2+1+3+3+7+2+2+3+2+1+2+1+1+1+3+1+1+1+1+2+4+1+6+5+1+2+1+1+1+2+1+1+1+50+1+1+1+5+1+1+1+1+10</f>
        <v>152</v>
      </c>
      <c r="G36" s="244">
        <f t="shared" si="1"/>
        <v>245</v>
      </c>
      <c r="H36" s="253" t="s">
        <v>1288</v>
      </c>
      <c r="I36" s="371"/>
      <c r="J36" s="161"/>
      <c r="K36" s="161"/>
      <c r="L36" s="161"/>
      <c r="M36" s="161"/>
      <c r="N36" s="161"/>
      <c r="O36" s="161"/>
      <c r="P36" s="161"/>
      <c r="Q36" s="161"/>
      <c r="R36" s="161"/>
    </row>
    <row r="37" spans="1:18" ht="16.5" thickTop="1" thickBot="1" x14ac:dyDescent="0.3">
      <c r="A37" s="308"/>
      <c r="B37" s="104" t="s">
        <v>22</v>
      </c>
      <c r="C37" s="114">
        <v>1440</v>
      </c>
      <c r="D37" s="152">
        <v>188</v>
      </c>
      <c r="E37" s="152">
        <v>424</v>
      </c>
      <c r="F37" s="152">
        <f>1+1+6+2+1+1+1+3+1+1+2+1+1+1+1+3+2+1+4+1+15+1+4+1+1+1+2+1+2+1+10</f>
        <v>74</v>
      </c>
      <c r="G37" s="245">
        <f t="shared" si="1"/>
        <v>350</v>
      </c>
      <c r="H37" s="253" t="s">
        <v>1289</v>
      </c>
      <c r="I37" s="371"/>
      <c r="J37" s="161"/>
      <c r="K37" s="161"/>
      <c r="L37" s="161"/>
      <c r="M37" s="161"/>
      <c r="N37" s="161"/>
      <c r="O37" s="161"/>
      <c r="P37" s="161"/>
      <c r="Q37" s="161"/>
      <c r="R37" s="161"/>
    </row>
    <row r="38" spans="1:18" ht="16.5" thickTop="1" thickBot="1" x14ac:dyDescent="0.3">
      <c r="A38" s="308"/>
      <c r="B38" s="104" t="s">
        <v>18</v>
      </c>
      <c r="C38" s="114">
        <v>1440</v>
      </c>
      <c r="D38" s="152">
        <v>209</v>
      </c>
      <c r="E38" s="152">
        <v>430</v>
      </c>
      <c r="F38" s="152">
        <f>1+4+2+2+1+1+1+1+1+1+1+1+1+3+1+1+10+1+1+1+1+3+10</f>
        <v>50</v>
      </c>
      <c r="G38" s="245">
        <f t="shared" ref="G38:G64" si="2">E38-F38</f>
        <v>380</v>
      </c>
      <c r="H38" s="253" t="s">
        <v>1290</v>
      </c>
      <c r="I38" s="371"/>
      <c r="J38" s="161"/>
      <c r="K38" s="161"/>
      <c r="L38" s="161"/>
      <c r="M38" s="161"/>
      <c r="N38" s="161"/>
      <c r="O38" s="161"/>
      <c r="P38" s="161"/>
      <c r="Q38" s="161"/>
      <c r="R38" s="161"/>
    </row>
    <row r="39" spans="1:18" ht="16.5" thickTop="1" thickBot="1" x14ac:dyDescent="0.3">
      <c r="A39" s="308"/>
      <c r="B39" s="104" t="s">
        <v>19</v>
      </c>
      <c r="C39" s="114">
        <v>1440</v>
      </c>
      <c r="D39" s="152">
        <v>265</v>
      </c>
      <c r="E39" s="152">
        <v>276</v>
      </c>
      <c r="F39" s="152">
        <f>3+2+1+1+5+1+1+1+1+10+1+1</f>
        <v>28</v>
      </c>
      <c r="G39" s="245">
        <f t="shared" si="2"/>
        <v>248</v>
      </c>
      <c r="H39" s="253" t="s">
        <v>1291</v>
      </c>
      <c r="I39" s="371"/>
      <c r="J39" s="161"/>
      <c r="K39" s="161"/>
      <c r="L39" s="161"/>
      <c r="M39" s="161"/>
      <c r="N39" s="161"/>
      <c r="O39" s="161"/>
      <c r="P39" s="161"/>
      <c r="Q39" s="161"/>
      <c r="R39" s="161"/>
    </row>
    <row r="40" spans="1:18" ht="16.5" thickTop="1" thickBot="1" x14ac:dyDescent="0.3">
      <c r="A40" s="308"/>
      <c r="B40" s="104" t="s">
        <v>0</v>
      </c>
      <c r="C40" s="114">
        <v>1440</v>
      </c>
      <c r="D40" s="152">
        <v>351</v>
      </c>
      <c r="E40" s="152">
        <v>406</v>
      </c>
      <c r="F40" s="152">
        <f>2+4+2+1+1+1+1+4+1+10+1+1+1+1+1+4+1+1+1+1+2+1+1+15+2+2+1+1+10+1+2+1</f>
        <v>79</v>
      </c>
      <c r="G40" s="245">
        <f t="shared" si="2"/>
        <v>327</v>
      </c>
      <c r="H40" s="253" t="s">
        <v>1292</v>
      </c>
      <c r="I40" s="371"/>
      <c r="J40" s="161"/>
      <c r="K40" s="161"/>
      <c r="L40" s="161"/>
      <c r="M40" s="161"/>
      <c r="N40" s="161"/>
      <c r="O40" s="161"/>
      <c r="P40" s="161"/>
      <c r="Q40" s="161"/>
      <c r="R40" s="161"/>
    </row>
    <row r="41" spans="1:18" ht="16.5" thickTop="1" thickBot="1" x14ac:dyDescent="0.3">
      <c r="A41" s="308"/>
      <c r="B41" s="114" t="s">
        <v>1</v>
      </c>
      <c r="C41" s="114">
        <v>1440</v>
      </c>
      <c r="D41" s="152">
        <v>516</v>
      </c>
      <c r="E41" s="152">
        <v>459</v>
      </c>
      <c r="F41" s="152">
        <f>1+3+1+1+1+1+1+1+1+3+30+2+10+1+2+3+1+1+3+1+1+5+1+1+3+10+1+1+3+10+2+3+1+10+2+1+1+2+1</f>
        <v>127</v>
      </c>
      <c r="G41" s="245">
        <f t="shared" si="2"/>
        <v>332</v>
      </c>
      <c r="H41" s="253" t="s">
        <v>1293</v>
      </c>
      <c r="I41" s="371"/>
      <c r="J41" s="161"/>
      <c r="K41" s="161"/>
      <c r="L41" s="161"/>
      <c r="M41" s="161"/>
      <c r="N41" s="161"/>
      <c r="O41" s="161"/>
      <c r="P41" s="161"/>
      <c r="Q41" s="161"/>
      <c r="R41" s="161"/>
    </row>
    <row r="42" spans="1:18" ht="16.5" thickTop="1" thickBot="1" x14ac:dyDescent="0.3">
      <c r="A42" s="308"/>
      <c r="B42" s="104" t="s">
        <v>2</v>
      </c>
      <c r="C42" s="114">
        <v>288</v>
      </c>
      <c r="D42" s="152">
        <v>322</v>
      </c>
      <c r="E42" s="152">
        <v>408</v>
      </c>
      <c r="F42" s="152">
        <f>1+3+1+2+1+1+2+10+1+1+1+2+1+1+2+3+1+1+10+1+1+2+2+10+1+2</f>
        <v>64</v>
      </c>
      <c r="G42" s="245">
        <f t="shared" si="2"/>
        <v>344</v>
      </c>
      <c r="H42" s="253" t="s">
        <v>1294</v>
      </c>
      <c r="I42" s="371"/>
      <c r="J42" s="161"/>
      <c r="K42" s="161"/>
      <c r="L42" s="161"/>
      <c r="M42" s="161"/>
      <c r="N42" s="161"/>
      <c r="O42" s="161"/>
      <c r="P42" s="161"/>
      <c r="Q42" s="161"/>
      <c r="R42" s="161"/>
    </row>
    <row r="43" spans="1:18" ht="16.5" thickTop="1" thickBot="1" x14ac:dyDescent="0.3">
      <c r="A43" s="308"/>
      <c r="B43" s="152" t="s">
        <v>5</v>
      </c>
      <c r="C43" s="152">
        <v>144</v>
      </c>
      <c r="D43" s="149">
        <v>553</v>
      </c>
      <c r="E43" s="149">
        <v>556</v>
      </c>
      <c r="F43" s="154">
        <f>1+2+1+1+1+2+1+1+1+1+1+2+10+1+1+1</f>
        <v>28</v>
      </c>
      <c r="G43" s="245">
        <f t="shared" si="2"/>
        <v>528</v>
      </c>
      <c r="H43" s="253" t="s">
        <v>1295</v>
      </c>
      <c r="I43" s="371"/>
      <c r="J43" s="161"/>
      <c r="K43" s="161"/>
      <c r="L43" s="161"/>
      <c r="M43" s="161"/>
      <c r="N43" s="161"/>
      <c r="O43" s="161"/>
      <c r="P43" s="161"/>
      <c r="Q43" s="161"/>
      <c r="R43" s="161"/>
    </row>
    <row r="44" spans="1:18" ht="16.5" thickTop="1" thickBot="1" x14ac:dyDescent="0.3">
      <c r="A44" s="309"/>
      <c r="B44" s="177" t="s">
        <v>20</v>
      </c>
      <c r="C44" s="118">
        <v>144</v>
      </c>
      <c r="D44" s="154">
        <v>553</v>
      </c>
      <c r="E44" s="154">
        <v>287</v>
      </c>
      <c r="F44" s="154">
        <f>1+1+2+10</f>
        <v>14</v>
      </c>
      <c r="G44" s="246">
        <f t="shared" si="2"/>
        <v>273</v>
      </c>
      <c r="H44" s="254" t="s">
        <v>1296</v>
      </c>
      <c r="I44" s="371"/>
      <c r="J44" s="161"/>
      <c r="K44" s="161"/>
      <c r="L44" s="161"/>
      <c r="M44" s="161"/>
      <c r="N44" s="161"/>
      <c r="O44" s="161"/>
      <c r="P44" s="161"/>
      <c r="Q44" s="161"/>
      <c r="R44" s="161"/>
    </row>
    <row r="45" spans="1:18" ht="16.5" thickTop="1" thickBot="1" x14ac:dyDescent="0.3">
      <c r="A45" s="307" t="s">
        <v>417</v>
      </c>
      <c r="B45" s="175" t="s">
        <v>90</v>
      </c>
      <c r="C45" s="112">
        <v>1440</v>
      </c>
      <c r="D45" s="151">
        <v>111</v>
      </c>
      <c r="E45" s="151">
        <v>150</v>
      </c>
      <c r="F45" s="151">
        <f>1+1+1+1</f>
        <v>4</v>
      </c>
      <c r="G45" s="242">
        <f t="shared" si="2"/>
        <v>146</v>
      </c>
      <c r="H45" s="252" t="s">
        <v>1244</v>
      </c>
      <c r="I45" s="371" t="s">
        <v>334</v>
      </c>
      <c r="J45" s="161"/>
      <c r="K45" s="161"/>
      <c r="L45" s="161"/>
      <c r="M45" s="161"/>
      <c r="N45" s="161"/>
      <c r="O45" s="161"/>
      <c r="P45" s="161"/>
      <c r="Q45" s="161"/>
      <c r="R45" s="161"/>
    </row>
    <row r="46" spans="1:18" ht="16.5" thickTop="1" thickBot="1" x14ac:dyDescent="0.3">
      <c r="A46" s="308"/>
      <c r="B46" s="104" t="s">
        <v>89</v>
      </c>
      <c r="C46" s="114">
        <v>1440</v>
      </c>
      <c r="D46" s="152">
        <v>113</v>
      </c>
      <c r="E46" s="152">
        <v>149</v>
      </c>
      <c r="F46" s="152">
        <f>1+1+1+1+1</f>
        <v>5</v>
      </c>
      <c r="G46" s="247">
        <f t="shared" si="2"/>
        <v>144</v>
      </c>
      <c r="H46" s="253" t="s">
        <v>1297</v>
      </c>
      <c r="I46" s="371"/>
      <c r="J46" s="161"/>
      <c r="K46" s="161"/>
      <c r="L46" s="161"/>
      <c r="M46" s="161"/>
      <c r="N46" s="161"/>
      <c r="O46" s="161"/>
      <c r="P46" s="161"/>
      <c r="Q46" s="161"/>
      <c r="R46" s="161"/>
    </row>
    <row r="47" spans="1:18" ht="16.5" thickTop="1" thickBot="1" x14ac:dyDescent="0.3">
      <c r="A47" s="308"/>
      <c r="B47" s="104" t="s">
        <v>21</v>
      </c>
      <c r="C47" s="114">
        <v>1440</v>
      </c>
      <c r="D47" s="152">
        <v>160</v>
      </c>
      <c r="E47" s="152">
        <v>100</v>
      </c>
      <c r="F47" s="152">
        <f>1+1+1+1+1+1+10+1+1</f>
        <v>18</v>
      </c>
      <c r="G47" s="247">
        <f t="shared" si="2"/>
        <v>82</v>
      </c>
      <c r="H47" s="253" t="s">
        <v>1298</v>
      </c>
      <c r="I47" s="371"/>
      <c r="J47" s="161"/>
      <c r="K47" s="161"/>
      <c r="L47" s="161"/>
      <c r="M47" s="161"/>
      <c r="N47" s="161"/>
      <c r="O47" s="161"/>
      <c r="P47" s="161"/>
      <c r="Q47" s="161"/>
      <c r="R47" s="161"/>
    </row>
    <row r="48" spans="1:18" ht="16.5" thickTop="1" thickBot="1" x14ac:dyDescent="0.3">
      <c r="A48" s="308"/>
      <c r="B48" s="104" t="s">
        <v>22</v>
      </c>
      <c r="C48" s="114">
        <v>1440</v>
      </c>
      <c r="D48" s="152">
        <v>192</v>
      </c>
      <c r="E48" s="152">
        <v>80</v>
      </c>
      <c r="F48" s="152">
        <f>1+1+1+1+1+10+1+1</f>
        <v>17</v>
      </c>
      <c r="G48" s="247">
        <f t="shared" si="2"/>
        <v>63</v>
      </c>
      <c r="H48" s="253" t="s">
        <v>1299</v>
      </c>
      <c r="I48" s="371"/>
      <c r="J48" s="161"/>
      <c r="K48" s="161"/>
      <c r="L48" s="161"/>
      <c r="M48" s="161"/>
      <c r="N48" s="161"/>
      <c r="O48" s="161"/>
      <c r="P48" s="161"/>
      <c r="Q48" s="161"/>
      <c r="R48" s="161"/>
    </row>
    <row r="49" spans="1:18" ht="16.5" thickTop="1" thickBot="1" x14ac:dyDescent="0.3">
      <c r="A49" s="308"/>
      <c r="B49" s="104" t="s">
        <v>18</v>
      </c>
      <c r="C49" s="114">
        <v>1440</v>
      </c>
      <c r="D49" s="152">
        <v>215</v>
      </c>
      <c r="E49" s="152">
        <v>137</v>
      </c>
      <c r="F49" s="152">
        <f>1+1+1+1+1+10</f>
        <v>15</v>
      </c>
      <c r="G49" s="247">
        <f t="shared" si="2"/>
        <v>122</v>
      </c>
      <c r="H49" s="253" t="s">
        <v>1300</v>
      </c>
      <c r="I49" s="371"/>
      <c r="J49" s="161"/>
      <c r="K49" s="161"/>
      <c r="L49" s="161"/>
      <c r="M49" s="161"/>
      <c r="N49" s="161"/>
      <c r="O49" s="161"/>
      <c r="P49" s="161"/>
      <c r="Q49" s="161"/>
      <c r="R49" s="161"/>
    </row>
    <row r="50" spans="1:18" ht="16.5" thickTop="1" thickBot="1" x14ac:dyDescent="0.3">
      <c r="A50" s="308"/>
      <c r="B50" s="104" t="s">
        <v>19</v>
      </c>
      <c r="C50" s="114">
        <v>1440</v>
      </c>
      <c r="D50" s="152">
        <v>292</v>
      </c>
      <c r="E50" s="152">
        <v>28</v>
      </c>
      <c r="F50" s="152">
        <f>10+1+1+1</f>
        <v>13</v>
      </c>
      <c r="G50" s="247">
        <f t="shared" si="2"/>
        <v>15</v>
      </c>
      <c r="H50" s="253" t="s">
        <v>1301</v>
      </c>
      <c r="I50" s="371"/>
      <c r="J50" s="161"/>
      <c r="K50" s="161"/>
      <c r="L50" s="161"/>
      <c r="M50" s="161"/>
      <c r="N50" s="161"/>
      <c r="O50" s="161"/>
      <c r="P50" s="161"/>
      <c r="Q50" s="161"/>
      <c r="R50" s="161"/>
    </row>
    <row r="51" spans="1:18" ht="16.5" thickTop="1" thickBot="1" x14ac:dyDescent="0.3">
      <c r="A51" s="308"/>
      <c r="B51" s="104" t="s">
        <v>0</v>
      </c>
      <c r="C51" s="114">
        <v>1440</v>
      </c>
      <c r="D51" s="152">
        <v>363</v>
      </c>
      <c r="E51" s="152">
        <v>98</v>
      </c>
      <c r="F51" s="152">
        <f>1+1+10+1+1+1+1</f>
        <v>16</v>
      </c>
      <c r="G51" s="247">
        <f t="shared" si="2"/>
        <v>82</v>
      </c>
      <c r="H51" s="253" t="s">
        <v>1302</v>
      </c>
      <c r="I51" s="371"/>
      <c r="J51" s="161"/>
      <c r="K51" s="161"/>
      <c r="L51" s="161"/>
      <c r="M51" s="161"/>
      <c r="N51" s="161"/>
      <c r="O51" s="161"/>
      <c r="P51" s="161"/>
      <c r="Q51" s="161"/>
      <c r="R51" s="161"/>
    </row>
    <row r="52" spans="1:18" ht="16.5" thickTop="1" thickBot="1" x14ac:dyDescent="0.3">
      <c r="A52" s="308"/>
      <c r="B52" s="104" t="s">
        <v>1</v>
      </c>
      <c r="C52" s="114">
        <v>1440</v>
      </c>
      <c r="D52" s="152">
        <v>555</v>
      </c>
      <c r="E52" s="152">
        <v>116</v>
      </c>
      <c r="F52" s="152">
        <f>2+10+1+1+1</f>
        <v>15</v>
      </c>
      <c r="G52" s="247">
        <f t="shared" si="2"/>
        <v>101</v>
      </c>
      <c r="H52" s="253" t="s">
        <v>1303</v>
      </c>
      <c r="I52" s="371"/>
      <c r="J52" s="161"/>
      <c r="K52" s="161"/>
      <c r="L52" s="161"/>
      <c r="M52" s="161"/>
      <c r="N52" s="161"/>
      <c r="O52" s="161"/>
      <c r="P52" s="161"/>
      <c r="Q52" s="161"/>
      <c r="R52" s="161"/>
    </row>
    <row r="53" spans="1:18" ht="16.5" thickTop="1" thickBot="1" x14ac:dyDescent="0.3">
      <c r="A53" s="309"/>
      <c r="B53" s="178" t="s">
        <v>2</v>
      </c>
      <c r="C53" s="116">
        <v>288</v>
      </c>
      <c r="D53" s="126">
        <v>333</v>
      </c>
      <c r="E53" s="126">
        <v>99</v>
      </c>
      <c r="F53" s="126">
        <f>10+3+1+1+1+1</f>
        <v>17</v>
      </c>
      <c r="G53" s="246">
        <f t="shared" si="2"/>
        <v>82</v>
      </c>
      <c r="H53" s="254" t="s">
        <v>1304</v>
      </c>
      <c r="I53" s="371"/>
      <c r="J53" s="161"/>
      <c r="K53" s="161"/>
      <c r="L53" s="161"/>
      <c r="M53" s="161"/>
      <c r="N53" s="161"/>
      <c r="O53" s="161"/>
      <c r="P53" s="161"/>
      <c r="Q53" s="161"/>
      <c r="R53" s="161"/>
    </row>
    <row r="54" spans="1:18" ht="16.5" thickTop="1" thickBot="1" x14ac:dyDescent="0.3">
      <c r="A54" s="304" t="s">
        <v>147</v>
      </c>
      <c r="B54" s="151" t="s">
        <v>90</v>
      </c>
      <c r="C54" s="151">
        <v>1440</v>
      </c>
      <c r="D54" s="151">
        <v>111</v>
      </c>
      <c r="E54" s="151">
        <v>96</v>
      </c>
      <c r="F54" s="151">
        <f>1+2</f>
        <v>3</v>
      </c>
      <c r="G54" s="243">
        <f t="shared" si="2"/>
        <v>93</v>
      </c>
      <c r="H54" s="252" t="s">
        <v>1245</v>
      </c>
      <c r="I54" s="371" t="s">
        <v>335</v>
      </c>
      <c r="J54" s="161"/>
      <c r="K54" s="161"/>
      <c r="L54" s="161"/>
      <c r="M54" s="161"/>
      <c r="N54" s="161"/>
      <c r="O54" s="161"/>
      <c r="P54" s="161"/>
      <c r="Q54" s="161"/>
      <c r="R54" s="161"/>
    </row>
    <row r="55" spans="1:18" ht="16.5" thickTop="1" thickBot="1" x14ac:dyDescent="0.3">
      <c r="A55" s="305"/>
      <c r="B55" s="152" t="s">
        <v>89</v>
      </c>
      <c r="C55" s="152">
        <v>1440</v>
      </c>
      <c r="D55" s="152">
        <v>113</v>
      </c>
      <c r="E55" s="152">
        <v>103</v>
      </c>
      <c r="F55" s="152">
        <f>1+6+10</f>
        <v>17</v>
      </c>
      <c r="G55" s="245">
        <f t="shared" si="2"/>
        <v>86</v>
      </c>
      <c r="H55" s="253" t="s">
        <v>1305</v>
      </c>
      <c r="I55" s="371"/>
      <c r="J55" s="161"/>
      <c r="K55" s="161"/>
      <c r="L55" s="161"/>
      <c r="M55" s="161"/>
      <c r="N55" s="161"/>
      <c r="O55" s="161"/>
      <c r="P55" s="161"/>
      <c r="Q55" s="161"/>
      <c r="R55" s="161"/>
    </row>
    <row r="56" spans="1:18" ht="16.5" thickTop="1" thickBot="1" x14ac:dyDescent="0.3">
      <c r="A56" s="305"/>
      <c r="B56" s="152" t="s">
        <v>21</v>
      </c>
      <c r="C56" s="152">
        <v>1440</v>
      </c>
      <c r="D56" s="152">
        <v>161</v>
      </c>
      <c r="E56" s="152">
        <v>94</v>
      </c>
      <c r="F56" s="152">
        <f>2+1+1+1+1+1+1+1+2</f>
        <v>11</v>
      </c>
      <c r="G56" s="245">
        <f t="shared" si="2"/>
        <v>83</v>
      </c>
      <c r="H56" s="253" t="s">
        <v>1306</v>
      </c>
      <c r="I56" s="371"/>
      <c r="J56" s="161"/>
      <c r="K56" s="161"/>
      <c r="L56" s="161"/>
      <c r="M56" s="161"/>
      <c r="N56" s="161"/>
      <c r="O56" s="161"/>
      <c r="P56" s="161"/>
      <c r="Q56" s="161"/>
      <c r="R56" s="161"/>
    </row>
    <row r="57" spans="1:18" ht="16.5" thickTop="1" thickBot="1" x14ac:dyDescent="0.3">
      <c r="A57" s="305"/>
      <c r="B57" s="152" t="s">
        <v>22</v>
      </c>
      <c r="C57" s="152">
        <v>1440</v>
      </c>
      <c r="D57" s="152">
        <v>192</v>
      </c>
      <c r="E57" s="152">
        <v>79</v>
      </c>
      <c r="F57" s="152">
        <f>1+4+1+1+1+1+1</f>
        <v>10</v>
      </c>
      <c r="G57" s="247">
        <f t="shared" si="2"/>
        <v>69</v>
      </c>
      <c r="H57" s="253" t="s">
        <v>1307</v>
      </c>
      <c r="I57" s="371"/>
      <c r="J57" s="161"/>
    </row>
    <row r="58" spans="1:18" ht="16.5" thickTop="1" thickBot="1" x14ac:dyDescent="0.3">
      <c r="A58" s="305"/>
      <c r="B58" s="152" t="s">
        <v>18</v>
      </c>
      <c r="C58" s="152">
        <v>1440</v>
      </c>
      <c r="D58" s="152">
        <v>215</v>
      </c>
      <c r="E58" s="152">
        <v>97</v>
      </c>
      <c r="F58" s="152">
        <f>1+2+1+1+1+1+1+1+1+1+1+1+1</f>
        <v>14</v>
      </c>
      <c r="G58" s="247">
        <f t="shared" si="2"/>
        <v>83</v>
      </c>
      <c r="H58" s="253" t="s">
        <v>1308</v>
      </c>
      <c r="I58" s="371"/>
      <c r="J58" s="161"/>
    </row>
    <row r="59" spans="1:18" ht="16.5" thickTop="1" thickBot="1" x14ac:dyDescent="0.3">
      <c r="A59" s="305"/>
      <c r="B59" s="152" t="s">
        <v>19</v>
      </c>
      <c r="C59" s="152">
        <v>1440</v>
      </c>
      <c r="D59" s="152">
        <v>292</v>
      </c>
      <c r="E59" s="83">
        <v>50</v>
      </c>
      <c r="F59" s="152">
        <f>1+1+1+1+1+1+1+1</f>
        <v>8</v>
      </c>
      <c r="G59" s="247">
        <f t="shared" si="2"/>
        <v>42</v>
      </c>
      <c r="H59" s="253" t="s">
        <v>1309</v>
      </c>
      <c r="I59" s="371"/>
      <c r="J59" s="161"/>
    </row>
    <row r="60" spans="1:18" ht="16.5" thickTop="1" thickBot="1" x14ac:dyDescent="0.3">
      <c r="A60" s="305"/>
      <c r="B60" s="152" t="s">
        <v>0</v>
      </c>
      <c r="C60" s="152">
        <v>1440</v>
      </c>
      <c r="D60" s="152">
        <v>363</v>
      </c>
      <c r="E60" s="83">
        <v>74</v>
      </c>
      <c r="F60" s="152">
        <f>1+2+1+1+1+4+3+1+1+1+1+1+1+2+1+1+1+1+1+1+2+10+2+1+1+1+1+1+1+1+2</f>
        <v>50</v>
      </c>
      <c r="G60" s="247">
        <f t="shared" si="2"/>
        <v>24</v>
      </c>
      <c r="H60" s="253" t="s">
        <v>1310</v>
      </c>
      <c r="I60" s="371"/>
      <c r="J60" s="161"/>
    </row>
    <row r="61" spans="1:18" ht="16.5" thickTop="1" thickBot="1" x14ac:dyDescent="0.3">
      <c r="A61" s="305"/>
      <c r="B61" s="152" t="s">
        <v>1</v>
      </c>
      <c r="C61" s="152">
        <v>1440</v>
      </c>
      <c r="D61" s="152">
        <v>555</v>
      </c>
      <c r="E61" s="83">
        <v>120</v>
      </c>
      <c r="F61" s="152">
        <f>2+1+1+1+1+1+1+1+1+1+1+6+1+4+1+10+10+1+1+1+2</f>
        <v>49</v>
      </c>
      <c r="G61" s="247">
        <f t="shared" si="2"/>
        <v>71</v>
      </c>
      <c r="H61" s="253" t="s">
        <v>1311</v>
      </c>
      <c r="I61" s="371"/>
      <c r="J61" s="161"/>
    </row>
    <row r="62" spans="1:18" ht="16.5" thickTop="1" thickBot="1" x14ac:dyDescent="0.3">
      <c r="A62" s="305"/>
      <c r="B62" s="152" t="s">
        <v>2</v>
      </c>
      <c r="C62" s="152">
        <v>288</v>
      </c>
      <c r="D62" s="152">
        <v>333</v>
      </c>
      <c r="E62" s="152">
        <v>78</v>
      </c>
      <c r="F62" s="152">
        <f>1+1+2+1+1+1+1+1+1+1+1+1+1+1+1+1+1+2+1+2</f>
        <v>23</v>
      </c>
      <c r="G62" s="247">
        <f t="shared" si="2"/>
        <v>55</v>
      </c>
      <c r="H62" s="253" t="s">
        <v>1312</v>
      </c>
      <c r="I62" s="371"/>
      <c r="J62" s="161"/>
    </row>
    <row r="63" spans="1:18" ht="16.5" thickTop="1" thickBot="1" x14ac:dyDescent="0.3">
      <c r="A63" s="305"/>
      <c r="B63" s="152" t="s">
        <v>5</v>
      </c>
      <c r="C63" s="152">
        <v>144</v>
      </c>
      <c r="D63" s="152">
        <v>553</v>
      </c>
      <c r="E63" s="152">
        <v>197</v>
      </c>
      <c r="F63" s="152">
        <v>2</v>
      </c>
      <c r="G63" s="245">
        <f t="shared" si="2"/>
        <v>195</v>
      </c>
      <c r="H63" s="253" t="s">
        <v>1313</v>
      </c>
      <c r="I63" s="371"/>
      <c r="J63" s="161"/>
    </row>
    <row r="64" spans="1:18" ht="16.5" thickTop="1" thickBot="1" x14ac:dyDescent="0.3">
      <c r="A64" s="305"/>
      <c r="B64" s="154" t="s">
        <v>20</v>
      </c>
      <c r="C64" s="154">
        <v>144</v>
      </c>
      <c r="D64" s="154">
        <v>580</v>
      </c>
      <c r="E64" s="154">
        <v>17</v>
      </c>
      <c r="F64" s="154">
        <f>1+1+1+1+1+1+2</f>
        <v>8</v>
      </c>
      <c r="G64" s="247">
        <f t="shared" si="2"/>
        <v>9</v>
      </c>
      <c r="H64" s="254" t="s">
        <v>1314</v>
      </c>
      <c r="I64" s="371"/>
      <c r="J64" s="161"/>
    </row>
    <row r="65" spans="1:10" ht="16.5" thickTop="1" thickBot="1" x14ac:dyDescent="0.3">
      <c r="A65" s="310" t="s">
        <v>70</v>
      </c>
      <c r="B65" s="151" t="s">
        <v>90</v>
      </c>
      <c r="C65" s="151">
        <v>1440</v>
      </c>
      <c r="D65" s="151">
        <v>111</v>
      </c>
      <c r="E65" s="151">
        <v>130</v>
      </c>
      <c r="F65" s="151">
        <v>1</v>
      </c>
      <c r="G65" s="243">
        <f>E65-F65</f>
        <v>129</v>
      </c>
      <c r="H65" s="252" t="s">
        <v>1246</v>
      </c>
      <c r="I65" s="371" t="s">
        <v>336</v>
      </c>
      <c r="J65" s="161"/>
    </row>
    <row r="66" spans="1:10" ht="16.5" thickTop="1" thickBot="1" x14ac:dyDescent="0.3">
      <c r="A66" s="311"/>
      <c r="B66" s="152" t="s">
        <v>89</v>
      </c>
      <c r="C66" s="152">
        <v>1440</v>
      </c>
      <c r="D66" s="152">
        <v>113</v>
      </c>
      <c r="E66" s="152">
        <v>100</v>
      </c>
      <c r="F66" s="152">
        <f>1+1+1+1+2</f>
        <v>6</v>
      </c>
      <c r="G66" s="245">
        <f>E66-F66</f>
        <v>94</v>
      </c>
      <c r="H66" s="253" t="s">
        <v>1315</v>
      </c>
      <c r="I66" s="371"/>
      <c r="J66" s="161"/>
    </row>
    <row r="67" spans="1:10" ht="16.5" thickTop="1" thickBot="1" x14ac:dyDescent="0.3">
      <c r="A67" s="311"/>
      <c r="B67" s="152" t="s">
        <v>22</v>
      </c>
      <c r="C67" s="152">
        <v>1440</v>
      </c>
      <c r="D67" s="152">
        <v>192</v>
      </c>
      <c r="E67" s="83">
        <v>80</v>
      </c>
      <c r="F67" s="152">
        <v>1</v>
      </c>
      <c r="G67" s="245">
        <f>E67-F67</f>
        <v>79</v>
      </c>
      <c r="H67" s="253" t="s">
        <v>1316</v>
      </c>
      <c r="I67" s="371"/>
      <c r="J67" s="161"/>
    </row>
    <row r="68" spans="1:10" ht="16.5" thickTop="1" thickBot="1" x14ac:dyDescent="0.3">
      <c r="A68" s="311"/>
      <c r="B68" s="152" t="s">
        <v>18</v>
      </c>
      <c r="C68" s="152">
        <v>1440</v>
      </c>
      <c r="D68" s="152">
        <v>215</v>
      </c>
      <c r="E68" s="83">
        <v>70</v>
      </c>
      <c r="F68" s="152">
        <v>1</v>
      </c>
      <c r="G68" s="245">
        <f t="shared" ref="G68:G74" si="3">E68-F68</f>
        <v>69</v>
      </c>
      <c r="H68" s="253" t="s">
        <v>1317</v>
      </c>
      <c r="I68" s="371"/>
      <c r="J68" s="161"/>
    </row>
    <row r="69" spans="1:10" ht="16.5" thickTop="1" thickBot="1" x14ac:dyDescent="0.3">
      <c r="A69" s="311"/>
      <c r="B69" s="152" t="s">
        <v>19</v>
      </c>
      <c r="C69" s="152">
        <v>1440</v>
      </c>
      <c r="D69" s="152">
        <v>292</v>
      </c>
      <c r="E69" s="83">
        <v>30</v>
      </c>
      <c r="F69" s="152"/>
      <c r="G69" s="245">
        <f t="shared" si="3"/>
        <v>30</v>
      </c>
      <c r="H69" s="253" t="s">
        <v>1318</v>
      </c>
      <c r="I69" s="371"/>
      <c r="J69" s="161"/>
    </row>
    <row r="70" spans="1:10" ht="16.5" thickTop="1" thickBot="1" x14ac:dyDescent="0.3">
      <c r="A70" s="311"/>
      <c r="B70" s="152" t="s">
        <v>0</v>
      </c>
      <c r="C70" s="152">
        <v>1440</v>
      </c>
      <c r="D70" s="152">
        <v>363</v>
      </c>
      <c r="E70" s="83">
        <v>98</v>
      </c>
      <c r="F70" s="152">
        <f>1+1+1</f>
        <v>3</v>
      </c>
      <c r="G70" s="245">
        <f t="shared" si="3"/>
        <v>95</v>
      </c>
      <c r="H70" s="253" t="s">
        <v>1319</v>
      </c>
      <c r="I70" s="371"/>
      <c r="J70" s="161"/>
    </row>
    <row r="71" spans="1:10" ht="16.5" thickTop="1" thickBot="1" x14ac:dyDescent="0.3">
      <c r="A71" s="311"/>
      <c r="B71" s="152" t="s">
        <v>1</v>
      </c>
      <c r="C71" s="152">
        <v>1440</v>
      </c>
      <c r="D71" s="152">
        <v>555</v>
      </c>
      <c r="E71" s="83">
        <v>75</v>
      </c>
      <c r="F71" s="152">
        <f>1+1</f>
        <v>2</v>
      </c>
      <c r="G71" s="245">
        <f t="shared" si="3"/>
        <v>73</v>
      </c>
      <c r="H71" s="253" t="s">
        <v>1320</v>
      </c>
      <c r="I71" s="371"/>
      <c r="J71" s="161"/>
    </row>
    <row r="72" spans="1:10" ht="16.5" thickTop="1" thickBot="1" x14ac:dyDescent="0.3">
      <c r="A72" s="312"/>
      <c r="B72" s="126" t="s">
        <v>2</v>
      </c>
      <c r="C72" s="126">
        <v>288</v>
      </c>
      <c r="D72" s="116">
        <v>333</v>
      </c>
      <c r="E72" s="116">
        <v>20</v>
      </c>
      <c r="F72" s="126">
        <v>1</v>
      </c>
      <c r="G72" s="246">
        <f t="shared" si="3"/>
        <v>19</v>
      </c>
      <c r="H72" s="254" t="s">
        <v>1321</v>
      </c>
      <c r="I72" s="371"/>
      <c r="J72" s="161"/>
    </row>
    <row r="73" spans="1:10" ht="16.5" thickTop="1" thickBot="1" x14ac:dyDescent="0.3">
      <c r="A73" s="304" t="s">
        <v>393</v>
      </c>
      <c r="B73" s="151" t="s">
        <v>90</v>
      </c>
      <c r="C73" s="151">
        <v>1440</v>
      </c>
      <c r="D73" s="30">
        <v>160</v>
      </c>
      <c r="E73" s="45">
        <v>100</v>
      </c>
      <c r="F73" s="151">
        <f>1+1+2+1+1+1</f>
        <v>7</v>
      </c>
      <c r="G73" s="243">
        <f t="shared" si="3"/>
        <v>93</v>
      </c>
      <c r="H73" s="252" t="s">
        <v>1247</v>
      </c>
      <c r="I73" s="371" t="s">
        <v>338</v>
      </c>
      <c r="J73" s="161"/>
    </row>
    <row r="74" spans="1:10" ht="16.5" thickTop="1" thickBot="1" x14ac:dyDescent="0.3">
      <c r="A74" s="305"/>
      <c r="B74" s="152" t="s">
        <v>89</v>
      </c>
      <c r="C74" s="152">
        <v>1440</v>
      </c>
      <c r="D74" s="27">
        <v>160</v>
      </c>
      <c r="E74" s="83">
        <v>98</v>
      </c>
      <c r="F74" s="152"/>
      <c r="G74" s="245">
        <f t="shared" si="3"/>
        <v>98</v>
      </c>
      <c r="H74" s="253" t="s">
        <v>1322</v>
      </c>
      <c r="I74" s="371"/>
      <c r="J74" s="161"/>
    </row>
    <row r="75" spans="1:10" ht="16.5" thickTop="1" thickBot="1" x14ac:dyDescent="0.3">
      <c r="A75" s="305"/>
      <c r="B75" s="153" t="s">
        <v>21</v>
      </c>
      <c r="C75" s="153">
        <v>1440</v>
      </c>
      <c r="D75" s="26">
        <v>160.33333333333334</v>
      </c>
      <c r="E75" s="153">
        <v>96</v>
      </c>
      <c r="F75" s="153">
        <f>1+2+1+5+1</f>
        <v>10</v>
      </c>
      <c r="G75" s="244">
        <f t="shared" ref="G75:G85" si="4">E75-F75</f>
        <v>86</v>
      </c>
      <c r="H75" s="253" t="s">
        <v>1323</v>
      </c>
      <c r="I75" s="371"/>
      <c r="J75" s="161"/>
    </row>
    <row r="76" spans="1:10" ht="16.5" thickTop="1" thickBot="1" x14ac:dyDescent="0.3">
      <c r="A76" s="305"/>
      <c r="B76" s="152" t="s">
        <v>22</v>
      </c>
      <c r="C76" s="152">
        <v>1440</v>
      </c>
      <c r="D76" s="27">
        <v>192.44444444444446</v>
      </c>
      <c r="E76" s="152">
        <v>79</v>
      </c>
      <c r="F76" s="152">
        <v>1</v>
      </c>
      <c r="G76" s="245">
        <f t="shared" si="4"/>
        <v>78</v>
      </c>
      <c r="H76" s="253" t="s">
        <v>1324</v>
      </c>
      <c r="I76" s="371"/>
      <c r="J76" s="161"/>
    </row>
    <row r="77" spans="1:10" ht="16.5" thickTop="1" thickBot="1" x14ac:dyDescent="0.3">
      <c r="A77" s="305"/>
      <c r="B77" s="152" t="s">
        <v>18</v>
      </c>
      <c r="C77" s="152">
        <v>1440</v>
      </c>
      <c r="D77" s="27">
        <v>226</v>
      </c>
      <c r="E77" s="152">
        <v>69</v>
      </c>
      <c r="F77" s="152">
        <f>1+2</f>
        <v>3</v>
      </c>
      <c r="G77" s="245">
        <f t="shared" si="4"/>
        <v>66</v>
      </c>
      <c r="H77" s="253" t="s">
        <v>1325</v>
      </c>
      <c r="I77" s="371"/>
      <c r="J77" s="161"/>
    </row>
    <row r="78" spans="1:10" ht="16.5" thickTop="1" thickBot="1" x14ac:dyDescent="0.3">
      <c r="A78" s="305"/>
      <c r="B78" s="152" t="s">
        <v>19</v>
      </c>
      <c r="C78" s="152">
        <v>1440</v>
      </c>
      <c r="D78" s="27">
        <v>282.16666666666663</v>
      </c>
      <c r="E78" s="152">
        <v>49</v>
      </c>
      <c r="F78" s="152">
        <f>1+1+1+1</f>
        <v>4</v>
      </c>
      <c r="G78" s="245">
        <f t="shared" si="4"/>
        <v>45</v>
      </c>
      <c r="H78" s="253" t="s">
        <v>1326</v>
      </c>
      <c r="I78" s="371"/>
      <c r="J78" s="161"/>
    </row>
    <row r="79" spans="1:10" ht="16.5" thickTop="1" thickBot="1" x14ac:dyDescent="0.3">
      <c r="A79" s="305"/>
      <c r="B79" s="152" t="s">
        <v>0</v>
      </c>
      <c r="C79" s="152">
        <v>1440</v>
      </c>
      <c r="D79" s="27">
        <v>361.49999999999994</v>
      </c>
      <c r="E79" s="152">
        <v>95</v>
      </c>
      <c r="F79" s="152">
        <f>1+2+1+1+1+1+1</f>
        <v>8</v>
      </c>
      <c r="G79" s="245">
        <f t="shared" si="4"/>
        <v>87</v>
      </c>
      <c r="H79" s="253" t="s">
        <v>1327</v>
      </c>
      <c r="I79" s="371"/>
      <c r="J79" s="161"/>
    </row>
    <row r="80" spans="1:10" ht="16.5" thickTop="1" thickBot="1" x14ac:dyDescent="0.3">
      <c r="A80" s="305"/>
      <c r="B80" s="154" t="s">
        <v>1</v>
      </c>
      <c r="C80" s="154">
        <v>1440</v>
      </c>
      <c r="D80" s="29">
        <v>582.5</v>
      </c>
      <c r="E80" s="154">
        <f>147+45</f>
        <v>192</v>
      </c>
      <c r="F80" s="154">
        <f>1+1+5+4+1</f>
        <v>12</v>
      </c>
      <c r="G80" s="245">
        <f t="shared" si="4"/>
        <v>180</v>
      </c>
      <c r="H80" s="253" t="s">
        <v>1328</v>
      </c>
      <c r="I80" s="371"/>
      <c r="J80" s="161"/>
    </row>
    <row r="81" spans="1:18" ht="16.5" thickTop="1" thickBot="1" x14ac:dyDescent="0.3">
      <c r="A81" s="305"/>
      <c r="B81" s="152" t="s">
        <v>2</v>
      </c>
      <c r="C81" s="152">
        <v>288</v>
      </c>
      <c r="D81" s="27">
        <v>332</v>
      </c>
      <c r="E81" s="152">
        <v>100</v>
      </c>
      <c r="F81" s="152">
        <f>1+1</f>
        <v>2</v>
      </c>
      <c r="G81" s="245">
        <f t="shared" si="4"/>
        <v>98</v>
      </c>
      <c r="H81" s="253" t="s">
        <v>1329</v>
      </c>
      <c r="I81" s="371"/>
      <c r="J81" s="161"/>
    </row>
    <row r="82" spans="1:18" ht="16.5" thickTop="1" thickBot="1" x14ac:dyDescent="0.3">
      <c r="A82" s="306"/>
      <c r="B82" s="126" t="s">
        <v>5</v>
      </c>
      <c r="C82" s="126">
        <v>144</v>
      </c>
      <c r="D82" s="28">
        <v>856</v>
      </c>
      <c r="E82" s="46">
        <v>74</v>
      </c>
      <c r="F82" s="126">
        <v>1</v>
      </c>
      <c r="G82" s="246">
        <f t="shared" si="4"/>
        <v>73</v>
      </c>
      <c r="H82" s="254" t="s">
        <v>1330</v>
      </c>
      <c r="I82" s="371"/>
      <c r="J82" s="161"/>
    </row>
    <row r="83" spans="1:18" ht="16.5" thickTop="1" thickBot="1" x14ac:dyDescent="0.3">
      <c r="A83" s="307" t="s">
        <v>418</v>
      </c>
      <c r="B83" s="151" t="s">
        <v>90</v>
      </c>
      <c r="C83" s="151">
        <v>1440</v>
      </c>
      <c r="D83" s="151">
        <v>148</v>
      </c>
      <c r="E83" s="45">
        <v>108</v>
      </c>
      <c r="F83" s="151">
        <f>1+1+1+1+3</f>
        <v>7</v>
      </c>
      <c r="G83" s="243">
        <f t="shared" si="4"/>
        <v>101</v>
      </c>
      <c r="H83" s="252" t="s">
        <v>1210</v>
      </c>
      <c r="I83" s="371" t="s">
        <v>339</v>
      </c>
      <c r="J83" s="161"/>
    </row>
    <row r="84" spans="1:18" ht="16.5" thickTop="1" thickBot="1" x14ac:dyDescent="0.3">
      <c r="A84" s="308"/>
      <c r="B84" s="152" t="s">
        <v>89</v>
      </c>
      <c r="C84" s="152">
        <v>1440</v>
      </c>
      <c r="D84" s="152">
        <v>148</v>
      </c>
      <c r="E84" s="83">
        <f>84+50</f>
        <v>134</v>
      </c>
      <c r="F84" s="152">
        <f>1+1+1</f>
        <v>3</v>
      </c>
      <c r="G84" s="245">
        <f t="shared" si="4"/>
        <v>131</v>
      </c>
      <c r="H84" s="253" t="s">
        <v>1331</v>
      </c>
      <c r="I84" s="371"/>
      <c r="J84" s="161"/>
    </row>
    <row r="85" spans="1:18" ht="16.5" thickTop="1" thickBot="1" x14ac:dyDescent="0.3">
      <c r="A85" s="308"/>
      <c r="B85" s="153" t="s">
        <v>21</v>
      </c>
      <c r="C85" s="153">
        <v>1440</v>
      </c>
      <c r="D85" s="153">
        <v>161</v>
      </c>
      <c r="E85" s="153">
        <f>96+50</f>
        <v>146</v>
      </c>
      <c r="F85" s="153">
        <f>2+2+4+2+3</f>
        <v>13</v>
      </c>
      <c r="G85" s="244">
        <f t="shared" si="4"/>
        <v>133</v>
      </c>
      <c r="H85" s="253" t="s">
        <v>1332</v>
      </c>
      <c r="I85" s="371"/>
      <c r="J85" s="161"/>
    </row>
    <row r="86" spans="1:18" ht="16.5" thickTop="1" thickBot="1" x14ac:dyDescent="0.3">
      <c r="A86" s="308"/>
      <c r="B86" s="152" t="s">
        <v>22</v>
      </c>
      <c r="C86" s="152">
        <v>1440</v>
      </c>
      <c r="D86" s="152">
        <v>192</v>
      </c>
      <c r="E86" s="152">
        <f>78+40</f>
        <v>118</v>
      </c>
      <c r="F86" s="152">
        <f>2+1+1+1+4+1</f>
        <v>10</v>
      </c>
      <c r="G86" s="245">
        <f t="shared" ref="G86:G94" si="5">E86-F86</f>
        <v>108</v>
      </c>
      <c r="H86" s="253" t="s">
        <v>1333</v>
      </c>
      <c r="I86" s="371"/>
      <c r="J86" s="161"/>
    </row>
    <row r="87" spans="1:18" ht="16.5" thickTop="1" thickBot="1" x14ac:dyDescent="0.3">
      <c r="A87" s="308"/>
      <c r="B87" s="152" t="s">
        <v>18</v>
      </c>
      <c r="C87" s="152">
        <v>1440</v>
      </c>
      <c r="D87" s="152">
        <v>226</v>
      </c>
      <c r="E87" s="152">
        <f>97+50</f>
        <v>147</v>
      </c>
      <c r="F87" s="152">
        <f>1+2+1</f>
        <v>4</v>
      </c>
      <c r="G87" s="245">
        <f t="shared" si="5"/>
        <v>143</v>
      </c>
      <c r="H87" s="253" t="s">
        <v>1334</v>
      </c>
      <c r="I87" s="371"/>
      <c r="J87" s="161"/>
    </row>
    <row r="88" spans="1:18" ht="16.5" thickTop="1" thickBot="1" x14ac:dyDescent="0.3">
      <c r="A88" s="308"/>
      <c r="B88" s="152" t="s">
        <v>19</v>
      </c>
      <c r="C88" s="152">
        <v>1440</v>
      </c>
      <c r="D88" s="152">
        <v>281</v>
      </c>
      <c r="E88" s="152">
        <f>20+25+30+50</f>
        <v>125</v>
      </c>
      <c r="F88" s="152">
        <f>1+2+1+1+2</f>
        <v>7</v>
      </c>
      <c r="G88" s="245">
        <f t="shared" si="5"/>
        <v>118</v>
      </c>
      <c r="H88" s="253" t="s">
        <v>1335</v>
      </c>
      <c r="I88" s="371"/>
      <c r="J88" s="161"/>
      <c r="K88" s="161"/>
      <c r="L88" s="161"/>
      <c r="M88" s="161"/>
      <c r="N88" s="161"/>
      <c r="O88" s="161"/>
      <c r="P88" s="161"/>
      <c r="Q88" s="161"/>
      <c r="R88" s="161"/>
    </row>
    <row r="89" spans="1:18" ht="16.5" thickTop="1" thickBot="1" x14ac:dyDescent="0.3">
      <c r="A89" s="308"/>
      <c r="B89" s="152" t="s">
        <v>0</v>
      </c>
      <c r="C89" s="152">
        <v>1440</v>
      </c>
      <c r="D89" s="152">
        <v>362</v>
      </c>
      <c r="E89" s="152">
        <f>90+50</f>
        <v>140</v>
      </c>
      <c r="F89" s="152">
        <f>1+1+1+1+1+1</f>
        <v>6</v>
      </c>
      <c r="G89" s="245">
        <f t="shared" si="5"/>
        <v>134</v>
      </c>
      <c r="H89" s="253" t="s">
        <v>1336</v>
      </c>
      <c r="I89" s="371"/>
      <c r="J89" s="161"/>
      <c r="K89" s="161"/>
      <c r="L89" s="161"/>
      <c r="M89" s="161"/>
      <c r="N89" s="161"/>
      <c r="O89" s="161"/>
      <c r="P89" s="161"/>
      <c r="Q89" s="161"/>
      <c r="R89" s="161"/>
    </row>
    <row r="90" spans="1:18" ht="16.5" thickTop="1" thickBot="1" x14ac:dyDescent="0.3">
      <c r="A90" s="308"/>
      <c r="B90" s="152" t="s">
        <v>1</v>
      </c>
      <c r="C90" s="152">
        <v>1440</v>
      </c>
      <c r="D90" s="152">
        <v>583</v>
      </c>
      <c r="E90" s="152">
        <v>140</v>
      </c>
      <c r="F90" s="152">
        <f>1+1</f>
        <v>2</v>
      </c>
      <c r="G90" s="245">
        <f t="shared" si="5"/>
        <v>138</v>
      </c>
      <c r="H90" s="253" t="s">
        <v>1337</v>
      </c>
      <c r="I90" s="371"/>
      <c r="J90" s="161"/>
      <c r="K90" s="161"/>
      <c r="L90" s="161"/>
      <c r="M90" s="161"/>
      <c r="N90" s="161"/>
      <c r="O90" s="161"/>
      <c r="P90" s="161"/>
      <c r="Q90" s="161"/>
      <c r="R90" s="161"/>
    </row>
    <row r="91" spans="1:18" ht="16.5" thickTop="1" thickBot="1" x14ac:dyDescent="0.3">
      <c r="A91" s="308"/>
      <c r="B91" s="154" t="s">
        <v>2</v>
      </c>
      <c r="C91" s="154">
        <v>288</v>
      </c>
      <c r="D91" s="154">
        <v>332</v>
      </c>
      <c r="E91" s="154">
        <v>97</v>
      </c>
      <c r="F91" s="154">
        <v>1</v>
      </c>
      <c r="G91" s="245">
        <f t="shared" si="5"/>
        <v>96</v>
      </c>
      <c r="H91" s="253" t="s">
        <v>1338</v>
      </c>
      <c r="I91" s="371"/>
      <c r="J91" s="161"/>
      <c r="K91" s="161"/>
      <c r="L91" s="161"/>
      <c r="M91" s="161"/>
      <c r="N91" s="161"/>
      <c r="O91" s="161"/>
      <c r="P91" s="161"/>
      <c r="Q91" s="161"/>
      <c r="R91" s="161"/>
    </row>
    <row r="92" spans="1:18" ht="16.5" thickTop="1" thickBot="1" x14ac:dyDescent="0.3">
      <c r="A92" s="309"/>
      <c r="B92" s="126" t="s">
        <v>5</v>
      </c>
      <c r="C92" s="126">
        <v>144</v>
      </c>
      <c r="D92" s="126">
        <v>856</v>
      </c>
      <c r="E92" s="126">
        <v>75</v>
      </c>
      <c r="F92" s="126"/>
      <c r="G92" s="246">
        <f t="shared" si="5"/>
        <v>75</v>
      </c>
      <c r="H92" s="254" t="s">
        <v>1339</v>
      </c>
      <c r="I92" s="371"/>
      <c r="J92" s="161"/>
      <c r="K92" s="161"/>
      <c r="L92" s="161"/>
      <c r="M92" s="161"/>
      <c r="N92" s="161"/>
      <c r="O92" s="161"/>
      <c r="P92" s="161"/>
      <c r="Q92" s="161"/>
      <c r="R92" s="161"/>
    </row>
    <row r="93" spans="1:18" ht="16.5" thickTop="1" thickBot="1" x14ac:dyDescent="0.3">
      <c r="A93" s="307" t="s">
        <v>215</v>
      </c>
      <c r="B93" s="151" t="s">
        <v>90</v>
      </c>
      <c r="C93" s="151">
        <v>1440</v>
      </c>
      <c r="D93" s="151">
        <v>148</v>
      </c>
      <c r="E93" s="45">
        <v>91</v>
      </c>
      <c r="F93" s="151">
        <f>1+2+1+2+1+1+1+2+1+1+1+1+1+1+10+1+1+1+1</f>
        <v>31</v>
      </c>
      <c r="G93" s="243">
        <f t="shared" si="5"/>
        <v>60</v>
      </c>
      <c r="H93" s="252" t="s">
        <v>1212</v>
      </c>
      <c r="I93" s="371" t="s">
        <v>340</v>
      </c>
      <c r="J93" s="161"/>
      <c r="K93" s="161"/>
      <c r="L93" s="161"/>
      <c r="M93" s="161"/>
      <c r="N93" s="161"/>
      <c r="O93" s="161"/>
      <c r="P93" s="161"/>
      <c r="Q93" s="161"/>
      <c r="R93" s="161"/>
    </row>
    <row r="94" spans="1:18" ht="15.75" customHeight="1" thickTop="1" thickBot="1" x14ac:dyDescent="0.3">
      <c r="A94" s="308"/>
      <c r="B94" s="152" t="s">
        <v>89</v>
      </c>
      <c r="C94" s="152">
        <v>1440</v>
      </c>
      <c r="D94" s="152">
        <v>143</v>
      </c>
      <c r="E94" s="152">
        <f>90+50</f>
        <v>140</v>
      </c>
      <c r="F94" s="152">
        <f>1+1+1+1+1+1+1+1+2+1+1+1+1+1+1+1+1+1+1</f>
        <v>20</v>
      </c>
      <c r="G94" s="245">
        <f t="shared" si="5"/>
        <v>120</v>
      </c>
      <c r="H94" s="253" t="s">
        <v>1340</v>
      </c>
      <c r="I94" s="371"/>
      <c r="J94" s="161"/>
      <c r="K94" s="161"/>
      <c r="L94" s="161"/>
      <c r="M94" s="161"/>
      <c r="N94" s="161"/>
      <c r="O94" s="161"/>
      <c r="P94" s="161"/>
      <c r="Q94" s="161"/>
      <c r="R94" s="161"/>
    </row>
    <row r="95" spans="1:18" ht="15.75" customHeight="1" thickTop="1" thickBot="1" x14ac:dyDescent="0.3">
      <c r="A95" s="308"/>
      <c r="B95" s="152" t="s">
        <v>21</v>
      </c>
      <c r="C95" s="152">
        <v>1440</v>
      </c>
      <c r="D95" s="152">
        <v>161</v>
      </c>
      <c r="E95" s="152">
        <f>93+50</f>
        <v>143</v>
      </c>
      <c r="F95" s="152">
        <f>1+2+1+1+2+3+1+1+2+5+1+1+1+1+1+1+4+1+1+1+10+1+5+1+1+1+20</f>
        <v>71</v>
      </c>
      <c r="G95" s="245">
        <f t="shared" ref="G95:G112" si="6">E95-F95</f>
        <v>72</v>
      </c>
      <c r="H95" s="253" t="s">
        <v>1341</v>
      </c>
      <c r="I95" s="371"/>
      <c r="J95" s="161"/>
      <c r="K95" s="161"/>
      <c r="L95" s="161"/>
      <c r="M95" s="161"/>
      <c r="N95" s="161"/>
      <c r="O95" s="161"/>
      <c r="P95" s="161"/>
      <c r="Q95" s="161"/>
      <c r="R95" s="161"/>
    </row>
    <row r="96" spans="1:18" ht="15.75" customHeight="1" thickTop="1" thickBot="1" x14ac:dyDescent="0.3">
      <c r="A96" s="308"/>
      <c r="B96" s="153" t="s">
        <v>22</v>
      </c>
      <c r="C96" s="153">
        <v>1440</v>
      </c>
      <c r="D96" s="153">
        <v>192</v>
      </c>
      <c r="E96" s="153">
        <f>74+40</f>
        <v>114</v>
      </c>
      <c r="F96" s="153">
        <f>1+1+1+1+1+1+1+1+1+1+1+1+1+1+1+1+20+2+1</f>
        <v>39</v>
      </c>
      <c r="G96" s="244">
        <f t="shared" si="6"/>
        <v>75</v>
      </c>
      <c r="H96" s="253" t="s">
        <v>1342</v>
      </c>
      <c r="I96" s="371"/>
      <c r="J96" s="161"/>
      <c r="K96" s="161"/>
      <c r="L96" s="161"/>
      <c r="M96" s="161"/>
      <c r="N96" s="161"/>
      <c r="O96" s="161"/>
      <c r="P96" s="161"/>
      <c r="Q96" s="161"/>
      <c r="R96" s="161"/>
    </row>
    <row r="97" spans="1:18" ht="15.75" customHeight="1" thickTop="1" thickBot="1" x14ac:dyDescent="0.3">
      <c r="A97" s="308"/>
      <c r="B97" s="153" t="s">
        <v>18</v>
      </c>
      <c r="C97" s="153">
        <v>1440</v>
      </c>
      <c r="D97" s="153">
        <v>226</v>
      </c>
      <c r="E97" s="153">
        <f>67+50</f>
        <v>117</v>
      </c>
      <c r="F97" s="153">
        <f>1+1+1+1+1+1+1+1+1+1+1+1+1+20</f>
        <v>33</v>
      </c>
      <c r="G97" s="244">
        <f t="shared" si="6"/>
        <v>84</v>
      </c>
      <c r="H97" s="253" t="s">
        <v>1343</v>
      </c>
      <c r="I97" s="371"/>
      <c r="J97" s="161"/>
      <c r="K97" s="161"/>
      <c r="L97" s="161"/>
      <c r="M97" s="161"/>
      <c r="N97" s="161"/>
      <c r="O97" s="161"/>
      <c r="P97" s="161"/>
      <c r="Q97" s="161"/>
      <c r="R97" s="161"/>
    </row>
    <row r="98" spans="1:18" ht="16.5" thickTop="1" thickBot="1" x14ac:dyDescent="0.3">
      <c r="A98" s="308"/>
      <c r="B98" s="152" t="s">
        <v>19</v>
      </c>
      <c r="C98" s="152">
        <v>1440</v>
      </c>
      <c r="D98" s="152">
        <v>281</v>
      </c>
      <c r="E98" s="152">
        <f>30+23+50</f>
        <v>103</v>
      </c>
      <c r="F98" s="152">
        <f>1+2+1+1+1+1+1+2+1+10+1+3+20</f>
        <v>45</v>
      </c>
      <c r="G98" s="245">
        <f t="shared" si="6"/>
        <v>58</v>
      </c>
      <c r="H98" s="253" t="s">
        <v>1344</v>
      </c>
      <c r="I98" s="371"/>
      <c r="J98" s="161"/>
      <c r="K98" s="161"/>
      <c r="L98" s="161"/>
      <c r="M98" s="161"/>
      <c r="N98" s="161"/>
      <c r="O98" s="161"/>
      <c r="P98" s="161"/>
      <c r="Q98" s="161"/>
      <c r="R98" s="161"/>
    </row>
    <row r="99" spans="1:18" ht="16.5" thickTop="1" thickBot="1" x14ac:dyDescent="0.3">
      <c r="A99" s="308"/>
      <c r="B99" s="152" t="s">
        <v>0</v>
      </c>
      <c r="C99" s="152">
        <v>1440</v>
      </c>
      <c r="D99" s="152">
        <v>362</v>
      </c>
      <c r="E99" s="152">
        <f>84+49</f>
        <v>133</v>
      </c>
      <c r="F99" s="152">
        <f>4+1+1+1+1+1+1+4+1+1+2+1+3+1+1+1+1+3+3+1+1+1+15+1+1+1+1+1+20+1</f>
        <v>76</v>
      </c>
      <c r="G99" s="245">
        <f t="shared" si="6"/>
        <v>57</v>
      </c>
      <c r="H99" s="253" t="s">
        <v>1345</v>
      </c>
      <c r="I99" s="371"/>
      <c r="J99" s="161"/>
      <c r="K99" s="161"/>
      <c r="L99" s="161"/>
      <c r="M99" s="161"/>
      <c r="N99" s="161"/>
      <c r="O99" s="161"/>
      <c r="P99" s="161"/>
      <c r="Q99" s="161"/>
      <c r="R99" s="161"/>
    </row>
    <row r="100" spans="1:18" ht="16.5" thickTop="1" thickBot="1" x14ac:dyDescent="0.3">
      <c r="A100" s="308"/>
      <c r="B100" s="152" t="s">
        <v>1</v>
      </c>
      <c r="C100" s="152">
        <v>1440</v>
      </c>
      <c r="D100" s="152">
        <v>583</v>
      </c>
      <c r="E100" s="152">
        <f>139+45</f>
        <v>184</v>
      </c>
      <c r="F100" s="152">
        <f>1+1+3+1+1+3+1+1+1+1+1+1+1+10+1+4+5+1+1+2+3+1+1+2+1+1+1+45+1+1+1+20+1</f>
        <v>120</v>
      </c>
      <c r="G100" s="245">
        <f t="shared" si="6"/>
        <v>64</v>
      </c>
      <c r="H100" s="253" t="s">
        <v>1346</v>
      </c>
      <c r="I100" s="371"/>
      <c r="J100" s="161"/>
      <c r="K100" s="161"/>
      <c r="L100" s="161"/>
      <c r="M100" s="161"/>
      <c r="N100" s="161"/>
      <c r="O100" s="161"/>
      <c r="P100" s="161"/>
      <c r="Q100" s="161"/>
      <c r="R100" s="161"/>
    </row>
    <row r="101" spans="1:18" ht="16.5" thickTop="1" thickBot="1" x14ac:dyDescent="0.3">
      <c r="A101" s="308"/>
      <c r="B101" s="152" t="s">
        <v>2</v>
      </c>
      <c r="C101" s="152">
        <v>288</v>
      </c>
      <c r="D101" s="152">
        <v>332</v>
      </c>
      <c r="E101" s="152">
        <f>96+50</f>
        <v>146</v>
      </c>
      <c r="F101" s="152">
        <f>3+1+1+1+1+1+1+1+1+1+1+20</f>
        <v>33</v>
      </c>
      <c r="G101" s="245">
        <f t="shared" si="6"/>
        <v>113</v>
      </c>
      <c r="H101" s="253" t="s">
        <v>1347</v>
      </c>
      <c r="I101" s="371"/>
      <c r="J101" s="161"/>
      <c r="K101" s="161"/>
      <c r="L101" s="161"/>
      <c r="M101" s="161"/>
      <c r="N101" s="161"/>
      <c r="O101" s="161"/>
      <c r="P101" s="161"/>
      <c r="Q101" s="161"/>
      <c r="R101" s="161"/>
    </row>
    <row r="102" spans="1:18" ht="16.5" thickTop="1" thickBot="1" x14ac:dyDescent="0.3">
      <c r="A102" s="309"/>
      <c r="B102" s="126" t="s">
        <v>5</v>
      </c>
      <c r="C102" s="126">
        <v>144</v>
      </c>
      <c r="D102" s="126">
        <v>856</v>
      </c>
      <c r="E102" s="126">
        <v>75</v>
      </c>
      <c r="F102" s="126">
        <f>1+1+1+1+1+1+1+1+1+1+1+1</f>
        <v>12</v>
      </c>
      <c r="G102" s="246">
        <f t="shared" si="6"/>
        <v>63</v>
      </c>
      <c r="H102" s="254" t="s">
        <v>1348</v>
      </c>
      <c r="I102" s="371"/>
      <c r="J102" s="161"/>
      <c r="K102" s="161"/>
      <c r="L102" s="161"/>
      <c r="M102" s="161"/>
      <c r="N102" s="161"/>
      <c r="O102" s="161"/>
      <c r="P102" s="161"/>
      <c r="Q102" s="161"/>
      <c r="R102" s="161"/>
    </row>
    <row r="103" spans="1:18" ht="16.5" thickTop="1" thickBot="1" x14ac:dyDescent="0.3">
      <c r="A103" s="307" t="s">
        <v>1208</v>
      </c>
      <c r="B103" s="151" t="s">
        <v>90</v>
      </c>
      <c r="C103" s="151">
        <v>1440</v>
      </c>
      <c r="D103" s="151">
        <v>148</v>
      </c>
      <c r="E103" s="45">
        <v>138</v>
      </c>
      <c r="F103" s="151">
        <f>1+2+2+1</f>
        <v>6</v>
      </c>
      <c r="G103" s="243">
        <f t="shared" si="6"/>
        <v>132</v>
      </c>
      <c r="H103" s="252" t="s">
        <v>1206</v>
      </c>
      <c r="I103" s="371" t="s">
        <v>341</v>
      </c>
      <c r="J103" s="161"/>
      <c r="K103" s="161"/>
      <c r="L103" s="161"/>
      <c r="M103" s="161"/>
      <c r="N103" s="161"/>
      <c r="O103" s="161"/>
      <c r="P103" s="161"/>
      <c r="Q103" s="161"/>
      <c r="R103" s="161"/>
    </row>
    <row r="104" spans="1:18" ht="16.5" thickTop="1" thickBot="1" x14ac:dyDescent="0.3">
      <c r="A104" s="308"/>
      <c r="B104" s="152" t="s">
        <v>89</v>
      </c>
      <c r="C104" s="152">
        <v>1440</v>
      </c>
      <c r="D104" s="152">
        <v>148</v>
      </c>
      <c r="E104" s="83">
        <v>96</v>
      </c>
      <c r="F104" s="152">
        <v>1</v>
      </c>
      <c r="G104" s="245">
        <f t="shared" si="6"/>
        <v>95</v>
      </c>
      <c r="H104" s="253" t="s">
        <v>1349</v>
      </c>
      <c r="I104" s="371"/>
      <c r="J104" s="161"/>
      <c r="K104" s="161"/>
      <c r="L104" s="161"/>
      <c r="M104" s="161"/>
      <c r="N104" s="161"/>
      <c r="O104" s="161"/>
      <c r="P104" s="161"/>
      <c r="Q104" s="161"/>
      <c r="R104" s="161"/>
    </row>
    <row r="105" spans="1:18" ht="16.5" thickTop="1" thickBot="1" x14ac:dyDescent="0.3">
      <c r="A105" s="308"/>
      <c r="B105" s="152" t="s">
        <v>21</v>
      </c>
      <c r="C105" s="152">
        <v>1440</v>
      </c>
      <c r="D105" s="152">
        <v>160</v>
      </c>
      <c r="E105" s="152">
        <v>97</v>
      </c>
      <c r="F105" s="152">
        <f>1+5+5+1</f>
        <v>12</v>
      </c>
      <c r="G105" s="245">
        <f t="shared" si="6"/>
        <v>85</v>
      </c>
      <c r="H105" s="253" t="s">
        <v>1350</v>
      </c>
      <c r="I105" s="371"/>
      <c r="J105" s="161"/>
      <c r="K105" s="161"/>
      <c r="L105" s="161"/>
      <c r="M105" s="161"/>
      <c r="N105" s="161"/>
      <c r="O105" s="161"/>
      <c r="P105" s="161"/>
      <c r="Q105" s="161"/>
      <c r="R105" s="161"/>
    </row>
    <row r="106" spans="1:18" ht="16.5" thickTop="1" thickBot="1" x14ac:dyDescent="0.3">
      <c r="A106" s="308"/>
      <c r="B106" s="153" t="s">
        <v>22</v>
      </c>
      <c r="C106" s="153">
        <v>1440</v>
      </c>
      <c r="D106" s="153">
        <v>192</v>
      </c>
      <c r="E106" s="153">
        <v>79</v>
      </c>
      <c r="F106" s="153">
        <f>1+1</f>
        <v>2</v>
      </c>
      <c r="G106" s="244">
        <f t="shared" si="6"/>
        <v>77</v>
      </c>
      <c r="H106" s="253" t="s">
        <v>1351</v>
      </c>
      <c r="I106" s="371"/>
      <c r="J106" s="161"/>
      <c r="K106" s="161"/>
      <c r="L106" s="161"/>
      <c r="M106" s="161"/>
      <c r="N106" s="161"/>
      <c r="O106" s="161"/>
      <c r="P106" s="161"/>
      <c r="Q106" s="161"/>
      <c r="R106" s="161"/>
    </row>
    <row r="107" spans="1:18" ht="16.5" thickTop="1" thickBot="1" x14ac:dyDescent="0.3">
      <c r="A107" s="308"/>
      <c r="B107" s="152" t="s">
        <v>18</v>
      </c>
      <c r="C107" s="152">
        <v>1440</v>
      </c>
      <c r="D107" s="152">
        <v>226</v>
      </c>
      <c r="E107" s="152">
        <v>99</v>
      </c>
      <c r="F107" s="152">
        <f>1+1</f>
        <v>2</v>
      </c>
      <c r="G107" s="245">
        <f t="shared" si="6"/>
        <v>97</v>
      </c>
      <c r="H107" s="253" t="s">
        <v>1352</v>
      </c>
      <c r="I107" s="371"/>
      <c r="J107" s="161"/>
      <c r="K107" s="161"/>
      <c r="L107" s="161"/>
      <c r="M107" s="161"/>
      <c r="N107" s="161"/>
      <c r="O107" s="161"/>
      <c r="P107" s="161"/>
      <c r="Q107" s="161"/>
      <c r="R107" s="161"/>
    </row>
    <row r="108" spans="1:18" ht="16.5" thickTop="1" thickBot="1" x14ac:dyDescent="0.3">
      <c r="A108" s="308"/>
      <c r="B108" s="152" t="s">
        <v>19</v>
      </c>
      <c r="C108" s="152">
        <v>1440</v>
      </c>
      <c r="D108" s="152">
        <v>281</v>
      </c>
      <c r="E108" s="152">
        <v>28</v>
      </c>
      <c r="F108" s="152">
        <f>1+1+1+2+1</f>
        <v>6</v>
      </c>
      <c r="G108" s="245">
        <f t="shared" si="6"/>
        <v>22</v>
      </c>
      <c r="H108" s="253" t="s">
        <v>1353</v>
      </c>
      <c r="I108" s="371"/>
      <c r="J108" s="161"/>
      <c r="K108" s="161"/>
      <c r="L108" s="161"/>
      <c r="M108" s="161"/>
      <c r="N108" s="161"/>
      <c r="O108" s="161"/>
      <c r="P108" s="161"/>
      <c r="Q108" s="161"/>
      <c r="R108" s="161"/>
    </row>
    <row r="109" spans="1:18" ht="16.5" thickTop="1" thickBot="1" x14ac:dyDescent="0.3">
      <c r="A109" s="308"/>
      <c r="B109" s="152" t="s">
        <v>0</v>
      </c>
      <c r="C109" s="152">
        <v>1440</v>
      </c>
      <c r="D109" s="152">
        <v>362</v>
      </c>
      <c r="E109" s="152">
        <v>167</v>
      </c>
      <c r="F109" s="152">
        <f>1+2+2+1+2+1+1+1+1+1+1+1</f>
        <v>15</v>
      </c>
      <c r="G109" s="245">
        <f t="shared" si="6"/>
        <v>152</v>
      </c>
      <c r="H109" s="253" t="s">
        <v>1354</v>
      </c>
      <c r="I109" s="371"/>
      <c r="J109" s="161"/>
      <c r="K109" s="161"/>
      <c r="L109" s="161"/>
      <c r="M109" s="161"/>
      <c r="N109" s="161"/>
      <c r="O109" s="161"/>
      <c r="P109" s="161"/>
      <c r="Q109" s="161"/>
      <c r="R109" s="161"/>
    </row>
    <row r="110" spans="1:18" ht="16.5" thickTop="1" thickBot="1" x14ac:dyDescent="0.3">
      <c r="A110" s="308"/>
      <c r="B110" s="154" t="s">
        <v>1</v>
      </c>
      <c r="C110" s="154">
        <v>1440</v>
      </c>
      <c r="D110" s="154">
        <v>583</v>
      </c>
      <c r="E110" s="154">
        <v>231</v>
      </c>
      <c r="F110" s="154">
        <f>1+1+1+1+3+1+1+1+1+2+1+1+1+1+1+1</f>
        <v>19</v>
      </c>
      <c r="G110" s="245">
        <f t="shared" si="6"/>
        <v>212</v>
      </c>
      <c r="H110" s="253" t="s">
        <v>1355</v>
      </c>
      <c r="I110" s="371"/>
      <c r="J110" s="161"/>
      <c r="K110" s="161"/>
      <c r="L110" s="161"/>
      <c r="M110" s="161"/>
      <c r="N110" s="161"/>
      <c r="O110" s="161"/>
      <c r="P110" s="161"/>
      <c r="Q110" s="161"/>
      <c r="R110" s="161"/>
    </row>
    <row r="111" spans="1:18" ht="16.5" thickTop="1" thickBot="1" x14ac:dyDescent="0.3">
      <c r="A111" s="308"/>
      <c r="B111" s="154" t="s">
        <v>2</v>
      </c>
      <c r="C111" s="154">
        <v>288</v>
      </c>
      <c r="D111" s="154">
        <v>332</v>
      </c>
      <c r="E111" s="154">
        <v>97</v>
      </c>
      <c r="F111" s="154">
        <f>1+2+1+1+1+1</f>
        <v>7</v>
      </c>
      <c r="G111" s="245">
        <f t="shared" si="6"/>
        <v>90</v>
      </c>
      <c r="H111" s="253" t="s">
        <v>1356</v>
      </c>
      <c r="I111" s="371"/>
      <c r="J111" s="161"/>
      <c r="K111" s="161"/>
      <c r="L111" s="161"/>
      <c r="M111" s="161"/>
      <c r="N111" s="161"/>
      <c r="O111" s="161"/>
      <c r="P111" s="161"/>
      <c r="Q111" s="161"/>
      <c r="R111" s="161"/>
    </row>
    <row r="112" spans="1:18" ht="16.5" thickTop="1" thickBot="1" x14ac:dyDescent="0.3">
      <c r="A112" s="309"/>
      <c r="B112" s="126" t="s">
        <v>5</v>
      </c>
      <c r="C112" s="126">
        <v>144</v>
      </c>
      <c r="D112" s="126">
        <v>856</v>
      </c>
      <c r="E112" s="126">
        <v>75</v>
      </c>
      <c r="F112" s="126">
        <f>1+1+1+1+1+1+1+10</f>
        <v>17</v>
      </c>
      <c r="G112" s="246">
        <f t="shared" si="6"/>
        <v>58</v>
      </c>
      <c r="H112" s="254" t="s">
        <v>1357</v>
      </c>
      <c r="I112" s="371"/>
      <c r="J112" s="161"/>
      <c r="K112" s="161"/>
      <c r="L112" s="161"/>
      <c r="M112" s="161"/>
      <c r="N112" s="161"/>
      <c r="O112" s="161"/>
      <c r="P112" s="161"/>
      <c r="Q112" s="161"/>
      <c r="R112" s="161"/>
    </row>
    <row r="113" spans="1:18" ht="16.5" thickTop="1" thickBot="1" x14ac:dyDescent="0.3">
      <c r="A113" s="308" t="s">
        <v>142</v>
      </c>
      <c r="B113" s="176" t="s">
        <v>0</v>
      </c>
      <c r="C113" s="123">
        <v>1440</v>
      </c>
      <c r="D113" s="153">
        <v>588</v>
      </c>
      <c r="E113" s="153">
        <v>349</v>
      </c>
      <c r="F113" s="153">
        <f>1+2+1+10+1+2+2+1+1+1+2+1+10+1+20+1</f>
        <v>57</v>
      </c>
      <c r="G113" s="244">
        <f t="shared" ref="G113:G117" si="7">E113-F113</f>
        <v>292</v>
      </c>
      <c r="H113" s="252" t="s">
        <v>1358</v>
      </c>
      <c r="I113" s="371" t="s">
        <v>342</v>
      </c>
      <c r="J113" s="161"/>
      <c r="K113" s="161"/>
      <c r="L113" s="161"/>
      <c r="M113" s="161"/>
      <c r="N113" s="161"/>
      <c r="O113" s="161"/>
      <c r="P113" s="161"/>
      <c r="Q113" s="161"/>
      <c r="R113" s="161"/>
    </row>
    <row r="114" spans="1:18" ht="16.5" thickTop="1" thickBot="1" x14ac:dyDescent="0.3">
      <c r="A114" s="308"/>
      <c r="B114" s="104" t="s">
        <v>1</v>
      </c>
      <c r="C114" s="114">
        <v>1440</v>
      </c>
      <c r="D114" s="152">
        <v>870</v>
      </c>
      <c r="E114" s="152">
        <v>385</v>
      </c>
      <c r="F114" s="152">
        <f>1+7+1+1+1+10+1+3+1+1+5+1+7+1+10+20+5</f>
        <v>76</v>
      </c>
      <c r="G114" s="245">
        <f t="shared" si="7"/>
        <v>309</v>
      </c>
      <c r="H114" s="253" t="s">
        <v>1359</v>
      </c>
      <c r="I114" s="371"/>
      <c r="J114" s="161"/>
      <c r="K114" s="161"/>
      <c r="L114" s="161"/>
      <c r="M114" s="161"/>
      <c r="N114" s="161"/>
      <c r="O114" s="161"/>
      <c r="P114" s="161"/>
      <c r="Q114" s="161"/>
      <c r="R114" s="161"/>
    </row>
    <row r="115" spans="1:18" ht="16.5" thickTop="1" thickBot="1" x14ac:dyDescent="0.3">
      <c r="A115" s="309"/>
      <c r="B115" s="178" t="s">
        <v>2</v>
      </c>
      <c r="C115" s="116">
        <v>1440</v>
      </c>
      <c r="D115" s="126">
        <v>588</v>
      </c>
      <c r="E115" s="126">
        <v>366</v>
      </c>
      <c r="F115" s="126">
        <f>10+1+1+3+2+2+2+2+5+20+2+1</f>
        <v>51</v>
      </c>
      <c r="G115" s="246">
        <f t="shared" si="7"/>
        <v>315</v>
      </c>
      <c r="H115" s="254" t="s">
        <v>1360</v>
      </c>
      <c r="I115" s="371"/>
      <c r="J115" s="161"/>
      <c r="K115" s="161"/>
      <c r="L115" s="161"/>
      <c r="M115" s="161"/>
      <c r="N115" s="161"/>
      <c r="O115" s="161"/>
      <c r="P115" s="161"/>
      <c r="Q115" s="161"/>
      <c r="R115" s="161"/>
    </row>
    <row r="116" spans="1:18" ht="16.5" thickTop="1" thickBot="1" x14ac:dyDescent="0.3">
      <c r="A116" s="307" t="s">
        <v>1213</v>
      </c>
      <c r="B116" s="151" t="s">
        <v>90</v>
      </c>
      <c r="C116" s="151">
        <v>1440</v>
      </c>
      <c r="D116" s="151">
        <v>148</v>
      </c>
      <c r="E116" s="45">
        <v>50</v>
      </c>
      <c r="F116" s="151">
        <f>1+1+1+1+1</f>
        <v>5</v>
      </c>
      <c r="G116" s="243">
        <f t="shared" si="7"/>
        <v>45</v>
      </c>
      <c r="H116" s="252" t="s">
        <v>1193</v>
      </c>
      <c r="I116" s="371" t="s">
        <v>343</v>
      </c>
      <c r="J116" s="161"/>
      <c r="K116" s="161"/>
      <c r="L116" s="161"/>
      <c r="M116" s="161"/>
      <c r="N116" s="161"/>
      <c r="O116" s="161"/>
      <c r="P116" s="161"/>
      <c r="Q116" s="161"/>
      <c r="R116" s="161"/>
    </row>
    <row r="117" spans="1:18" ht="16.5" thickTop="1" thickBot="1" x14ac:dyDescent="0.3">
      <c r="A117" s="308"/>
      <c r="B117" s="152" t="s">
        <v>89</v>
      </c>
      <c r="C117" s="152">
        <v>1440</v>
      </c>
      <c r="D117" s="152">
        <v>148</v>
      </c>
      <c r="E117" s="83">
        <v>50</v>
      </c>
      <c r="F117" s="152">
        <f>1+1+1+1+1+1</f>
        <v>6</v>
      </c>
      <c r="G117" s="245">
        <f t="shared" si="7"/>
        <v>44</v>
      </c>
      <c r="H117" s="253" t="s">
        <v>1361</v>
      </c>
      <c r="I117" s="371"/>
      <c r="J117" s="161"/>
      <c r="K117" s="161"/>
      <c r="L117" s="161"/>
      <c r="M117" s="161"/>
      <c r="N117" s="161"/>
      <c r="O117" s="161"/>
      <c r="P117" s="161"/>
      <c r="Q117" s="161"/>
      <c r="R117" s="161"/>
    </row>
    <row r="118" spans="1:18" ht="16.5" thickTop="1" thickBot="1" x14ac:dyDescent="0.3">
      <c r="A118" s="308"/>
      <c r="B118" s="152" t="s">
        <v>21</v>
      </c>
      <c r="C118" s="152">
        <v>1440</v>
      </c>
      <c r="D118" s="152">
        <v>160</v>
      </c>
      <c r="E118" s="152">
        <v>48</v>
      </c>
      <c r="F118" s="152">
        <f>1+1+1+1+1+4+1+1</f>
        <v>11</v>
      </c>
      <c r="G118" s="245">
        <f t="shared" ref="G118:G145" si="8">E118-F118</f>
        <v>37</v>
      </c>
      <c r="H118" s="253" t="s">
        <v>1362</v>
      </c>
      <c r="I118" s="371"/>
      <c r="J118" s="161"/>
      <c r="K118" s="161"/>
      <c r="L118" s="161"/>
      <c r="M118" s="161"/>
      <c r="N118" s="161"/>
      <c r="O118" s="161"/>
      <c r="P118" s="161"/>
      <c r="Q118" s="161"/>
      <c r="R118" s="161"/>
    </row>
    <row r="119" spans="1:18" ht="16.5" thickTop="1" thickBot="1" x14ac:dyDescent="0.3">
      <c r="A119" s="308"/>
      <c r="B119" s="152" t="s">
        <v>18</v>
      </c>
      <c r="C119" s="152">
        <v>1440</v>
      </c>
      <c r="D119" s="152">
        <v>226</v>
      </c>
      <c r="E119" s="152">
        <f>14+33</f>
        <v>47</v>
      </c>
      <c r="F119" s="152">
        <f>1+1+1+1+1+1+1+1+1</f>
        <v>9</v>
      </c>
      <c r="G119" s="245">
        <f t="shared" si="8"/>
        <v>38</v>
      </c>
      <c r="H119" s="253" t="s">
        <v>1363</v>
      </c>
      <c r="I119" s="371"/>
      <c r="J119" s="161"/>
      <c r="K119" s="161"/>
      <c r="L119" s="161"/>
      <c r="M119" s="161"/>
      <c r="N119" s="161"/>
      <c r="O119" s="161"/>
      <c r="P119" s="161"/>
      <c r="Q119" s="161"/>
      <c r="R119" s="161"/>
    </row>
    <row r="120" spans="1:18" ht="16.5" thickTop="1" thickBot="1" x14ac:dyDescent="0.3">
      <c r="A120" s="308"/>
      <c r="B120" s="152" t="s">
        <v>19</v>
      </c>
      <c r="C120" s="152">
        <v>1440</v>
      </c>
      <c r="D120" s="152">
        <v>281</v>
      </c>
      <c r="E120" s="152">
        <f>30+27</f>
        <v>57</v>
      </c>
      <c r="F120" s="152">
        <v>1</v>
      </c>
      <c r="G120" s="245">
        <f t="shared" si="8"/>
        <v>56</v>
      </c>
      <c r="H120" s="253" t="s">
        <v>1364</v>
      </c>
      <c r="I120" s="371"/>
      <c r="J120" s="161"/>
      <c r="K120" s="161"/>
      <c r="L120" s="161"/>
      <c r="M120" s="161"/>
      <c r="N120" s="161"/>
      <c r="O120" s="161"/>
      <c r="P120" s="161"/>
      <c r="Q120" s="161"/>
      <c r="R120" s="161"/>
    </row>
    <row r="121" spans="1:18" ht="16.5" thickTop="1" thickBot="1" x14ac:dyDescent="0.3">
      <c r="A121" s="308"/>
      <c r="B121" s="152" t="s">
        <v>0</v>
      </c>
      <c r="C121" s="152">
        <v>1440</v>
      </c>
      <c r="D121" s="152">
        <v>362</v>
      </c>
      <c r="E121" s="152">
        <f>9+31</f>
        <v>40</v>
      </c>
      <c r="F121" s="152">
        <f>1+1+1+1+1</f>
        <v>5</v>
      </c>
      <c r="G121" s="245">
        <f t="shared" si="8"/>
        <v>35</v>
      </c>
      <c r="H121" s="253" t="s">
        <v>1365</v>
      </c>
      <c r="I121" s="371"/>
      <c r="J121" s="161"/>
      <c r="K121" s="161"/>
      <c r="L121" s="161"/>
      <c r="M121" s="161"/>
      <c r="N121" s="161"/>
      <c r="O121" s="161"/>
      <c r="P121" s="161"/>
      <c r="Q121" s="161"/>
      <c r="R121" s="161"/>
    </row>
    <row r="122" spans="1:18" ht="16.5" thickTop="1" thickBot="1" x14ac:dyDescent="0.3">
      <c r="A122" s="308"/>
      <c r="B122" s="152" t="s">
        <v>1</v>
      </c>
      <c r="C122" s="152">
        <v>1440</v>
      </c>
      <c r="D122" s="152">
        <v>583</v>
      </c>
      <c r="E122" s="152">
        <v>90</v>
      </c>
      <c r="F122" s="152">
        <f>1+1+1+1+1+2+1</f>
        <v>8</v>
      </c>
      <c r="G122" s="245">
        <f t="shared" si="8"/>
        <v>82</v>
      </c>
      <c r="H122" s="253" t="s">
        <v>1366</v>
      </c>
      <c r="I122" s="371"/>
      <c r="J122" s="161"/>
      <c r="K122" s="161"/>
      <c r="L122" s="161"/>
      <c r="M122" s="161"/>
      <c r="N122" s="161"/>
      <c r="O122" s="161"/>
      <c r="P122" s="161"/>
      <c r="Q122" s="161"/>
      <c r="R122" s="161"/>
    </row>
    <row r="123" spans="1:18" ht="16.5" thickTop="1" thickBot="1" x14ac:dyDescent="0.3">
      <c r="A123" s="308"/>
      <c r="B123" s="154" t="s">
        <v>2</v>
      </c>
      <c r="C123" s="154">
        <v>288</v>
      </c>
      <c r="D123" s="154">
        <v>332</v>
      </c>
      <c r="E123" s="154">
        <v>46</v>
      </c>
      <c r="F123" s="154">
        <f>1+1+1+1</f>
        <v>4</v>
      </c>
      <c r="G123" s="247">
        <f t="shared" si="8"/>
        <v>42</v>
      </c>
      <c r="H123" s="253" t="s">
        <v>1367</v>
      </c>
      <c r="I123" s="371"/>
      <c r="J123" s="161"/>
      <c r="K123" s="161"/>
      <c r="L123" s="161"/>
      <c r="M123" s="161"/>
      <c r="N123" s="161"/>
      <c r="O123" s="161"/>
      <c r="P123" s="161"/>
      <c r="Q123" s="161"/>
      <c r="R123" s="161"/>
    </row>
    <row r="124" spans="1:18" ht="16.5" thickTop="1" thickBot="1" x14ac:dyDescent="0.3">
      <c r="A124" s="309"/>
      <c r="B124" s="126" t="s">
        <v>5</v>
      </c>
      <c r="C124" s="126">
        <v>144</v>
      </c>
      <c r="D124" s="126">
        <v>856</v>
      </c>
      <c r="E124" s="126">
        <v>80</v>
      </c>
      <c r="F124" s="126">
        <f>1+1+1+1</f>
        <v>4</v>
      </c>
      <c r="G124" s="246">
        <f t="shared" si="8"/>
        <v>76</v>
      </c>
      <c r="H124" s="254" t="s">
        <v>1368</v>
      </c>
      <c r="I124" s="371"/>
      <c r="J124" s="161"/>
      <c r="K124" s="161"/>
      <c r="L124" s="161"/>
      <c r="M124" s="161"/>
      <c r="N124" s="161"/>
      <c r="O124" s="161"/>
      <c r="P124" s="161"/>
      <c r="Q124" s="161"/>
      <c r="R124" s="161"/>
    </row>
    <row r="125" spans="1:18" ht="16.5" thickTop="1" thickBot="1" x14ac:dyDescent="0.3">
      <c r="A125" s="304" t="s">
        <v>419</v>
      </c>
      <c r="B125" s="151" t="s">
        <v>90</v>
      </c>
      <c r="C125" s="151">
        <v>1440</v>
      </c>
      <c r="D125" s="151">
        <v>148</v>
      </c>
      <c r="E125" s="45">
        <v>151</v>
      </c>
      <c r="F125" s="151">
        <f>1+1+1+1+1+2+1+1+1+10+1+1+1+2+8</f>
        <v>33</v>
      </c>
      <c r="G125" s="243">
        <f t="shared" si="8"/>
        <v>118</v>
      </c>
      <c r="H125" s="252" t="s">
        <v>1191</v>
      </c>
      <c r="I125" s="371" t="s">
        <v>344</v>
      </c>
      <c r="J125" s="161"/>
      <c r="K125" s="161"/>
      <c r="L125" s="161"/>
      <c r="M125" s="161"/>
      <c r="N125" s="161"/>
      <c r="O125" s="161"/>
      <c r="P125" s="161"/>
      <c r="Q125" s="161"/>
      <c r="R125" s="161"/>
    </row>
    <row r="126" spans="1:18" ht="16.5" thickTop="1" thickBot="1" x14ac:dyDescent="0.3">
      <c r="A126" s="305"/>
      <c r="B126" s="152" t="s">
        <v>89</v>
      </c>
      <c r="C126" s="152">
        <v>1440</v>
      </c>
      <c r="D126" s="152">
        <v>148</v>
      </c>
      <c r="E126" s="83">
        <v>98</v>
      </c>
      <c r="F126" s="152">
        <f>1+1+1+1+1+2+1+1+10+1+1</f>
        <v>21</v>
      </c>
      <c r="G126" s="245">
        <f t="shared" si="8"/>
        <v>77</v>
      </c>
      <c r="H126" s="253" t="s">
        <v>1369</v>
      </c>
      <c r="I126" s="371"/>
      <c r="J126" s="161"/>
      <c r="K126" s="161"/>
      <c r="L126" s="161"/>
      <c r="M126" s="161"/>
      <c r="N126" s="161"/>
      <c r="O126" s="161"/>
      <c r="P126" s="161"/>
      <c r="Q126" s="161"/>
      <c r="R126" s="161"/>
    </row>
    <row r="127" spans="1:18" ht="16.5" thickTop="1" thickBot="1" x14ac:dyDescent="0.3">
      <c r="A127" s="305"/>
      <c r="B127" s="149" t="s">
        <v>21</v>
      </c>
      <c r="C127" s="153">
        <v>1440</v>
      </c>
      <c r="D127" s="153">
        <v>160</v>
      </c>
      <c r="E127" s="153">
        <v>91</v>
      </c>
      <c r="F127" s="153">
        <f>1+1+1+1+1+2+1+1+1+1+1+2+2+1+1+1+1+1+10+1+3+1+1+10</f>
        <v>47</v>
      </c>
      <c r="G127" s="244">
        <f t="shared" si="8"/>
        <v>44</v>
      </c>
      <c r="H127" s="253" t="s">
        <v>1370</v>
      </c>
      <c r="I127" s="371"/>
      <c r="J127" s="161"/>
      <c r="K127" s="161"/>
      <c r="L127" s="161"/>
      <c r="M127" s="161"/>
      <c r="N127" s="161"/>
      <c r="O127" s="161"/>
      <c r="P127" s="161"/>
      <c r="Q127" s="161"/>
      <c r="R127" s="161"/>
    </row>
    <row r="128" spans="1:18" ht="16.5" thickTop="1" thickBot="1" x14ac:dyDescent="0.3">
      <c r="A128" s="305"/>
      <c r="B128" s="152" t="s">
        <v>22</v>
      </c>
      <c r="C128" s="153">
        <v>1440</v>
      </c>
      <c r="D128" s="153">
        <v>192</v>
      </c>
      <c r="E128" s="153">
        <v>75</v>
      </c>
      <c r="F128" s="153">
        <f>1+1+1+1+1+1+1+1+1+1+1+10+1</f>
        <v>22</v>
      </c>
      <c r="G128" s="244">
        <f t="shared" si="8"/>
        <v>53</v>
      </c>
      <c r="H128" s="253" t="s">
        <v>1371</v>
      </c>
      <c r="I128" s="371"/>
      <c r="J128" s="161"/>
      <c r="K128" s="161"/>
      <c r="L128" s="161"/>
      <c r="M128" s="161"/>
      <c r="N128" s="161"/>
      <c r="O128" s="161"/>
      <c r="P128" s="161"/>
      <c r="Q128" s="161"/>
      <c r="R128" s="161"/>
    </row>
    <row r="129" spans="1:18" ht="16.5" thickTop="1" thickBot="1" x14ac:dyDescent="0.3">
      <c r="A129" s="305"/>
      <c r="B129" s="152" t="s">
        <v>18</v>
      </c>
      <c r="C129" s="153">
        <v>1440</v>
      </c>
      <c r="D129" s="153">
        <v>226</v>
      </c>
      <c r="E129" s="153">
        <v>99</v>
      </c>
      <c r="F129" s="153">
        <f>1+1+1+1+3+1+1+1+1+10+1+1+1</f>
        <v>24</v>
      </c>
      <c r="G129" s="244">
        <f t="shared" si="8"/>
        <v>75</v>
      </c>
      <c r="H129" s="253" t="s">
        <v>1372</v>
      </c>
      <c r="I129" s="371"/>
      <c r="J129" s="161"/>
      <c r="K129" s="161"/>
      <c r="L129" s="161"/>
      <c r="M129" s="161"/>
      <c r="N129" s="161"/>
      <c r="O129" s="161"/>
      <c r="P129" s="161"/>
      <c r="Q129" s="161"/>
      <c r="R129" s="161"/>
    </row>
    <row r="130" spans="1:18" ht="16.5" thickTop="1" thickBot="1" x14ac:dyDescent="0.3">
      <c r="A130" s="305"/>
      <c r="B130" s="152" t="s">
        <v>19</v>
      </c>
      <c r="C130" s="152">
        <v>1440</v>
      </c>
      <c r="D130" s="152">
        <v>281</v>
      </c>
      <c r="E130" s="152">
        <f>30+26+30</f>
        <v>86</v>
      </c>
      <c r="F130" s="152">
        <f>1+1+1+1+1+1+1+10+1</f>
        <v>18</v>
      </c>
      <c r="G130" s="245">
        <f t="shared" si="8"/>
        <v>68</v>
      </c>
      <c r="H130" s="253" t="s">
        <v>1373</v>
      </c>
      <c r="I130" s="371"/>
      <c r="J130" s="161"/>
      <c r="K130" s="161"/>
      <c r="L130" s="161"/>
      <c r="M130" s="161"/>
      <c r="N130" s="161"/>
      <c r="O130" s="161"/>
      <c r="P130" s="161"/>
      <c r="Q130" s="161"/>
      <c r="R130" s="161"/>
    </row>
    <row r="131" spans="1:18" ht="16.5" thickTop="1" thickBot="1" x14ac:dyDescent="0.3">
      <c r="A131" s="305"/>
      <c r="B131" s="152" t="s">
        <v>0</v>
      </c>
      <c r="C131" s="152">
        <v>1440</v>
      </c>
      <c r="D131" s="152">
        <v>362</v>
      </c>
      <c r="E131" s="152">
        <v>92</v>
      </c>
      <c r="F131" s="152">
        <f>1+1+1+1+1+1+1+3+1+2+1+1+10+1+1+10+1</f>
        <v>38</v>
      </c>
      <c r="G131" s="245">
        <f t="shared" si="8"/>
        <v>54</v>
      </c>
      <c r="H131" s="253" t="s">
        <v>1374</v>
      </c>
      <c r="I131" s="371"/>
      <c r="J131" s="161"/>
      <c r="K131" s="161"/>
      <c r="L131" s="161"/>
      <c r="M131" s="161"/>
      <c r="N131" s="161"/>
      <c r="O131" s="161"/>
      <c r="P131" s="161"/>
      <c r="Q131" s="161"/>
      <c r="R131" s="161"/>
    </row>
    <row r="132" spans="1:18" ht="16.5" thickTop="1" thickBot="1" x14ac:dyDescent="0.3">
      <c r="A132" s="305"/>
      <c r="B132" s="154" t="s">
        <v>1</v>
      </c>
      <c r="C132" s="154">
        <v>1440</v>
      </c>
      <c r="D132" s="154">
        <v>583</v>
      </c>
      <c r="E132" s="154">
        <f>92+30</f>
        <v>122</v>
      </c>
      <c r="F132" s="154">
        <f>1+1+1+1+1+1+1+4+1+1+10+1+1+10+2</f>
        <v>37</v>
      </c>
      <c r="G132" s="245">
        <f t="shared" si="8"/>
        <v>85</v>
      </c>
      <c r="H132" s="253" t="s">
        <v>1375</v>
      </c>
      <c r="I132" s="371"/>
      <c r="J132" s="161"/>
      <c r="K132" s="161"/>
      <c r="L132" s="161"/>
      <c r="M132" s="161"/>
      <c r="N132" s="161"/>
      <c r="O132" s="161"/>
      <c r="P132" s="161"/>
      <c r="Q132" s="161"/>
      <c r="R132" s="161"/>
    </row>
    <row r="133" spans="1:18" ht="16.5" thickTop="1" thickBot="1" x14ac:dyDescent="0.3">
      <c r="A133" s="305"/>
      <c r="B133" s="154" t="s">
        <v>2</v>
      </c>
      <c r="C133" s="154">
        <v>288</v>
      </c>
      <c r="D133" s="154">
        <v>332</v>
      </c>
      <c r="E133" s="154">
        <v>93</v>
      </c>
      <c r="F133" s="154">
        <f>1+1+1+1+10+1</f>
        <v>15</v>
      </c>
      <c r="G133" s="245">
        <f t="shared" si="8"/>
        <v>78</v>
      </c>
      <c r="H133" s="253" t="s">
        <v>1376</v>
      </c>
      <c r="I133" s="371"/>
      <c r="J133" s="161"/>
      <c r="K133" s="161"/>
      <c r="L133" s="161"/>
      <c r="M133" s="161"/>
      <c r="N133" s="161"/>
      <c r="O133" s="161"/>
      <c r="P133" s="161"/>
      <c r="Q133" s="161"/>
      <c r="R133" s="161"/>
    </row>
    <row r="134" spans="1:18" ht="16.5" thickTop="1" thickBot="1" x14ac:dyDescent="0.3">
      <c r="A134" s="305"/>
      <c r="B134" s="152" t="s">
        <v>5</v>
      </c>
      <c r="C134" s="152">
        <v>144</v>
      </c>
      <c r="D134" s="154">
        <v>856</v>
      </c>
      <c r="E134" s="152">
        <v>100</v>
      </c>
      <c r="F134" s="152">
        <f>1+1+1+1+1</f>
        <v>5</v>
      </c>
      <c r="G134" s="245">
        <f t="shared" si="8"/>
        <v>95</v>
      </c>
      <c r="H134" s="254" t="s">
        <v>1377</v>
      </c>
      <c r="I134" s="371"/>
      <c r="J134" s="161"/>
      <c r="K134" s="161"/>
      <c r="L134" s="161"/>
      <c r="M134" s="161"/>
      <c r="N134" s="161"/>
      <c r="O134" s="161"/>
      <c r="P134" s="161"/>
      <c r="Q134" s="161"/>
      <c r="R134" s="161"/>
    </row>
    <row r="135" spans="1:18" ht="16.5" thickTop="1" thickBot="1" x14ac:dyDescent="0.3">
      <c r="A135" s="313" t="s">
        <v>420</v>
      </c>
      <c r="B135" s="151" t="s">
        <v>90</v>
      </c>
      <c r="C135" s="151">
        <v>1440</v>
      </c>
      <c r="D135" s="151">
        <v>143</v>
      </c>
      <c r="E135" s="151">
        <v>50</v>
      </c>
      <c r="F135" s="151"/>
      <c r="G135" s="243">
        <f t="shared" si="8"/>
        <v>50</v>
      </c>
      <c r="H135" s="252" t="s">
        <v>1248</v>
      </c>
      <c r="I135" s="371" t="s">
        <v>345</v>
      </c>
      <c r="J135" s="161"/>
      <c r="K135" s="161"/>
      <c r="L135" s="161"/>
      <c r="M135" s="161"/>
      <c r="N135" s="161"/>
      <c r="O135" s="161"/>
      <c r="P135" s="161"/>
      <c r="Q135" s="161"/>
      <c r="R135" s="161"/>
    </row>
    <row r="136" spans="1:18" ht="16.5" thickTop="1" thickBot="1" x14ac:dyDescent="0.3">
      <c r="A136" s="314"/>
      <c r="B136" s="152" t="s">
        <v>89</v>
      </c>
      <c r="C136" s="152">
        <v>1440</v>
      </c>
      <c r="D136" s="152">
        <v>143</v>
      </c>
      <c r="E136" s="152">
        <v>51</v>
      </c>
      <c r="F136" s="152"/>
      <c r="G136" s="245">
        <f t="shared" si="8"/>
        <v>51</v>
      </c>
      <c r="H136" s="253" t="s">
        <v>1378</v>
      </c>
      <c r="I136" s="371"/>
      <c r="J136" s="161"/>
      <c r="K136" s="161"/>
      <c r="L136" s="161"/>
      <c r="M136" s="161"/>
      <c r="N136" s="161"/>
      <c r="O136" s="161"/>
      <c r="P136" s="161"/>
      <c r="Q136" s="161"/>
      <c r="R136" s="161"/>
    </row>
    <row r="137" spans="1:18" ht="16.5" thickTop="1" thickBot="1" x14ac:dyDescent="0.3">
      <c r="A137" s="314"/>
      <c r="B137" s="152" t="s">
        <v>21</v>
      </c>
      <c r="C137" s="152">
        <v>1440</v>
      </c>
      <c r="D137" s="152">
        <v>160</v>
      </c>
      <c r="E137" s="152">
        <v>52</v>
      </c>
      <c r="F137" s="152">
        <v>1</v>
      </c>
      <c r="G137" s="245">
        <f t="shared" si="8"/>
        <v>51</v>
      </c>
      <c r="H137" s="253" t="s">
        <v>1379</v>
      </c>
      <c r="I137" s="371"/>
      <c r="J137" s="161"/>
      <c r="K137" s="161"/>
      <c r="L137" s="161"/>
      <c r="M137" s="161"/>
      <c r="N137" s="161"/>
      <c r="O137" s="161"/>
      <c r="P137" s="161"/>
      <c r="Q137" s="161"/>
      <c r="R137" s="161"/>
    </row>
    <row r="138" spans="1:18" ht="16.5" thickTop="1" thickBot="1" x14ac:dyDescent="0.3">
      <c r="A138" s="314"/>
      <c r="B138" s="152" t="s">
        <v>22</v>
      </c>
      <c r="C138" s="152">
        <v>1440</v>
      </c>
      <c r="D138" s="152">
        <v>192</v>
      </c>
      <c r="E138" s="152">
        <f>10+38</f>
        <v>48</v>
      </c>
      <c r="F138" s="152"/>
      <c r="G138" s="245">
        <f t="shared" si="8"/>
        <v>48</v>
      </c>
      <c r="H138" s="253" t="s">
        <v>1380</v>
      </c>
      <c r="I138" s="371"/>
      <c r="J138" s="161"/>
      <c r="K138" s="161"/>
      <c r="L138" s="161"/>
      <c r="M138" s="161"/>
      <c r="N138" s="161"/>
      <c r="O138" s="161"/>
      <c r="P138" s="161"/>
      <c r="Q138" s="161"/>
      <c r="R138" s="161"/>
    </row>
    <row r="139" spans="1:18" ht="16.5" thickTop="1" thickBot="1" x14ac:dyDescent="0.3">
      <c r="A139" s="314"/>
      <c r="B139" s="152" t="s">
        <v>18</v>
      </c>
      <c r="C139" s="152">
        <v>1440</v>
      </c>
      <c r="D139" s="152">
        <v>226</v>
      </c>
      <c r="E139" s="152">
        <v>36</v>
      </c>
      <c r="F139" s="152"/>
      <c r="G139" s="245">
        <f t="shared" si="8"/>
        <v>36</v>
      </c>
      <c r="H139" s="253" t="s">
        <v>1381</v>
      </c>
      <c r="I139" s="371"/>
      <c r="J139" s="161"/>
      <c r="K139" s="161"/>
      <c r="L139" s="161"/>
      <c r="M139" s="161"/>
      <c r="N139" s="161"/>
      <c r="O139" s="161"/>
      <c r="P139" s="161"/>
      <c r="Q139" s="161"/>
      <c r="R139" s="161"/>
    </row>
    <row r="140" spans="1:18" ht="16.5" thickTop="1" thickBot="1" x14ac:dyDescent="0.3">
      <c r="A140" s="314"/>
      <c r="B140" s="152" t="s">
        <v>19</v>
      </c>
      <c r="C140" s="152">
        <v>1440</v>
      </c>
      <c r="D140" s="152">
        <v>281</v>
      </c>
      <c r="E140" s="152">
        <v>30</v>
      </c>
      <c r="F140" s="152"/>
      <c r="G140" s="245">
        <f t="shared" si="8"/>
        <v>30</v>
      </c>
      <c r="H140" s="253" t="s">
        <v>1382</v>
      </c>
      <c r="I140" s="371"/>
      <c r="J140" s="161"/>
      <c r="K140" s="161"/>
      <c r="L140" s="161"/>
      <c r="M140" s="161"/>
      <c r="N140" s="161"/>
      <c r="O140" s="161"/>
      <c r="P140" s="161"/>
      <c r="Q140" s="161"/>
      <c r="R140" s="161"/>
    </row>
    <row r="141" spans="1:18" ht="16.5" thickTop="1" thickBot="1" x14ac:dyDescent="0.3">
      <c r="A141" s="314"/>
      <c r="B141" s="152" t="s">
        <v>0</v>
      </c>
      <c r="C141" s="152">
        <v>1440</v>
      </c>
      <c r="D141" s="152">
        <v>362</v>
      </c>
      <c r="E141" s="83">
        <v>45</v>
      </c>
      <c r="F141" s="152">
        <f>1+1+1</f>
        <v>3</v>
      </c>
      <c r="G141" s="245">
        <f t="shared" si="8"/>
        <v>42</v>
      </c>
      <c r="H141" s="253" t="s">
        <v>1383</v>
      </c>
      <c r="I141" s="371"/>
      <c r="J141" s="161"/>
      <c r="K141" s="161"/>
      <c r="L141" s="161"/>
      <c r="M141" s="161"/>
      <c r="N141" s="161"/>
      <c r="O141" s="161"/>
      <c r="P141" s="161"/>
      <c r="Q141" s="161"/>
      <c r="R141" s="161"/>
    </row>
    <row r="142" spans="1:18" ht="16.5" thickTop="1" thickBot="1" x14ac:dyDescent="0.3">
      <c r="A142" s="314"/>
      <c r="B142" s="153" t="s">
        <v>1</v>
      </c>
      <c r="C142" s="153">
        <v>1440</v>
      </c>
      <c r="D142" s="153">
        <v>582</v>
      </c>
      <c r="E142" s="153">
        <v>88</v>
      </c>
      <c r="F142" s="152">
        <f>1+1</f>
        <v>2</v>
      </c>
      <c r="G142" s="245">
        <f t="shared" si="8"/>
        <v>86</v>
      </c>
      <c r="H142" s="253" t="s">
        <v>1384</v>
      </c>
      <c r="I142" s="371"/>
      <c r="J142" s="161"/>
      <c r="K142" s="161"/>
      <c r="L142" s="161"/>
      <c r="M142" s="161"/>
      <c r="N142" s="161"/>
      <c r="O142" s="161"/>
      <c r="P142" s="161"/>
      <c r="Q142" s="161"/>
      <c r="R142" s="161"/>
    </row>
    <row r="143" spans="1:18" ht="16.5" thickTop="1" thickBot="1" x14ac:dyDescent="0.3">
      <c r="A143" s="356"/>
      <c r="B143" s="154" t="s">
        <v>2</v>
      </c>
      <c r="C143" s="154">
        <v>288</v>
      </c>
      <c r="D143" s="154">
        <v>332</v>
      </c>
      <c r="E143" s="154">
        <f>50+40</f>
        <v>90</v>
      </c>
      <c r="F143" s="154"/>
      <c r="G143" s="245">
        <f t="shared" si="8"/>
        <v>90</v>
      </c>
      <c r="H143" s="253" t="s">
        <v>1385</v>
      </c>
      <c r="I143" s="371"/>
      <c r="J143" s="161"/>
      <c r="K143" s="161"/>
      <c r="L143" s="161"/>
      <c r="M143" s="161"/>
      <c r="N143" s="161"/>
      <c r="O143" s="161"/>
      <c r="P143" s="161"/>
      <c r="Q143" s="161"/>
      <c r="R143" s="161"/>
    </row>
    <row r="144" spans="1:18" ht="16.5" thickTop="1" thickBot="1" x14ac:dyDescent="0.3">
      <c r="A144" s="356"/>
      <c r="B144" s="154" t="s">
        <v>5</v>
      </c>
      <c r="C144" s="154">
        <v>144</v>
      </c>
      <c r="D144" s="154">
        <v>856</v>
      </c>
      <c r="E144" s="154">
        <v>79</v>
      </c>
      <c r="F144" s="154"/>
      <c r="G144" s="245">
        <f t="shared" si="8"/>
        <v>79</v>
      </c>
      <c r="H144" s="253" t="s">
        <v>1386</v>
      </c>
      <c r="I144" s="371"/>
      <c r="J144" s="161"/>
      <c r="K144" s="161"/>
      <c r="L144" s="161"/>
      <c r="M144" s="161"/>
      <c r="N144" s="161"/>
      <c r="O144" s="161"/>
      <c r="P144" s="161"/>
      <c r="Q144" s="161"/>
      <c r="R144" s="161"/>
    </row>
    <row r="145" spans="1:18" ht="16.5" thickTop="1" thickBot="1" x14ac:dyDescent="0.3">
      <c r="A145" s="315"/>
      <c r="B145" s="126" t="s">
        <v>20</v>
      </c>
      <c r="C145" s="126">
        <v>144</v>
      </c>
      <c r="D145" s="126">
        <v>856</v>
      </c>
      <c r="E145" s="126">
        <v>19</v>
      </c>
      <c r="F145" s="126"/>
      <c r="G145" s="247">
        <f t="shared" si="8"/>
        <v>19</v>
      </c>
      <c r="H145" s="254" t="s">
        <v>1387</v>
      </c>
      <c r="I145" s="371"/>
      <c r="J145" s="161"/>
      <c r="K145" s="161"/>
      <c r="L145" s="161"/>
      <c r="M145" s="161"/>
      <c r="N145" s="161"/>
      <c r="O145" s="161"/>
      <c r="P145" s="161"/>
      <c r="Q145" s="161"/>
      <c r="R145" s="161"/>
    </row>
    <row r="146" spans="1:18" ht="16.5" thickTop="1" thickBot="1" x14ac:dyDescent="0.3">
      <c r="A146" s="307" t="s">
        <v>421</v>
      </c>
      <c r="B146" s="151" t="s">
        <v>90</v>
      </c>
      <c r="C146" s="151">
        <v>1440</v>
      </c>
      <c r="D146" s="151">
        <v>148</v>
      </c>
      <c r="E146" s="45">
        <v>97</v>
      </c>
      <c r="F146" s="151">
        <f>1+1+1+1+1+1+3+1+1</f>
        <v>11</v>
      </c>
      <c r="G146" s="243">
        <f t="shared" ref="G146:G149" si="9">E146-F146</f>
        <v>86</v>
      </c>
      <c r="H146" s="252" t="s">
        <v>1196</v>
      </c>
      <c r="I146" s="371" t="s">
        <v>346</v>
      </c>
      <c r="J146" s="161"/>
      <c r="K146" s="161"/>
      <c r="L146" s="161"/>
      <c r="M146" s="161"/>
      <c r="N146" s="161"/>
      <c r="O146" s="161"/>
      <c r="P146" s="161"/>
      <c r="Q146" s="161"/>
      <c r="R146" s="161"/>
    </row>
    <row r="147" spans="1:18" ht="16.5" thickTop="1" thickBot="1" x14ac:dyDescent="0.3">
      <c r="A147" s="308"/>
      <c r="B147" s="152" t="s">
        <v>89</v>
      </c>
      <c r="C147" s="152">
        <v>1440</v>
      </c>
      <c r="D147" s="152">
        <v>148</v>
      </c>
      <c r="E147" s="83">
        <v>100</v>
      </c>
      <c r="F147" s="152">
        <f>1+1+1+1+1</f>
        <v>5</v>
      </c>
      <c r="G147" s="245">
        <f t="shared" si="9"/>
        <v>95</v>
      </c>
      <c r="H147" s="253" t="s">
        <v>1388</v>
      </c>
      <c r="I147" s="371"/>
      <c r="J147" s="161"/>
      <c r="K147" s="161"/>
      <c r="L147" s="161"/>
      <c r="M147" s="161"/>
      <c r="N147" s="161"/>
      <c r="O147" s="161"/>
      <c r="P147" s="161"/>
      <c r="Q147" s="161"/>
      <c r="R147" s="161"/>
    </row>
    <row r="148" spans="1:18" ht="16.5" thickTop="1" thickBot="1" x14ac:dyDescent="0.3">
      <c r="A148" s="308"/>
      <c r="B148" s="152" t="s">
        <v>21</v>
      </c>
      <c r="C148" s="152">
        <v>1440</v>
      </c>
      <c r="D148" s="152">
        <v>161</v>
      </c>
      <c r="E148" s="152">
        <v>99</v>
      </c>
      <c r="F148" s="152">
        <f>1+1+1</f>
        <v>3</v>
      </c>
      <c r="G148" s="245">
        <f t="shared" si="9"/>
        <v>96</v>
      </c>
      <c r="H148" s="253" t="s">
        <v>1389</v>
      </c>
      <c r="I148" s="371"/>
      <c r="J148" s="161"/>
      <c r="K148" s="161"/>
      <c r="L148" s="161"/>
      <c r="M148" s="161"/>
      <c r="N148" s="161"/>
      <c r="O148" s="161"/>
      <c r="P148" s="161"/>
      <c r="Q148" s="161"/>
      <c r="R148" s="161"/>
    </row>
    <row r="149" spans="1:18" ht="16.5" thickTop="1" thickBot="1" x14ac:dyDescent="0.3">
      <c r="A149" s="308"/>
      <c r="B149" s="152" t="s">
        <v>22</v>
      </c>
      <c r="C149" s="152">
        <v>1440</v>
      </c>
      <c r="D149" s="152">
        <v>192</v>
      </c>
      <c r="E149" s="152">
        <v>80</v>
      </c>
      <c r="F149" s="152">
        <f>1+1</f>
        <v>2</v>
      </c>
      <c r="G149" s="245">
        <f t="shared" si="9"/>
        <v>78</v>
      </c>
      <c r="H149" s="253" t="s">
        <v>1390</v>
      </c>
      <c r="I149" s="371"/>
      <c r="J149" s="161"/>
      <c r="K149" s="161"/>
      <c r="L149" s="161"/>
      <c r="M149" s="161"/>
      <c r="N149" s="161"/>
      <c r="O149" s="161"/>
      <c r="P149" s="161"/>
      <c r="Q149" s="161"/>
      <c r="R149" s="161"/>
    </row>
    <row r="150" spans="1:18" ht="16.5" thickTop="1" thickBot="1" x14ac:dyDescent="0.3">
      <c r="A150" s="308"/>
      <c r="B150" s="152" t="s">
        <v>18</v>
      </c>
      <c r="C150" s="152">
        <v>1440</v>
      </c>
      <c r="D150" s="152">
        <v>226</v>
      </c>
      <c r="E150" s="152">
        <v>70</v>
      </c>
      <c r="F150" s="152">
        <f>1+1+1</f>
        <v>3</v>
      </c>
      <c r="G150" s="244">
        <f t="shared" ref="G150:G157" si="10">E150-F150</f>
        <v>67</v>
      </c>
      <c r="H150" s="253" t="s">
        <v>2142</v>
      </c>
      <c r="I150" s="371"/>
      <c r="J150" s="161"/>
      <c r="K150" s="161"/>
      <c r="L150" s="161"/>
      <c r="M150" s="161"/>
      <c r="N150" s="161"/>
      <c r="O150" s="161"/>
      <c r="P150" s="161"/>
      <c r="Q150" s="161"/>
      <c r="R150" s="161"/>
    </row>
    <row r="151" spans="1:18" ht="16.5" thickTop="1" thickBot="1" x14ac:dyDescent="0.3">
      <c r="A151" s="308"/>
      <c r="B151" s="152" t="s">
        <v>19</v>
      </c>
      <c r="C151" s="152">
        <v>1440</v>
      </c>
      <c r="D151" s="152">
        <v>281</v>
      </c>
      <c r="E151" s="152">
        <f>27+30</f>
        <v>57</v>
      </c>
      <c r="F151" s="152">
        <f>1+1+1</f>
        <v>3</v>
      </c>
      <c r="G151" s="245">
        <f t="shared" si="10"/>
        <v>54</v>
      </c>
      <c r="H151" s="253" t="s">
        <v>1391</v>
      </c>
      <c r="I151" s="371"/>
      <c r="J151" s="161"/>
      <c r="K151" s="161"/>
      <c r="L151" s="161"/>
      <c r="M151" s="161"/>
      <c r="N151" s="161"/>
      <c r="O151" s="161"/>
      <c r="P151" s="161"/>
      <c r="Q151" s="161"/>
      <c r="R151" s="161"/>
    </row>
    <row r="152" spans="1:18" ht="16.5" thickTop="1" thickBot="1" x14ac:dyDescent="0.3">
      <c r="A152" s="308"/>
      <c r="B152" s="152" t="s">
        <v>0</v>
      </c>
      <c r="C152" s="152">
        <v>1440</v>
      </c>
      <c r="D152" s="152">
        <v>362</v>
      </c>
      <c r="E152" s="152">
        <v>91</v>
      </c>
      <c r="F152" s="152">
        <f>1+1+1+3+1+1+1+1+1+1+1+1+10+2</f>
        <v>26</v>
      </c>
      <c r="G152" s="245">
        <f t="shared" si="10"/>
        <v>65</v>
      </c>
      <c r="H152" s="253" t="s">
        <v>1392</v>
      </c>
      <c r="I152" s="371"/>
      <c r="J152" s="161"/>
      <c r="K152" s="161"/>
      <c r="L152" s="161"/>
      <c r="M152" s="161"/>
      <c r="N152" s="161"/>
      <c r="O152" s="161"/>
      <c r="P152" s="161"/>
      <c r="Q152" s="161"/>
      <c r="R152" s="161"/>
    </row>
    <row r="153" spans="1:18" ht="16.5" thickTop="1" thickBot="1" x14ac:dyDescent="0.3">
      <c r="A153" s="308"/>
      <c r="B153" s="152" t="s">
        <v>1</v>
      </c>
      <c r="C153" s="152">
        <v>1440</v>
      </c>
      <c r="D153" s="152">
        <v>583</v>
      </c>
      <c r="E153" s="152">
        <v>139</v>
      </c>
      <c r="F153" s="152">
        <f>1+8+1+1+1+1</f>
        <v>13</v>
      </c>
      <c r="G153" s="245">
        <f t="shared" si="10"/>
        <v>126</v>
      </c>
      <c r="H153" s="253" t="s">
        <v>1393</v>
      </c>
      <c r="I153" s="371"/>
      <c r="J153" s="161"/>
      <c r="K153" s="161"/>
      <c r="L153" s="161"/>
      <c r="M153" s="161"/>
      <c r="N153" s="161"/>
      <c r="O153" s="161"/>
      <c r="P153" s="161"/>
      <c r="Q153" s="161"/>
      <c r="R153" s="161"/>
    </row>
    <row r="154" spans="1:18" ht="16.5" thickTop="1" thickBot="1" x14ac:dyDescent="0.3">
      <c r="A154" s="308"/>
      <c r="B154" s="152" t="s">
        <v>2</v>
      </c>
      <c r="C154" s="152">
        <v>288</v>
      </c>
      <c r="D154" s="152">
        <v>332</v>
      </c>
      <c r="E154" s="152">
        <v>76</v>
      </c>
      <c r="F154" s="152">
        <f>1+1+1+1+1</f>
        <v>5</v>
      </c>
      <c r="G154" s="245">
        <f t="shared" si="10"/>
        <v>71</v>
      </c>
      <c r="H154" s="253" t="s">
        <v>1394</v>
      </c>
      <c r="I154" s="371"/>
      <c r="J154" s="161"/>
      <c r="K154" s="161"/>
      <c r="L154" s="161"/>
      <c r="M154" s="161"/>
      <c r="N154" s="161"/>
      <c r="O154" s="161"/>
      <c r="P154" s="161"/>
      <c r="Q154" s="161"/>
      <c r="R154" s="161"/>
    </row>
    <row r="155" spans="1:18" ht="16.5" thickTop="1" thickBot="1" x14ac:dyDescent="0.3">
      <c r="A155" s="309"/>
      <c r="B155" s="126" t="s">
        <v>5</v>
      </c>
      <c r="C155" s="126">
        <v>144</v>
      </c>
      <c r="D155" s="126">
        <v>856</v>
      </c>
      <c r="E155" s="126">
        <v>179</v>
      </c>
      <c r="F155" s="126">
        <f>1+1+1+1+1+1+1</f>
        <v>7</v>
      </c>
      <c r="G155" s="246">
        <f t="shared" si="10"/>
        <v>172</v>
      </c>
      <c r="H155" s="254" t="s">
        <v>1395</v>
      </c>
      <c r="I155" s="371"/>
      <c r="J155" s="161"/>
      <c r="K155" s="161"/>
      <c r="L155" s="161"/>
      <c r="M155" s="161"/>
      <c r="N155" s="161"/>
      <c r="O155" s="161"/>
      <c r="P155" s="161"/>
      <c r="Q155" s="161"/>
      <c r="R155" s="161"/>
    </row>
    <row r="156" spans="1:18" ht="16.5" thickTop="1" thickBot="1" x14ac:dyDescent="0.3">
      <c r="A156" s="307" t="s">
        <v>422</v>
      </c>
      <c r="B156" s="151" t="s">
        <v>90</v>
      </c>
      <c r="C156" s="151">
        <v>1440</v>
      </c>
      <c r="D156" s="151">
        <v>148</v>
      </c>
      <c r="E156" s="45">
        <v>94</v>
      </c>
      <c r="F156" s="151">
        <f>1+1+1+1+1+1+1+1+1+1+1+1</f>
        <v>12</v>
      </c>
      <c r="G156" s="243">
        <f t="shared" si="10"/>
        <v>82</v>
      </c>
      <c r="H156" s="252" t="s">
        <v>1249</v>
      </c>
      <c r="I156" s="371" t="s">
        <v>347</v>
      </c>
      <c r="J156" s="161"/>
      <c r="K156" s="161"/>
      <c r="L156" s="161"/>
      <c r="M156" s="161"/>
      <c r="N156" s="161"/>
      <c r="O156" s="161"/>
      <c r="P156" s="161"/>
      <c r="Q156" s="161"/>
      <c r="R156" s="161"/>
    </row>
    <row r="157" spans="1:18" ht="16.5" thickTop="1" thickBot="1" x14ac:dyDescent="0.3">
      <c r="A157" s="308"/>
      <c r="B157" s="152" t="s">
        <v>89</v>
      </c>
      <c r="C157" s="152">
        <v>1440</v>
      </c>
      <c r="D157" s="152">
        <v>148</v>
      </c>
      <c r="E157" s="83">
        <v>96</v>
      </c>
      <c r="F157" s="152">
        <f>1+1+2+1</f>
        <v>5</v>
      </c>
      <c r="G157" s="245">
        <f t="shared" si="10"/>
        <v>91</v>
      </c>
      <c r="H157" s="253" t="s">
        <v>1396</v>
      </c>
      <c r="I157" s="371"/>
      <c r="J157" s="161"/>
      <c r="K157" s="161"/>
      <c r="L157" s="161"/>
      <c r="M157" s="161"/>
      <c r="N157" s="161"/>
      <c r="O157" s="161"/>
      <c r="P157" s="161"/>
      <c r="Q157" s="161"/>
      <c r="R157" s="161"/>
    </row>
    <row r="158" spans="1:18" ht="16.5" thickTop="1" thickBot="1" x14ac:dyDescent="0.3">
      <c r="A158" s="308"/>
      <c r="B158" s="152" t="s">
        <v>22</v>
      </c>
      <c r="C158" s="152">
        <v>1440</v>
      </c>
      <c r="D158" s="152">
        <v>192</v>
      </c>
      <c r="E158" s="152">
        <f>40+1+10</f>
        <v>51</v>
      </c>
      <c r="F158" s="152">
        <f>1+1+2+1</f>
        <v>5</v>
      </c>
      <c r="G158" s="245">
        <f t="shared" ref="G158:G172" si="11">E158-F158</f>
        <v>46</v>
      </c>
      <c r="H158" s="253" t="s">
        <v>1397</v>
      </c>
      <c r="I158" s="371"/>
      <c r="J158" s="173"/>
      <c r="K158" s="173"/>
      <c r="L158" s="173"/>
      <c r="M158" s="173"/>
      <c r="N158" s="173"/>
      <c r="O158" s="173"/>
      <c r="P158" s="173"/>
      <c r="Q158" s="173"/>
      <c r="R158" s="161"/>
    </row>
    <row r="159" spans="1:18" ht="16.5" thickTop="1" thickBot="1" x14ac:dyDescent="0.3">
      <c r="A159" s="308"/>
      <c r="B159" s="152" t="s">
        <v>18</v>
      </c>
      <c r="C159" s="152">
        <v>1440</v>
      </c>
      <c r="D159" s="152">
        <v>226</v>
      </c>
      <c r="E159" s="152">
        <v>71</v>
      </c>
      <c r="F159" s="152">
        <f>1+2+2+2+1+1+1+1+1+1</f>
        <v>13</v>
      </c>
      <c r="G159" s="245">
        <f t="shared" si="11"/>
        <v>58</v>
      </c>
      <c r="H159" s="253" t="s">
        <v>1398</v>
      </c>
      <c r="I159" s="371"/>
      <c r="J159" s="173"/>
      <c r="K159" s="173"/>
      <c r="L159" s="173"/>
      <c r="M159" s="173"/>
      <c r="N159" s="173"/>
      <c r="O159" s="173"/>
      <c r="P159" s="173"/>
      <c r="Q159" s="173"/>
      <c r="R159" s="161"/>
    </row>
    <row r="160" spans="1:18" ht="16.5" thickTop="1" thickBot="1" x14ac:dyDescent="0.3">
      <c r="A160" s="308"/>
      <c r="B160" s="152" t="s">
        <v>19</v>
      </c>
      <c r="C160" s="152">
        <v>1440</v>
      </c>
      <c r="D160" s="152">
        <v>281</v>
      </c>
      <c r="E160" s="152">
        <f>30+24</f>
        <v>54</v>
      </c>
      <c r="F160" s="152"/>
      <c r="G160" s="245">
        <f t="shared" si="11"/>
        <v>54</v>
      </c>
      <c r="H160" s="253" t="s">
        <v>1399</v>
      </c>
      <c r="I160" s="371"/>
      <c r="J160" s="173"/>
      <c r="K160" s="161"/>
      <c r="L160" s="161"/>
      <c r="M160" s="161"/>
      <c r="N160" s="161"/>
      <c r="O160" s="161"/>
      <c r="P160" s="161"/>
      <c r="Q160" s="161"/>
      <c r="R160" s="161"/>
    </row>
    <row r="161" spans="1:18" ht="16.5" thickTop="1" thickBot="1" x14ac:dyDescent="0.3">
      <c r="A161" s="308"/>
      <c r="B161" s="152" t="s">
        <v>0</v>
      </c>
      <c r="C161" s="152">
        <v>1440</v>
      </c>
      <c r="D161" s="152">
        <v>361</v>
      </c>
      <c r="E161" s="152">
        <v>98</v>
      </c>
      <c r="F161" s="152">
        <f>1+1+1+1+1+2+1+1+1+1</f>
        <v>11</v>
      </c>
      <c r="G161" s="245">
        <f t="shared" si="11"/>
        <v>87</v>
      </c>
      <c r="H161" s="253" t="s">
        <v>1400</v>
      </c>
      <c r="I161" s="371"/>
      <c r="J161" s="173"/>
      <c r="K161" s="161"/>
      <c r="L161" s="161"/>
      <c r="M161" s="161"/>
      <c r="N161" s="161"/>
      <c r="O161" s="161"/>
      <c r="P161" s="161"/>
      <c r="Q161" s="161"/>
      <c r="R161" s="161"/>
    </row>
    <row r="162" spans="1:18" ht="16.5" thickTop="1" thickBot="1" x14ac:dyDescent="0.3">
      <c r="A162" s="308"/>
      <c r="B162" s="152" t="s">
        <v>1</v>
      </c>
      <c r="C162" s="152">
        <v>1440</v>
      </c>
      <c r="D162" s="152">
        <v>582</v>
      </c>
      <c r="E162" s="152">
        <v>146</v>
      </c>
      <c r="F162" s="152">
        <f>1+1+1+1+1+1+1+1</f>
        <v>8</v>
      </c>
      <c r="G162" s="245">
        <f t="shared" si="11"/>
        <v>138</v>
      </c>
      <c r="H162" s="253" t="s">
        <v>1401</v>
      </c>
      <c r="I162" s="371"/>
      <c r="J162" s="173"/>
      <c r="K162" s="161"/>
      <c r="L162" s="161"/>
      <c r="M162" s="161"/>
      <c r="N162" s="161"/>
      <c r="O162" s="161"/>
      <c r="P162" s="161"/>
      <c r="Q162" s="161"/>
      <c r="R162" s="161"/>
    </row>
    <row r="163" spans="1:18" ht="16.5" thickTop="1" thickBot="1" x14ac:dyDescent="0.3">
      <c r="A163" s="309"/>
      <c r="B163" s="126" t="s">
        <v>2</v>
      </c>
      <c r="C163" s="126">
        <v>288</v>
      </c>
      <c r="D163" s="126">
        <v>332</v>
      </c>
      <c r="E163" s="126">
        <v>95</v>
      </c>
      <c r="F163" s="126">
        <f>1+1+1+1+1+1+1</f>
        <v>7</v>
      </c>
      <c r="G163" s="246">
        <f t="shared" si="11"/>
        <v>88</v>
      </c>
      <c r="H163" s="254" t="s">
        <v>1402</v>
      </c>
      <c r="I163" s="371"/>
      <c r="J163" s="173"/>
      <c r="K163" s="161"/>
      <c r="L163" s="161"/>
      <c r="M163" s="161"/>
      <c r="N163" s="161"/>
      <c r="O163" s="161"/>
      <c r="P163" s="161"/>
      <c r="Q163" s="161"/>
      <c r="R163" s="161"/>
    </row>
    <row r="164" spans="1:18" ht="16.5" thickTop="1" thickBot="1" x14ac:dyDescent="0.3">
      <c r="A164" s="307" t="s">
        <v>148</v>
      </c>
      <c r="B164" s="151" t="s">
        <v>90</v>
      </c>
      <c r="C164" s="151">
        <v>1440</v>
      </c>
      <c r="D164" s="151">
        <v>111</v>
      </c>
      <c r="E164" s="151">
        <v>48</v>
      </c>
      <c r="F164" s="151"/>
      <c r="G164" s="243">
        <f t="shared" si="11"/>
        <v>48</v>
      </c>
      <c r="H164" s="252" t="s">
        <v>1190</v>
      </c>
      <c r="I164" s="371" t="s">
        <v>348</v>
      </c>
      <c r="J164" s="173"/>
      <c r="K164" s="161"/>
      <c r="L164" s="161"/>
      <c r="M164" s="161"/>
      <c r="N164" s="161"/>
      <c r="O164" s="161"/>
      <c r="P164" s="161"/>
      <c r="Q164" s="161"/>
      <c r="R164" s="161"/>
    </row>
    <row r="165" spans="1:18" ht="16.5" thickTop="1" thickBot="1" x14ac:dyDescent="0.3">
      <c r="A165" s="308"/>
      <c r="B165" s="152" t="s">
        <v>22</v>
      </c>
      <c r="C165" s="152">
        <v>1440</v>
      </c>
      <c r="D165" s="152">
        <v>192</v>
      </c>
      <c r="E165" s="152">
        <v>39</v>
      </c>
      <c r="F165" s="152">
        <f>1+1+1+1</f>
        <v>4</v>
      </c>
      <c r="G165" s="245">
        <f t="shared" si="11"/>
        <v>35</v>
      </c>
      <c r="H165" s="253" t="s">
        <v>1403</v>
      </c>
      <c r="I165" s="371"/>
      <c r="J165" s="173"/>
      <c r="K165" s="161"/>
      <c r="L165" s="161"/>
      <c r="M165" s="161"/>
      <c r="N165" s="161"/>
      <c r="O165" s="161"/>
      <c r="P165" s="161"/>
      <c r="Q165" s="161"/>
      <c r="R165" s="161"/>
    </row>
    <row r="166" spans="1:18" ht="16.5" thickTop="1" thickBot="1" x14ac:dyDescent="0.3">
      <c r="A166" s="308"/>
      <c r="B166" s="152" t="s">
        <v>18</v>
      </c>
      <c r="C166" s="152">
        <v>1440</v>
      </c>
      <c r="D166" s="152">
        <v>226</v>
      </c>
      <c r="E166" s="152">
        <v>35</v>
      </c>
      <c r="F166" s="152">
        <f>1+1+1+1</f>
        <v>4</v>
      </c>
      <c r="G166" s="245">
        <f t="shared" si="11"/>
        <v>31</v>
      </c>
      <c r="H166" s="253" t="s">
        <v>1404</v>
      </c>
      <c r="I166" s="371"/>
      <c r="J166" s="173"/>
      <c r="K166" s="161"/>
      <c r="L166" s="161"/>
      <c r="M166" s="161"/>
      <c r="N166" s="161"/>
      <c r="O166" s="161"/>
      <c r="P166" s="161"/>
      <c r="Q166" s="161"/>
      <c r="R166" s="161"/>
    </row>
    <row r="167" spans="1:18" ht="16.5" thickTop="1" thickBot="1" x14ac:dyDescent="0.3">
      <c r="A167" s="308"/>
      <c r="B167" s="152" t="s">
        <v>0</v>
      </c>
      <c r="C167" s="152">
        <v>1440</v>
      </c>
      <c r="D167" s="152">
        <v>361</v>
      </c>
      <c r="E167" s="152">
        <v>48</v>
      </c>
      <c r="F167" s="152">
        <f>1+1+1+1+1+1</f>
        <v>6</v>
      </c>
      <c r="G167" s="245">
        <f t="shared" si="11"/>
        <v>42</v>
      </c>
      <c r="H167" s="253" t="s">
        <v>1405</v>
      </c>
      <c r="I167" s="371"/>
      <c r="J167" s="173"/>
      <c r="K167" s="161"/>
      <c r="L167" s="161"/>
      <c r="M167" s="161"/>
      <c r="N167" s="161"/>
      <c r="O167" s="161"/>
      <c r="P167" s="161"/>
      <c r="Q167" s="161"/>
      <c r="R167" s="161"/>
    </row>
    <row r="168" spans="1:18" ht="16.5" thickTop="1" thickBot="1" x14ac:dyDescent="0.3">
      <c r="A168" s="308"/>
      <c r="B168" s="152" t="s">
        <v>1</v>
      </c>
      <c r="C168" s="152">
        <v>1440</v>
      </c>
      <c r="D168" s="152">
        <v>582</v>
      </c>
      <c r="E168" s="152">
        <v>78</v>
      </c>
      <c r="F168" s="152">
        <f>4+1+1+2+1+1+1+1+1+1</f>
        <v>14</v>
      </c>
      <c r="G168" s="245">
        <f t="shared" si="11"/>
        <v>64</v>
      </c>
      <c r="H168" s="253" t="s">
        <v>1406</v>
      </c>
      <c r="I168" s="371"/>
      <c r="J168" s="173"/>
      <c r="K168" s="161"/>
      <c r="L168" s="161"/>
      <c r="M168" s="161"/>
      <c r="N168" s="161"/>
      <c r="O168" s="161"/>
      <c r="P168" s="161"/>
      <c r="Q168" s="161"/>
      <c r="R168" s="161"/>
    </row>
    <row r="169" spans="1:18" ht="16.5" thickTop="1" thickBot="1" x14ac:dyDescent="0.3">
      <c r="A169" s="308"/>
      <c r="B169" s="152" t="s">
        <v>2</v>
      </c>
      <c r="C169" s="152">
        <v>288</v>
      </c>
      <c r="D169" s="152">
        <v>332</v>
      </c>
      <c r="E169" s="152">
        <v>40</v>
      </c>
      <c r="F169" s="152">
        <f>2+1+1</f>
        <v>4</v>
      </c>
      <c r="G169" s="245">
        <f t="shared" si="11"/>
        <v>36</v>
      </c>
      <c r="H169" s="253" t="s">
        <v>1407</v>
      </c>
      <c r="I169" s="371"/>
      <c r="J169" s="173"/>
      <c r="K169" s="161"/>
      <c r="L169" s="161"/>
      <c r="M169" s="161"/>
      <c r="N169" s="161"/>
      <c r="O169" s="161"/>
      <c r="P169" s="161"/>
      <c r="Q169" s="161"/>
      <c r="R169" s="161"/>
    </row>
    <row r="170" spans="1:18" ht="16.5" thickTop="1" thickBot="1" x14ac:dyDescent="0.3">
      <c r="A170" s="309"/>
      <c r="B170" s="126" t="s">
        <v>5</v>
      </c>
      <c r="C170" s="126">
        <v>144</v>
      </c>
      <c r="D170" s="126">
        <v>856</v>
      </c>
      <c r="E170" s="126">
        <v>41</v>
      </c>
      <c r="F170" s="126">
        <v>1</v>
      </c>
      <c r="G170" s="246">
        <f t="shared" si="11"/>
        <v>40</v>
      </c>
      <c r="H170" s="254" t="s">
        <v>1408</v>
      </c>
      <c r="I170" s="371"/>
      <c r="J170" s="173"/>
      <c r="K170" s="161"/>
      <c r="L170" s="161"/>
      <c r="M170" s="161"/>
      <c r="N170" s="161"/>
      <c r="O170" s="161"/>
      <c r="P170" s="161"/>
      <c r="Q170" s="161"/>
      <c r="R170" s="161"/>
    </row>
    <row r="171" spans="1:18" ht="16.5" thickTop="1" thickBot="1" x14ac:dyDescent="0.3">
      <c r="A171" s="307" t="s">
        <v>423</v>
      </c>
      <c r="B171" s="151" t="s">
        <v>90</v>
      </c>
      <c r="C171" s="151">
        <v>1440</v>
      </c>
      <c r="D171" s="151">
        <v>148</v>
      </c>
      <c r="E171" s="45">
        <v>100</v>
      </c>
      <c r="F171" s="151">
        <f>1+1+1+1+1</f>
        <v>5</v>
      </c>
      <c r="G171" s="243">
        <f t="shared" si="11"/>
        <v>95</v>
      </c>
      <c r="H171" s="252" t="s">
        <v>1195</v>
      </c>
      <c r="I171" s="371" t="s">
        <v>349</v>
      </c>
      <c r="J171" s="173"/>
      <c r="K171" s="161"/>
      <c r="L171" s="161"/>
      <c r="M171" s="161"/>
      <c r="N171" s="161"/>
      <c r="O171" s="161"/>
      <c r="P171" s="161"/>
      <c r="Q171" s="161"/>
      <c r="R171" s="161"/>
    </row>
    <row r="172" spans="1:18" ht="16.5" thickTop="1" thickBot="1" x14ac:dyDescent="0.3">
      <c r="A172" s="308"/>
      <c r="B172" s="152" t="s">
        <v>89</v>
      </c>
      <c r="C172" s="152">
        <v>1440</v>
      </c>
      <c r="D172" s="152">
        <v>148</v>
      </c>
      <c r="E172" s="83">
        <v>99</v>
      </c>
      <c r="F172" s="152">
        <f>1+1</f>
        <v>2</v>
      </c>
      <c r="G172" s="245">
        <f t="shared" si="11"/>
        <v>97</v>
      </c>
      <c r="H172" s="253" t="s">
        <v>1409</v>
      </c>
      <c r="I172" s="371"/>
      <c r="J172" s="173"/>
      <c r="K172" s="161"/>
      <c r="L172" s="161"/>
      <c r="M172" s="161"/>
      <c r="N172" s="161"/>
      <c r="O172" s="161"/>
      <c r="P172" s="161"/>
      <c r="Q172" s="161"/>
      <c r="R172" s="161"/>
    </row>
    <row r="173" spans="1:18" ht="16.5" thickTop="1" thickBot="1" x14ac:dyDescent="0.3">
      <c r="A173" s="308"/>
      <c r="B173" s="152" t="s">
        <v>21</v>
      </c>
      <c r="C173" s="152">
        <v>1440</v>
      </c>
      <c r="D173" s="152">
        <v>161</v>
      </c>
      <c r="E173" s="152">
        <v>98</v>
      </c>
      <c r="F173" s="152">
        <v>1</v>
      </c>
      <c r="G173" s="245">
        <f t="shared" ref="G173:G199" si="12">E173-F173</f>
        <v>97</v>
      </c>
      <c r="H173" s="253" t="s">
        <v>1410</v>
      </c>
      <c r="I173" s="371"/>
      <c r="J173" s="173"/>
      <c r="K173" s="161"/>
      <c r="L173" s="161"/>
      <c r="M173" s="161"/>
      <c r="N173" s="161"/>
      <c r="O173" s="161"/>
      <c r="P173" s="161"/>
      <c r="Q173" s="161"/>
      <c r="R173" s="161"/>
    </row>
    <row r="174" spans="1:18" ht="16.5" thickTop="1" thickBot="1" x14ac:dyDescent="0.3">
      <c r="A174" s="308"/>
      <c r="B174" s="152" t="s">
        <v>22</v>
      </c>
      <c r="C174" s="152">
        <v>1440</v>
      </c>
      <c r="D174" s="152">
        <v>192</v>
      </c>
      <c r="E174" s="152">
        <v>78</v>
      </c>
      <c r="F174" s="152">
        <f>1+1</f>
        <v>2</v>
      </c>
      <c r="G174" s="245">
        <f t="shared" si="12"/>
        <v>76</v>
      </c>
      <c r="H174" s="253" t="s">
        <v>1411</v>
      </c>
      <c r="I174" s="371"/>
      <c r="J174" s="173"/>
      <c r="K174" s="161"/>
      <c r="L174" s="161"/>
      <c r="M174" s="161"/>
      <c r="N174" s="161"/>
      <c r="O174" s="161"/>
      <c r="P174" s="161"/>
      <c r="Q174" s="161"/>
      <c r="R174" s="161"/>
    </row>
    <row r="175" spans="1:18" ht="16.5" thickTop="1" thickBot="1" x14ac:dyDescent="0.3">
      <c r="A175" s="308"/>
      <c r="B175" s="152" t="s">
        <v>18</v>
      </c>
      <c r="C175" s="152">
        <v>1440</v>
      </c>
      <c r="D175" s="152">
        <v>226</v>
      </c>
      <c r="E175" s="152">
        <v>99</v>
      </c>
      <c r="F175" s="152">
        <f>1+1+1+1</f>
        <v>4</v>
      </c>
      <c r="G175" s="245">
        <f t="shared" si="12"/>
        <v>95</v>
      </c>
      <c r="H175" s="253" t="s">
        <v>1412</v>
      </c>
      <c r="I175" s="371"/>
      <c r="J175" s="173"/>
      <c r="K175" s="161"/>
      <c r="L175" s="161"/>
      <c r="M175" s="161"/>
      <c r="N175" s="161"/>
      <c r="O175" s="161"/>
      <c r="P175" s="161"/>
      <c r="Q175" s="161"/>
      <c r="R175" s="161"/>
    </row>
    <row r="176" spans="1:18" ht="16.5" thickTop="1" thickBot="1" x14ac:dyDescent="0.3">
      <c r="A176" s="308"/>
      <c r="B176" s="152" t="s">
        <v>19</v>
      </c>
      <c r="C176" s="152">
        <v>1440</v>
      </c>
      <c r="D176" s="152">
        <v>281</v>
      </c>
      <c r="E176" s="152">
        <v>27</v>
      </c>
      <c r="F176" s="152">
        <f>1+1+1+1</f>
        <v>4</v>
      </c>
      <c r="G176" s="245">
        <f t="shared" si="12"/>
        <v>23</v>
      </c>
      <c r="H176" s="253" t="s">
        <v>1413</v>
      </c>
      <c r="I176" s="371"/>
      <c r="J176" s="173"/>
      <c r="K176" s="161"/>
      <c r="L176" s="161"/>
      <c r="M176" s="161"/>
      <c r="N176" s="161"/>
      <c r="O176" s="161"/>
      <c r="P176" s="161"/>
      <c r="Q176" s="161"/>
      <c r="R176" s="161"/>
    </row>
    <row r="177" spans="1:18" ht="16.5" thickTop="1" thickBot="1" x14ac:dyDescent="0.3">
      <c r="A177" s="308"/>
      <c r="B177" s="152" t="s">
        <v>0</v>
      </c>
      <c r="C177" s="152">
        <v>1440</v>
      </c>
      <c r="D177" s="152">
        <v>362</v>
      </c>
      <c r="E177" s="152">
        <v>95</v>
      </c>
      <c r="F177" s="152">
        <f>1+1+1+5+1+1+1</f>
        <v>11</v>
      </c>
      <c r="G177" s="245">
        <f t="shared" si="12"/>
        <v>84</v>
      </c>
      <c r="H177" s="253" t="s">
        <v>1414</v>
      </c>
      <c r="I177" s="371"/>
      <c r="J177" s="173"/>
      <c r="K177" s="161"/>
      <c r="L177" s="161"/>
      <c r="M177" s="161"/>
      <c r="N177" s="161"/>
      <c r="O177" s="161"/>
      <c r="P177" s="161"/>
      <c r="Q177" s="161"/>
      <c r="R177" s="161"/>
    </row>
    <row r="178" spans="1:18" ht="16.5" thickTop="1" thickBot="1" x14ac:dyDescent="0.3">
      <c r="A178" s="308"/>
      <c r="B178" s="154" t="s">
        <v>1</v>
      </c>
      <c r="C178" s="154">
        <v>1440</v>
      </c>
      <c r="D178" s="154">
        <v>583</v>
      </c>
      <c r="E178" s="154">
        <v>182</v>
      </c>
      <c r="F178" s="154">
        <f>1+4</f>
        <v>5</v>
      </c>
      <c r="G178" s="247">
        <v>150</v>
      </c>
      <c r="H178" s="253" t="s">
        <v>1415</v>
      </c>
      <c r="I178" s="371"/>
      <c r="J178" s="173"/>
      <c r="K178" s="161"/>
      <c r="L178" s="161"/>
      <c r="M178" s="161"/>
      <c r="N178" s="161"/>
      <c r="O178" s="161"/>
      <c r="P178" s="161"/>
      <c r="Q178" s="161"/>
      <c r="R178" s="161"/>
    </row>
    <row r="179" spans="1:18" ht="16.5" thickTop="1" thickBot="1" x14ac:dyDescent="0.3">
      <c r="A179" s="308"/>
      <c r="B179" s="154" t="s">
        <v>2</v>
      </c>
      <c r="C179" s="154">
        <v>288</v>
      </c>
      <c r="D179" s="154">
        <v>332</v>
      </c>
      <c r="E179" s="154">
        <v>98</v>
      </c>
      <c r="F179" s="154">
        <f>1+1+1+1+1+1</f>
        <v>6</v>
      </c>
      <c r="G179" s="247">
        <f t="shared" si="12"/>
        <v>92</v>
      </c>
      <c r="H179" s="253" t="s">
        <v>1416</v>
      </c>
      <c r="I179" s="371"/>
      <c r="J179" s="173"/>
      <c r="K179" s="161"/>
      <c r="L179" s="161"/>
      <c r="M179" s="161"/>
      <c r="N179" s="161"/>
      <c r="O179" s="161"/>
      <c r="P179" s="161"/>
      <c r="Q179" s="161"/>
      <c r="R179" s="161"/>
    </row>
    <row r="180" spans="1:18" ht="16.5" thickTop="1" thickBot="1" x14ac:dyDescent="0.3">
      <c r="A180" s="309"/>
      <c r="B180" s="126" t="s">
        <v>5</v>
      </c>
      <c r="C180" s="126">
        <v>144</v>
      </c>
      <c r="D180" s="126">
        <v>856</v>
      </c>
      <c r="E180" s="126">
        <v>75</v>
      </c>
      <c r="F180" s="126">
        <f>1+1+2</f>
        <v>4</v>
      </c>
      <c r="G180" s="246">
        <f t="shared" si="12"/>
        <v>71</v>
      </c>
      <c r="H180" s="254" t="s">
        <v>1417</v>
      </c>
      <c r="I180" s="371"/>
      <c r="J180" s="173"/>
      <c r="K180" s="161"/>
      <c r="L180" s="161"/>
      <c r="M180" s="161"/>
      <c r="N180" s="161"/>
      <c r="O180" s="161"/>
      <c r="P180" s="161"/>
      <c r="Q180" s="161"/>
      <c r="R180" s="161"/>
    </row>
    <row r="181" spans="1:18" ht="16.5" thickTop="1" thickBot="1" x14ac:dyDescent="0.3">
      <c r="A181" s="307" t="s">
        <v>75</v>
      </c>
      <c r="B181" s="153" t="s">
        <v>0</v>
      </c>
      <c r="C181" s="153">
        <v>1440</v>
      </c>
      <c r="D181" s="153">
        <v>749</v>
      </c>
      <c r="E181" s="153">
        <v>79</v>
      </c>
      <c r="F181" s="153">
        <f>1+1+10+1</f>
        <v>13</v>
      </c>
      <c r="G181" s="244">
        <f t="shared" si="12"/>
        <v>66</v>
      </c>
      <c r="H181" s="252" t="s">
        <v>1250</v>
      </c>
      <c r="I181" s="371" t="s">
        <v>525</v>
      </c>
      <c r="J181" s="173"/>
      <c r="K181" s="161"/>
      <c r="L181" s="161"/>
      <c r="M181" s="161"/>
      <c r="N181" s="161"/>
      <c r="O181" s="161"/>
      <c r="P181" s="161"/>
      <c r="Q181" s="161"/>
      <c r="R181" s="161"/>
    </row>
    <row r="182" spans="1:18" ht="16.5" thickTop="1" thickBot="1" x14ac:dyDescent="0.3">
      <c r="A182" s="308"/>
      <c r="B182" s="152" t="s">
        <v>1</v>
      </c>
      <c r="C182" s="152">
        <v>1440</v>
      </c>
      <c r="D182" s="152">
        <v>1136</v>
      </c>
      <c r="E182" s="152">
        <v>138</v>
      </c>
      <c r="F182" s="152">
        <f>1+3+1+1+10+1+1+1+1</f>
        <v>20</v>
      </c>
      <c r="G182" s="245">
        <f t="shared" si="12"/>
        <v>118</v>
      </c>
      <c r="H182" s="253" t="s">
        <v>1251</v>
      </c>
      <c r="I182" s="371"/>
      <c r="J182" s="173"/>
      <c r="K182" s="161"/>
      <c r="L182" s="161"/>
      <c r="M182" s="161"/>
      <c r="N182" s="161"/>
      <c r="O182" s="161"/>
      <c r="P182" s="161"/>
      <c r="Q182" s="161"/>
      <c r="R182" s="161"/>
    </row>
    <row r="183" spans="1:18" ht="16.5" thickTop="1" thickBot="1" x14ac:dyDescent="0.3">
      <c r="A183" s="308"/>
      <c r="B183" s="152" t="s">
        <v>2</v>
      </c>
      <c r="C183" s="152">
        <v>288</v>
      </c>
      <c r="D183" s="152">
        <v>720</v>
      </c>
      <c r="E183" s="152">
        <v>60</v>
      </c>
      <c r="F183" s="152">
        <f>1+4+1+20+1</f>
        <v>27</v>
      </c>
      <c r="G183" s="245">
        <f t="shared" si="12"/>
        <v>33</v>
      </c>
      <c r="H183" s="253" t="s">
        <v>1252</v>
      </c>
      <c r="I183" s="371"/>
      <c r="J183" s="173"/>
      <c r="K183" s="161"/>
      <c r="L183" s="161"/>
      <c r="M183" s="161"/>
      <c r="N183" s="161"/>
      <c r="O183" s="161"/>
      <c r="P183" s="161"/>
      <c r="Q183" s="161"/>
      <c r="R183" s="161"/>
    </row>
    <row r="184" spans="1:18" ht="16.5" thickTop="1" thickBot="1" x14ac:dyDescent="0.3">
      <c r="A184" s="309"/>
      <c r="B184" s="126" t="s">
        <v>5</v>
      </c>
      <c r="C184" s="126">
        <v>144</v>
      </c>
      <c r="D184" s="126">
        <v>1160</v>
      </c>
      <c r="E184" s="126">
        <v>140</v>
      </c>
      <c r="F184" s="126">
        <f>1+1</f>
        <v>2</v>
      </c>
      <c r="G184" s="246">
        <f t="shared" si="12"/>
        <v>138</v>
      </c>
      <c r="H184" s="254" t="s">
        <v>1253</v>
      </c>
      <c r="I184" s="371"/>
      <c r="J184" s="173"/>
      <c r="K184" s="161"/>
      <c r="L184" s="161"/>
      <c r="M184" s="161"/>
      <c r="N184" s="161"/>
      <c r="O184" s="161"/>
      <c r="P184" s="161"/>
      <c r="Q184" s="161"/>
      <c r="R184" s="161"/>
    </row>
    <row r="185" spans="1:18" ht="16.5" thickTop="1" thickBot="1" x14ac:dyDescent="0.3">
      <c r="A185" s="304" t="s">
        <v>578</v>
      </c>
      <c r="B185" s="151" t="s">
        <v>90</v>
      </c>
      <c r="C185" s="151">
        <v>1440</v>
      </c>
      <c r="D185" s="151">
        <v>148</v>
      </c>
      <c r="E185" s="151">
        <v>37</v>
      </c>
      <c r="F185" s="151">
        <v>2</v>
      </c>
      <c r="G185" s="243">
        <f>E185-F185</f>
        <v>35</v>
      </c>
      <c r="H185" s="252" t="s">
        <v>1254</v>
      </c>
      <c r="I185" s="371" t="s">
        <v>350</v>
      </c>
      <c r="J185" s="173"/>
      <c r="K185" s="161"/>
      <c r="L185" s="161"/>
      <c r="M185" s="161"/>
      <c r="N185" s="161"/>
      <c r="O185" s="161"/>
      <c r="P185" s="161"/>
      <c r="Q185" s="161"/>
      <c r="R185" s="161"/>
    </row>
    <row r="186" spans="1:18" ht="16.5" thickTop="1" thickBot="1" x14ac:dyDescent="0.3">
      <c r="A186" s="305"/>
      <c r="B186" s="152" t="s">
        <v>89</v>
      </c>
      <c r="C186" s="152">
        <v>1440</v>
      </c>
      <c r="D186" s="152">
        <v>148</v>
      </c>
      <c r="E186" s="152">
        <v>93</v>
      </c>
      <c r="F186" s="152"/>
      <c r="G186" s="245">
        <f>E186-F186</f>
        <v>93</v>
      </c>
      <c r="H186" s="253" t="s">
        <v>1418</v>
      </c>
      <c r="I186" s="371"/>
      <c r="J186" s="173"/>
      <c r="K186" s="161"/>
      <c r="L186" s="161"/>
      <c r="M186" s="161"/>
      <c r="N186" s="161"/>
      <c r="O186" s="161"/>
      <c r="P186" s="161"/>
      <c r="Q186" s="161"/>
      <c r="R186" s="161"/>
    </row>
    <row r="187" spans="1:18" ht="16.5" thickTop="1" thickBot="1" x14ac:dyDescent="0.3">
      <c r="A187" s="305"/>
      <c r="B187" s="152" t="s">
        <v>21</v>
      </c>
      <c r="C187" s="152">
        <v>1440</v>
      </c>
      <c r="D187" s="152">
        <v>161</v>
      </c>
      <c r="E187" s="83">
        <v>48</v>
      </c>
      <c r="F187" s="152">
        <f>10+4+1+2</f>
        <v>17</v>
      </c>
      <c r="G187" s="245">
        <f t="shared" si="12"/>
        <v>31</v>
      </c>
      <c r="H187" s="253" t="s">
        <v>1419</v>
      </c>
      <c r="I187" s="371"/>
      <c r="J187" s="173"/>
      <c r="K187" s="161"/>
      <c r="L187" s="161"/>
      <c r="M187" s="161"/>
      <c r="N187" s="161"/>
      <c r="O187" s="161"/>
      <c r="P187" s="161"/>
      <c r="Q187" s="161"/>
      <c r="R187" s="161"/>
    </row>
    <row r="188" spans="1:18" ht="16.5" thickTop="1" thickBot="1" x14ac:dyDescent="0.3">
      <c r="A188" s="305"/>
      <c r="B188" s="152" t="s">
        <v>22</v>
      </c>
      <c r="C188" s="152">
        <v>1440</v>
      </c>
      <c r="D188" s="152">
        <v>192</v>
      </c>
      <c r="E188" s="83">
        <v>78</v>
      </c>
      <c r="F188" s="152">
        <v>1</v>
      </c>
      <c r="G188" s="245">
        <f t="shared" si="12"/>
        <v>77</v>
      </c>
      <c r="H188" s="253" t="s">
        <v>1420</v>
      </c>
      <c r="I188" s="371"/>
      <c r="J188" s="173"/>
      <c r="K188" s="161"/>
      <c r="L188" s="161"/>
      <c r="M188" s="161"/>
      <c r="N188" s="161"/>
      <c r="O188" s="161"/>
      <c r="P188" s="161"/>
      <c r="Q188" s="161"/>
      <c r="R188" s="161"/>
    </row>
    <row r="189" spans="1:18" ht="16.5" thickTop="1" thickBot="1" x14ac:dyDescent="0.3">
      <c r="A189" s="305"/>
      <c r="B189" s="152" t="s">
        <v>18</v>
      </c>
      <c r="C189" s="152">
        <v>1440</v>
      </c>
      <c r="D189" s="152">
        <v>226</v>
      </c>
      <c r="E189" s="83">
        <v>98</v>
      </c>
      <c r="F189" s="152">
        <v>1</v>
      </c>
      <c r="G189" s="245">
        <f t="shared" si="12"/>
        <v>97</v>
      </c>
      <c r="H189" s="253" t="s">
        <v>1421</v>
      </c>
      <c r="I189" s="371"/>
      <c r="J189" s="173"/>
      <c r="K189" s="161"/>
      <c r="L189" s="161"/>
      <c r="M189" s="161"/>
      <c r="N189" s="161"/>
      <c r="O189" s="161"/>
      <c r="P189" s="161"/>
      <c r="Q189" s="161"/>
      <c r="R189" s="161"/>
    </row>
    <row r="190" spans="1:18" ht="16.5" thickTop="1" thickBot="1" x14ac:dyDescent="0.3">
      <c r="A190" s="305"/>
      <c r="B190" s="154" t="s">
        <v>19</v>
      </c>
      <c r="C190" s="154">
        <v>1440</v>
      </c>
      <c r="D190" s="154">
        <v>281</v>
      </c>
      <c r="E190" s="127">
        <v>28</v>
      </c>
      <c r="F190" s="154">
        <v>1</v>
      </c>
      <c r="G190" s="245">
        <f t="shared" si="12"/>
        <v>27</v>
      </c>
      <c r="H190" s="254" t="s">
        <v>1422</v>
      </c>
      <c r="I190" s="371"/>
      <c r="J190" s="173"/>
      <c r="K190" s="161"/>
      <c r="L190" s="161"/>
      <c r="M190" s="161"/>
      <c r="N190" s="161"/>
      <c r="O190" s="161"/>
      <c r="P190" s="161"/>
      <c r="Q190" s="161"/>
      <c r="R190" s="161"/>
    </row>
    <row r="191" spans="1:18" ht="16.5" thickTop="1" thickBot="1" x14ac:dyDescent="0.3">
      <c r="A191" s="307" t="s">
        <v>424</v>
      </c>
      <c r="B191" s="151" t="s">
        <v>89</v>
      </c>
      <c r="C191" s="151">
        <v>1440</v>
      </c>
      <c r="D191" s="151">
        <v>148</v>
      </c>
      <c r="E191" s="45">
        <f>46+50+30</f>
        <v>126</v>
      </c>
      <c r="F191" s="151">
        <f>1+1+1+1+1+1+1+1+1+10+1+1+1</f>
        <v>22</v>
      </c>
      <c r="G191" s="243">
        <f t="shared" si="12"/>
        <v>104</v>
      </c>
      <c r="H191" s="252" t="s">
        <v>1424</v>
      </c>
      <c r="I191" s="371" t="s">
        <v>351</v>
      </c>
      <c r="J191" s="173"/>
      <c r="K191" s="161"/>
      <c r="L191" s="161"/>
      <c r="M191" s="161"/>
      <c r="N191" s="161"/>
      <c r="O191" s="161"/>
      <c r="P191" s="161"/>
      <c r="Q191" s="161"/>
      <c r="R191" s="161"/>
    </row>
    <row r="192" spans="1:18" ht="16.5" thickTop="1" thickBot="1" x14ac:dyDescent="0.3">
      <c r="A192" s="308"/>
      <c r="B192" s="152" t="s">
        <v>21</v>
      </c>
      <c r="C192" s="152">
        <v>1440</v>
      </c>
      <c r="D192" s="152">
        <v>161</v>
      </c>
      <c r="E192" s="152">
        <f>44+99+30</f>
        <v>173</v>
      </c>
      <c r="F192" s="152">
        <f>2+2+1+1+1+1+1+1+4+1+1+3+1+1+1+1+2+1+1+1+10+1</f>
        <v>39</v>
      </c>
      <c r="G192" s="245">
        <f t="shared" si="12"/>
        <v>134</v>
      </c>
      <c r="H192" s="253" t="s">
        <v>1423</v>
      </c>
      <c r="I192" s="371"/>
      <c r="J192" s="173"/>
      <c r="K192" s="173"/>
      <c r="L192" s="173"/>
      <c r="M192" s="173"/>
      <c r="N192" s="173"/>
      <c r="O192" s="173"/>
      <c r="P192" s="173"/>
      <c r="Q192" s="173"/>
      <c r="R192" s="161"/>
    </row>
    <row r="193" spans="1:18" ht="16.5" thickTop="1" thickBot="1" x14ac:dyDescent="0.3">
      <c r="A193" s="308"/>
      <c r="B193" s="152" t="s">
        <v>22</v>
      </c>
      <c r="C193" s="152">
        <v>1440</v>
      </c>
      <c r="D193" s="152">
        <v>192</v>
      </c>
      <c r="E193" s="152">
        <f>36+90+29</f>
        <v>155</v>
      </c>
      <c r="F193" s="152">
        <f>1+1+1+1+1+1+1+1+10+1</f>
        <v>19</v>
      </c>
      <c r="G193" s="245">
        <f t="shared" si="12"/>
        <v>136</v>
      </c>
      <c r="H193" s="253" t="s">
        <v>1425</v>
      </c>
      <c r="I193" s="371"/>
      <c r="J193" s="173"/>
      <c r="K193" s="173"/>
      <c r="L193" s="173"/>
      <c r="M193" s="173"/>
      <c r="N193" s="173"/>
      <c r="O193" s="173"/>
      <c r="P193" s="173"/>
      <c r="Q193" s="173"/>
      <c r="R193" s="161"/>
    </row>
    <row r="194" spans="1:18" ht="16.5" thickTop="1" thickBot="1" x14ac:dyDescent="0.3">
      <c r="A194" s="308"/>
      <c r="B194" s="152" t="s">
        <v>18</v>
      </c>
      <c r="C194" s="152">
        <v>1440</v>
      </c>
      <c r="D194" s="152">
        <v>226</v>
      </c>
      <c r="E194" s="152">
        <f>30+24+13+35+30</f>
        <v>132</v>
      </c>
      <c r="F194" s="152">
        <f>1+1+1+1+1+1+1+1+1+4+1+1+10+1+10</f>
        <v>36</v>
      </c>
      <c r="G194" s="245">
        <f t="shared" si="12"/>
        <v>96</v>
      </c>
      <c r="H194" s="253" t="s">
        <v>1426</v>
      </c>
      <c r="I194" s="371"/>
      <c r="J194" s="173"/>
      <c r="K194" s="173"/>
      <c r="L194" s="173"/>
      <c r="M194" s="173"/>
      <c r="N194" s="173"/>
      <c r="O194" s="173"/>
      <c r="P194" s="173"/>
      <c r="Q194" s="173"/>
      <c r="R194" s="161"/>
    </row>
    <row r="195" spans="1:18" ht="16.5" thickTop="1" thickBot="1" x14ac:dyDescent="0.3">
      <c r="A195" s="308"/>
      <c r="B195" s="152" t="s">
        <v>19</v>
      </c>
      <c r="C195" s="152">
        <v>1440</v>
      </c>
      <c r="D195" s="152">
        <v>281</v>
      </c>
      <c r="E195" s="152">
        <f>10+25+10+50+27</f>
        <v>122</v>
      </c>
      <c r="F195" s="152">
        <f>1+1+1+1+1+1+1+10</f>
        <v>17</v>
      </c>
      <c r="G195" s="245">
        <f t="shared" si="12"/>
        <v>105</v>
      </c>
      <c r="H195" s="253" t="s">
        <v>1427</v>
      </c>
      <c r="I195" s="371"/>
      <c r="J195" s="173"/>
      <c r="K195" s="173"/>
      <c r="L195" s="173"/>
      <c r="M195" s="173"/>
      <c r="N195" s="173"/>
      <c r="O195" s="173"/>
      <c r="P195" s="173"/>
      <c r="Q195" s="173"/>
      <c r="R195" s="161"/>
    </row>
    <row r="196" spans="1:18" ht="16.5" thickTop="1" thickBot="1" x14ac:dyDescent="0.3">
      <c r="A196" s="308"/>
      <c r="B196" s="152" t="s">
        <v>0</v>
      </c>
      <c r="C196" s="152">
        <v>1440</v>
      </c>
      <c r="D196" s="152">
        <v>378</v>
      </c>
      <c r="E196" s="83">
        <f>41+50+25</f>
        <v>116</v>
      </c>
      <c r="F196" s="152">
        <f>1+1+1+1+2+1+1+1+1+1+1+1+1+1+1+1+1+1+1+1+1+1+10+1+1+1+1+1</f>
        <v>38</v>
      </c>
      <c r="G196" s="245">
        <f t="shared" ref="G196" si="13">E196-F196</f>
        <v>78</v>
      </c>
      <c r="H196" s="253" t="s">
        <v>1428</v>
      </c>
      <c r="I196" s="371"/>
      <c r="J196" s="173"/>
      <c r="K196" s="173"/>
      <c r="L196" s="173"/>
      <c r="M196" s="173"/>
      <c r="N196" s="173"/>
      <c r="O196" s="173"/>
      <c r="P196" s="173"/>
      <c r="Q196" s="173"/>
      <c r="R196" s="161"/>
    </row>
    <row r="197" spans="1:18" ht="16.5" thickTop="1" thickBot="1" x14ac:dyDescent="0.3">
      <c r="A197" s="308"/>
      <c r="B197" s="153" t="s">
        <v>1</v>
      </c>
      <c r="C197" s="153">
        <v>1440</v>
      </c>
      <c r="D197" s="153">
        <v>583</v>
      </c>
      <c r="E197" s="153">
        <f>81+50+29</f>
        <v>160</v>
      </c>
      <c r="F197" s="153">
        <f>1+1+1+1+1+1+1+1+1+1+10+1+1+1</f>
        <v>23</v>
      </c>
      <c r="G197" s="244">
        <f t="shared" si="12"/>
        <v>137</v>
      </c>
      <c r="H197" s="253" t="s">
        <v>1429</v>
      </c>
      <c r="I197" s="371"/>
      <c r="J197" s="173"/>
      <c r="K197" s="173"/>
      <c r="L197" s="173"/>
      <c r="M197" s="173"/>
      <c r="N197" s="173"/>
      <c r="O197" s="173"/>
      <c r="P197" s="173"/>
      <c r="Q197" s="173"/>
      <c r="R197" s="161"/>
    </row>
    <row r="198" spans="1:18" ht="16.5" thickTop="1" thickBot="1" x14ac:dyDescent="0.3">
      <c r="A198" s="308"/>
      <c r="B198" s="152" t="s">
        <v>2</v>
      </c>
      <c r="C198" s="152">
        <v>288</v>
      </c>
      <c r="D198" s="152">
        <v>332</v>
      </c>
      <c r="E198" s="152">
        <f>35+49+25</f>
        <v>109</v>
      </c>
      <c r="F198" s="152">
        <f>1+1+1+1+1+1+1+1+1+1+1+1+10+1+1</f>
        <v>24</v>
      </c>
      <c r="G198" s="245">
        <f t="shared" si="12"/>
        <v>85</v>
      </c>
      <c r="H198" s="253" t="s">
        <v>1430</v>
      </c>
      <c r="I198" s="371"/>
      <c r="J198" s="173"/>
      <c r="K198" s="173"/>
      <c r="L198" s="173"/>
      <c r="M198" s="173"/>
      <c r="N198" s="173"/>
      <c r="O198" s="173"/>
      <c r="P198" s="173"/>
      <c r="Q198" s="173"/>
      <c r="R198" s="161"/>
    </row>
    <row r="199" spans="1:18" ht="16.5" thickTop="1" thickBot="1" x14ac:dyDescent="0.3">
      <c r="A199" s="309"/>
      <c r="B199" s="126" t="s">
        <v>5</v>
      </c>
      <c r="C199" s="126">
        <v>144</v>
      </c>
      <c r="D199" s="126">
        <v>856</v>
      </c>
      <c r="E199" s="126">
        <v>25</v>
      </c>
      <c r="F199" s="126">
        <f>1+1+10+1</f>
        <v>13</v>
      </c>
      <c r="G199" s="246">
        <f t="shared" si="12"/>
        <v>12</v>
      </c>
      <c r="H199" s="254" t="s">
        <v>1431</v>
      </c>
      <c r="I199" s="371"/>
      <c r="J199" s="173"/>
      <c r="K199" s="173"/>
      <c r="L199" s="173"/>
      <c r="M199" s="173"/>
      <c r="N199" s="173"/>
      <c r="O199" s="173"/>
      <c r="P199" s="173"/>
      <c r="Q199" s="173"/>
      <c r="R199" s="161"/>
    </row>
    <row r="200" spans="1:18" ht="16.5" thickTop="1" thickBot="1" x14ac:dyDescent="0.3">
      <c r="A200" s="313" t="s">
        <v>579</v>
      </c>
      <c r="B200" s="151" t="s">
        <v>89</v>
      </c>
      <c r="C200" s="151">
        <v>1440</v>
      </c>
      <c r="D200" s="151">
        <v>143</v>
      </c>
      <c r="E200" s="151">
        <v>97</v>
      </c>
      <c r="F200" s="151">
        <f>1+1+1</f>
        <v>3</v>
      </c>
      <c r="G200" s="243">
        <f t="shared" ref="G200:G431" si="14">E200-F200</f>
        <v>94</v>
      </c>
      <c r="H200" s="252" t="s">
        <v>1432</v>
      </c>
      <c r="I200" s="371" t="s">
        <v>352</v>
      </c>
      <c r="J200" s="173"/>
      <c r="K200" s="173"/>
      <c r="L200" s="173"/>
      <c r="M200" s="173"/>
      <c r="N200" s="173"/>
      <c r="O200" s="173"/>
      <c r="P200" s="173"/>
      <c r="Q200" s="173"/>
      <c r="R200" s="161"/>
    </row>
    <row r="201" spans="1:18" ht="16.5" thickTop="1" thickBot="1" x14ac:dyDescent="0.3">
      <c r="A201" s="357"/>
      <c r="B201" s="104" t="s">
        <v>21</v>
      </c>
      <c r="C201" s="114">
        <v>1440</v>
      </c>
      <c r="D201" s="153">
        <v>161</v>
      </c>
      <c r="E201" s="153">
        <v>49</v>
      </c>
      <c r="F201" s="153">
        <f>1+1+1</f>
        <v>3</v>
      </c>
      <c r="G201" s="244">
        <f t="shared" si="14"/>
        <v>46</v>
      </c>
      <c r="H201" s="253" t="s">
        <v>1433</v>
      </c>
      <c r="I201" s="371"/>
      <c r="J201" s="173"/>
      <c r="K201" s="173"/>
      <c r="L201" s="173"/>
      <c r="M201" s="173"/>
      <c r="N201" s="173"/>
      <c r="O201" s="173"/>
      <c r="P201" s="173"/>
      <c r="Q201" s="173"/>
      <c r="R201" s="161"/>
    </row>
    <row r="202" spans="1:18" ht="16.5" thickTop="1" thickBot="1" x14ac:dyDescent="0.3">
      <c r="A202" s="357"/>
      <c r="B202" s="104" t="s">
        <v>22</v>
      </c>
      <c r="C202" s="114">
        <v>1440</v>
      </c>
      <c r="D202" s="153">
        <v>192</v>
      </c>
      <c r="E202" s="153">
        <v>39</v>
      </c>
      <c r="F202" s="153">
        <v>1</v>
      </c>
      <c r="G202" s="244">
        <f t="shared" si="14"/>
        <v>38</v>
      </c>
      <c r="H202" s="253" t="s">
        <v>1434</v>
      </c>
      <c r="I202" s="371"/>
      <c r="J202" s="173"/>
      <c r="K202" s="173"/>
      <c r="L202" s="173"/>
      <c r="M202" s="173"/>
      <c r="N202" s="173"/>
      <c r="O202" s="173"/>
      <c r="P202" s="173"/>
      <c r="Q202" s="173"/>
      <c r="R202" s="161"/>
    </row>
    <row r="203" spans="1:18" ht="16.5" thickTop="1" thickBot="1" x14ac:dyDescent="0.3">
      <c r="A203" s="357"/>
      <c r="B203" s="104" t="s">
        <v>18</v>
      </c>
      <c r="C203" s="114">
        <v>1440</v>
      </c>
      <c r="D203" s="153">
        <v>226</v>
      </c>
      <c r="E203" s="153">
        <v>34</v>
      </c>
      <c r="F203" s="153">
        <v>1</v>
      </c>
      <c r="G203" s="244">
        <f t="shared" si="14"/>
        <v>33</v>
      </c>
      <c r="H203" s="253" t="s">
        <v>1435</v>
      </c>
      <c r="I203" s="371"/>
      <c r="J203" s="173"/>
      <c r="K203" s="173"/>
      <c r="L203" s="173"/>
      <c r="M203" s="173"/>
      <c r="N203" s="173"/>
      <c r="O203" s="173"/>
      <c r="P203" s="173"/>
      <c r="Q203" s="173"/>
      <c r="R203" s="161"/>
    </row>
    <row r="204" spans="1:18" ht="16.5" thickTop="1" thickBot="1" x14ac:dyDescent="0.3">
      <c r="A204" s="357"/>
      <c r="B204" s="104" t="s">
        <v>19</v>
      </c>
      <c r="C204" s="114">
        <v>1440</v>
      </c>
      <c r="D204" s="153">
        <v>281</v>
      </c>
      <c r="E204" s="153">
        <v>30</v>
      </c>
      <c r="F204" s="153">
        <f>1+1</f>
        <v>2</v>
      </c>
      <c r="G204" s="244">
        <f t="shared" si="14"/>
        <v>28</v>
      </c>
      <c r="H204" s="253" t="s">
        <v>1436</v>
      </c>
      <c r="I204" s="371"/>
      <c r="J204" s="173"/>
      <c r="K204" s="173"/>
      <c r="L204" s="173"/>
      <c r="M204" s="173"/>
      <c r="N204" s="173"/>
      <c r="O204" s="173"/>
      <c r="P204" s="173"/>
      <c r="Q204" s="173"/>
      <c r="R204" s="161"/>
    </row>
    <row r="205" spans="1:18" ht="16.5" thickTop="1" thickBot="1" x14ac:dyDescent="0.3">
      <c r="A205" s="357"/>
      <c r="B205" s="104" t="s">
        <v>0</v>
      </c>
      <c r="C205" s="114">
        <v>1440</v>
      </c>
      <c r="D205" s="153">
        <v>362</v>
      </c>
      <c r="E205" s="153">
        <v>40</v>
      </c>
      <c r="F205" s="153">
        <f>1+2</f>
        <v>3</v>
      </c>
      <c r="G205" s="244">
        <f t="shared" si="14"/>
        <v>37</v>
      </c>
      <c r="H205" s="253" t="s">
        <v>1437</v>
      </c>
      <c r="I205" s="371"/>
      <c r="J205" s="173"/>
      <c r="K205" s="173"/>
      <c r="L205" s="173"/>
      <c r="M205" s="173"/>
      <c r="N205" s="173"/>
      <c r="O205" s="173"/>
      <c r="P205" s="173"/>
      <c r="Q205" s="173"/>
      <c r="R205" s="161"/>
    </row>
    <row r="206" spans="1:18" ht="16.5" thickTop="1" thickBot="1" x14ac:dyDescent="0.3">
      <c r="A206" s="314"/>
      <c r="B206" s="152" t="s">
        <v>1</v>
      </c>
      <c r="C206" s="152">
        <v>1440</v>
      </c>
      <c r="D206" s="152">
        <v>583</v>
      </c>
      <c r="E206" s="152">
        <v>88</v>
      </c>
      <c r="F206" s="152">
        <v>1</v>
      </c>
      <c r="G206" s="245">
        <f t="shared" si="14"/>
        <v>87</v>
      </c>
      <c r="H206" s="253" t="s">
        <v>1438</v>
      </c>
      <c r="I206" s="371"/>
      <c r="J206" s="173"/>
      <c r="K206" s="173"/>
      <c r="L206" s="173"/>
      <c r="M206" s="173"/>
      <c r="N206" s="173"/>
      <c r="O206" s="173"/>
      <c r="P206" s="173"/>
      <c r="Q206" s="173"/>
      <c r="R206" s="161"/>
    </row>
    <row r="207" spans="1:18" ht="16.5" thickTop="1" thickBot="1" x14ac:dyDescent="0.3">
      <c r="A207" s="314"/>
      <c r="B207" s="152" t="s">
        <v>2</v>
      </c>
      <c r="C207" s="152">
        <v>288</v>
      </c>
      <c r="D207" s="152">
        <v>332</v>
      </c>
      <c r="E207" s="152">
        <f>51+30</f>
        <v>81</v>
      </c>
      <c r="F207" s="152">
        <v>1</v>
      </c>
      <c r="G207" s="245">
        <f t="shared" si="14"/>
        <v>80</v>
      </c>
      <c r="H207" s="253" t="s">
        <v>1439</v>
      </c>
      <c r="I207" s="371"/>
      <c r="J207" s="173"/>
      <c r="K207" s="173"/>
      <c r="L207" s="173"/>
      <c r="M207" s="173"/>
      <c r="N207" s="173"/>
      <c r="O207" s="173"/>
      <c r="P207" s="173"/>
      <c r="Q207" s="173"/>
      <c r="R207" s="161"/>
    </row>
    <row r="208" spans="1:18" ht="16.5" thickTop="1" thickBot="1" x14ac:dyDescent="0.3">
      <c r="A208" s="315"/>
      <c r="B208" s="126" t="s">
        <v>5</v>
      </c>
      <c r="C208" s="126">
        <v>144</v>
      </c>
      <c r="D208" s="126">
        <v>856</v>
      </c>
      <c r="E208" s="126">
        <v>1</v>
      </c>
      <c r="F208" s="126"/>
      <c r="G208" s="246">
        <f t="shared" si="14"/>
        <v>1</v>
      </c>
      <c r="H208" s="254" t="s">
        <v>1440</v>
      </c>
      <c r="I208" s="371"/>
      <c r="J208" s="173"/>
      <c r="K208" s="173"/>
      <c r="L208" s="173"/>
      <c r="M208" s="173"/>
      <c r="N208" s="173"/>
      <c r="O208" s="173"/>
      <c r="P208" s="173"/>
      <c r="Q208" s="173"/>
      <c r="R208" s="161"/>
    </row>
    <row r="209" spans="1:18" ht="16.5" thickTop="1" thickBot="1" x14ac:dyDescent="0.3">
      <c r="A209" s="307" t="s">
        <v>25</v>
      </c>
      <c r="B209" s="151" t="s">
        <v>90</v>
      </c>
      <c r="C209" s="151">
        <v>1440</v>
      </c>
      <c r="D209" s="151">
        <v>143</v>
      </c>
      <c r="E209" s="151">
        <v>101</v>
      </c>
      <c r="F209" s="151">
        <v>1</v>
      </c>
      <c r="G209" s="243">
        <f t="shared" si="14"/>
        <v>100</v>
      </c>
      <c r="H209" s="252" t="s">
        <v>1205</v>
      </c>
      <c r="I209" s="371" t="s">
        <v>353</v>
      </c>
      <c r="J209" s="173"/>
      <c r="K209" s="173"/>
      <c r="L209" s="173"/>
      <c r="M209" s="173"/>
      <c r="N209" s="173"/>
      <c r="O209" s="173"/>
      <c r="P209" s="173"/>
      <c r="Q209" s="173"/>
      <c r="R209" s="161"/>
    </row>
    <row r="210" spans="1:18" ht="16.5" thickTop="1" thickBot="1" x14ac:dyDescent="0.3">
      <c r="A210" s="308"/>
      <c r="B210" s="152" t="s">
        <v>89</v>
      </c>
      <c r="C210" s="152">
        <v>1440</v>
      </c>
      <c r="D210" s="152">
        <v>143</v>
      </c>
      <c r="E210" s="152">
        <v>101</v>
      </c>
      <c r="F210" s="152"/>
      <c r="G210" s="245">
        <f t="shared" si="14"/>
        <v>101</v>
      </c>
      <c r="H210" s="253" t="s">
        <v>1441</v>
      </c>
      <c r="I210" s="371"/>
      <c r="J210" s="173"/>
      <c r="K210" s="173"/>
      <c r="L210" s="173"/>
      <c r="M210" s="173"/>
      <c r="N210" s="173"/>
      <c r="O210" s="173"/>
      <c r="P210" s="173"/>
      <c r="Q210" s="173"/>
      <c r="R210" s="161"/>
    </row>
    <row r="211" spans="1:18" ht="16.5" thickTop="1" thickBot="1" x14ac:dyDescent="0.3">
      <c r="A211" s="308"/>
      <c r="B211" s="154" t="s">
        <v>21</v>
      </c>
      <c r="C211" s="152">
        <v>1440</v>
      </c>
      <c r="D211" s="154">
        <v>161</v>
      </c>
      <c r="E211" s="154">
        <v>100</v>
      </c>
      <c r="F211" s="154"/>
      <c r="G211" s="247">
        <f t="shared" si="14"/>
        <v>100</v>
      </c>
      <c r="H211" s="253" t="s">
        <v>1442</v>
      </c>
      <c r="I211" s="371"/>
      <c r="J211" s="173"/>
      <c r="K211" s="173"/>
      <c r="L211" s="173"/>
      <c r="M211" s="173"/>
      <c r="N211" s="173"/>
      <c r="O211" s="173"/>
      <c r="P211" s="173"/>
      <c r="Q211" s="173"/>
      <c r="R211" s="161"/>
    </row>
    <row r="212" spans="1:18" ht="16.5" thickTop="1" thickBot="1" x14ac:dyDescent="0.3">
      <c r="A212" s="308"/>
      <c r="B212" s="154" t="s">
        <v>22</v>
      </c>
      <c r="C212" s="152">
        <v>1440</v>
      </c>
      <c r="D212" s="154">
        <v>192</v>
      </c>
      <c r="E212" s="154">
        <v>77</v>
      </c>
      <c r="F212" s="154">
        <f>4+1</f>
        <v>5</v>
      </c>
      <c r="G212" s="247">
        <f t="shared" si="14"/>
        <v>72</v>
      </c>
      <c r="H212" s="253" t="s">
        <v>1443</v>
      </c>
      <c r="I212" s="371"/>
      <c r="J212" s="173"/>
      <c r="K212" s="173"/>
      <c r="L212" s="173"/>
      <c r="M212" s="173"/>
      <c r="N212" s="173"/>
      <c r="O212" s="173"/>
      <c r="P212" s="173"/>
      <c r="Q212" s="173"/>
      <c r="R212" s="161"/>
    </row>
    <row r="213" spans="1:18" ht="16.5" thickTop="1" thickBot="1" x14ac:dyDescent="0.3">
      <c r="A213" s="308"/>
      <c r="B213" s="154" t="s">
        <v>18</v>
      </c>
      <c r="C213" s="152">
        <v>1440</v>
      </c>
      <c r="D213" s="154">
        <v>226</v>
      </c>
      <c r="E213" s="154">
        <v>100</v>
      </c>
      <c r="F213" s="154">
        <v>1</v>
      </c>
      <c r="G213" s="247">
        <f t="shared" si="14"/>
        <v>99</v>
      </c>
      <c r="H213" s="253" t="s">
        <v>1444</v>
      </c>
      <c r="I213" s="371"/>
      <c r="J213" s="173"/>
      <c r="K213" s="173"/>
      <c r="L213" s="173"/>
      <c r="M213" s="173"/>
      <c r="N213" s="173"/>
      <c r="O213" s="173"/>
      <c r="P213" s="173"/>
      <c r="Q213" s="173"/>
      <c r="R213" s="161"/>
    </row>
    <row r="214" spans="1:18" ht="16.5" thickTop="1" thickBot="1" x14ac:dyDescent="0.3">
      <c r="A214" s="308"/>
      <c r="B214" s="154" t="s">
        <v>0</v>
      </c>
      <c r="C214" s="152">
        <v>1440</v>
      </c>
      <c r="D214" s="154">
        <v>362</v>
      </c>
      <c r="E214" s="154">
        <v>100</v>
      </c>
      <c r="F214" s="154">
        <f>1+1+1+1+1</f>
        <v>5</v>
      </c>
      <c r="G214" s="247">
        <f t="shared" si="14"/>
        <v>95</v>
      </c>
      <c r="H214" s="253" t="s">
        <v>1445</v>
      </c>
      <c r="I214" s="371"/>
      <c r="J214" s="173"/>
      <c r="K214" s="173"/>
      <c r="L214" s="173"/>
      <c r="M214" s="173"/>
      <c r="N214" s="173"/>
      <c r="O214" s="173"/>
      <c r="P214" s="173"/>
      <c r="Q214" s="173"/>
      <c r="R214" s="161"/>
    </row>
    <row r="215" spans="1:18" ht="16.5" thickTop="1" thickBot="1" x14ac:dyDescent="0.3">
      <c r="A215" s="308"/>
      <c r="B215" s="154" t="s">
        <v>1</v>
      </c>
      <c r="C215" s="152">
        <v>1440</v>
      </c>
      <c r="D215" s="154">
        <v>583</v>
      </c>
      <c r="E215" s="154">
        <v>132</v>
      </c>
      <c r="F215" s="154">
        <f>2+1+1+1+1</f>
        <v>6</v>
      </c>
      <c r="G215" s="247">
        <f t="shared" si="14"/>
        <v>126</v>
      </c>
      <c r="H215" s="253" t="s">
        <v>1446</v>
      </c>
      <c r="I215" s="371"/>
      <c r="J215" s="173"/>
      <c r="K215" s="173"/>
      <c r="L215" s="173"/>
      <c r="M215" s="173"/>
      <c r="N215" s="173"/>
      <c r="O215" s="173"/>
      <c r="P215" s="173"/>
      <c r="Q215" s="173"/>
      <c r="R215" s="161"/>
    </row>
    <row r="216" spans="1:18" ht="16.5" thickTop="1" thickBot="1" x14ac:dyDescent="0.3">
      <c r="A216" s="308"/>
      <c r="B216" s="152" t="s">
        <v>2</v>
      </c>
      <c r="C216" s="152">
        <v>288</v>
      </c>
      <c r="D216" s="152">
        <v>332</v>
      </c>
      <c r="E216" s="152">
        <v>102</v>
      </c>
      <c r="F216" s="152">
        <f>2+1</f>
        <v>3</v>
      </c>
      <c r="G216" s="245">
        <f t="shared" si="14"/>
        <v>99</v>
      </c>
      <c r="H216" s="253" t="s">
        <v>1447</v>
      </c>
      <c r="I216" s="371"/>
      <c r="J216" s="173"/>
      <c r="K216" s="173"/>
      <c r="L216" s="173"/>
      <c r="M216" s="173"/>
      <c r="N216" s="173"/>
      <c r="O216" s="173"/>
      <c r="P216" s="173"/>
      <c r="Q216" s="173"/>
      <c r="R216" s="161"/>
    </row>
    <row r="217" spans="1:18" ht="16.5" thickTop="1" thickBot="1" x14ac:dyDescent="0.3">
      <c r="A217" s="309"/>
      <c r="B217" s="126" t="s">
        <v>5</v>
      </c>
      <c r="C217" s="126">
        <v>144</v>
      </c>
      <c r="D217" s="126">
        <v>856</v>
      </c>
      <c r="E217" s="126">
        <v>155</v>
      </c>
      <c r="F217" s="126">
        <v>1</v>
      </c>
      <c r="G217" s="246">
        <f t="shared" si="14"/>
        <v>154</v>
      </c>
      <c r="H217" s="254" t="s">
        <v>1448</v>
      </c>
      <c r="I217" s="371"/>
      <c r="J217" s="173"/>
      <c r="K217" s="173"/>
      <c r="L217" s="173"/>
      <c r="M217" s="173"/>
      <c r="N217" s="173"/>
      <c r="O217" s="173"/>
      <c r="P217" s="173"/>
      <c r="Q217" s="173"/>
      <c r="R217" s="161"/>
    </row>
    <row r="218" spans="1:18" ht="16.5" thickTop="1" thickBot="1" x14ac:dyDescent="0.3">
      <c r="A218" s="307" t="s">
        <v>580</v>
      </c>
      <c r="B218" s="151" t="s">
        <v>90</v>
      </c>
      <c r="C218" s="151">
        <v>1440</v>
      </c>
      <c r="D218" s="151">
        <v>143</v>
      </c>
      <c r="E218" s="45">
        <v>50</v>
      </c>
      <c r="F218" s="151">
        <f>1+3+1+3</f>
        <v>8</v>
      </c>
      <c r="G218" s="243">
        <f t="shared" si="14"/>
        <v>42</v>
      </c>
      <c r="H218" s="252" t="s">
        <v>1255</v>
      </c>
      <c r="I218" s="371" t="s">
        <v>354</v>
      </c>
      <c r="J218" s="173"/>
      <c r="K218" s="173"/>
      <c r="L218" s="173"/>
      <c r="M218" s="173"/>
      <c r="N218" s="173"/>
      <c r="O218" s="173"/>
      <c r="P218" s="173"/>
      <c r="Q218" s="173"/>
      <c r="R218" s="161"/>
    </row>
    <row r="219" spans="1:18" ht="16.5" thickTop="1" thickBot="1" x14ac:dyDescent="0.3">
      <c r="A219" s="308"/>
      <c r="B219" s="152" t="s">
        <v>89</v>
      </c>
      <c r="C219" s="152">
        <v>1440</v>
      </c>
      <c r="D219" s="152">
        <v>143</v>
      </c>
      <c r="E219" s="83">
        <v>51</v>
      </c>
      <c r="F219" s="152">
        <f>1+3</f>
        <v>4</v>
      </c>
      <c r="G219" s="245">
        <f t="shared" si="14"/>
        <v>47</v>
      </c>
      <c r="H219" s="253" t="s">
        <v>1449</v>
      </c>
      <c r="I219" s="371"/>
      <c r="J219" s="173"/>
      <c r="K219" s="173"/>
      <c r="L219" s="173"/>
      <c r="M219" s="173"/>
      <c r="N219" s="173"/>
      <c r="O219" s="173"/>
      <c r="P219" s="173"/>
      <c r="Q219" s="173"/>
      <c r="R219" s="161"/>
    </row>
    <row r="220" spans="1:18" ht="16.5" thickTop="1" thickBot="1" x14ac:dyDescent="0.3">
      <c r="A220" s="308"/>
      <c r="B220" s="153" t="s">
        <v>21</v>
      </c>
      <c r="C220" s="153">
        <v>1440</v>
      </c>
      <c r="D220" s="153">
        <v>161</v>
      </c>
      <c r="E220" s="153">
        <v>50</v>
      </c>
      <c r="F220" s="153">
        <f>4+1+1+5</f>
        <v>11</v>
      </c>
      <c r="G220" s="244">
        <f t="shared" si="14"/>
        <v>39</v>
      </c>
      <c r="H220" s="253" t="s">
        <v>1450</v>
      </c>
      <c r="I220" s="371"/>
      <c r="J220" s="173"/>
      <c r="K220" s="173"/>
      <c r="L220" s="173"/>
      <c r="M220" s="173"/>
      <c r="N220" s="173"/>
      <c r="O220" s="173"/>
      <c r="P220" s="173"/>
      <c r="Q220" s="173"/>
      <c r="R220" s="161"/>
    </row>
    <row r="221" spans="1:18" ht="16.5" thickTop="1" thickBot="1" x14ac:dyDescent="0.3">
      <c r="A221" s="308"/>
      <c r="B221" s="152" t="s">
        <v>22</v>
      </c>
      <c r="C221" s="152">
        <v>1440</v>
      </c>
      <c r="D221" s="152">
        <v>192</v>
      </c>
      <c r="E221" s="152">
        <v>39</v>
      </c>
      <c r="F221" s="152">
        <v>2</v>
      </c>
      <c r="G221" s="247">
        <f t="shared" si="14"/>
        <v>37</v>
      </c>
      <c r="H221" s="253" t="s">
        <v>1451</v>
      </c>
      <c r="I221" s="371"/>
      <c r="J221" s="173"/>
      <c r="K221" s="173"/>
      <c r="L221" s="173"/>
      <c r="M221" s="173"/>
      <c r="N221" s="173"/>
      <c r="O221" s="173"/>
      <c r="P221" s="173"/>
      <c r="Q221" s="173"/>
      <c r="R221" s="161"/>
    </row>
    <row r="222" spans="1:18" ht="16.5" thickTop="1" thickBot="1" x14ac:dyDescent="0.3">
      <c r="A222" s="308"/>
      <c r="B222" s="152" t="s">
        <v>18</v>
      </c>
      <c r="C222" s="152">
        <v>1440</v>
      </c>
      <c r="D222" s="152">
        <v>226</v>
      </c>
      <c r="E222" s="152">
        <v>33</v>
      </c>
      <c r="F222" s="152">
        <f>1+1+1+1</f>
        <v>4</v>
      </c>
      <c r="G222" s="247">
        <f t="shared" si="14"/>
        <v>29</v>
      </c>
      <c r="H222" s="253" t="s">
        <v>1452</v>
      </c>
      <c r="I222" s="371"/>
      <c r="J222" s="173"/>
      <c r="K222" s="173"/>
      <c r="L222" s="173"/>
      <c r="M222" s="173"/>
      <c r="N222" s="173"/>
      <c r="O222" s="173"/>
      <c r="P222" s="173"/>
      <c r="Q222" s="173"/>
      <c r="R222" s="161"/>
    </row>
    <row r="223" spans="1:18" ht="16.5" thickTop="1" thickBot="1" x14ac:dyDescent="0.3">
      <c r="A223" s="308"/>
      <c r="B223" s="152" t="s">
        <v>19</v>
      </c>
      <c r="C223" s="152">
        <v>1440</v>
      </c>
      <c r="D223" s="152">
        <v>281</v>
      </c>
      <c r="E223" s="152">
        <v>30</v>
      </c>
      <c r="F223" s="152">
        <f>1+1+1</f>
        <v>3</v>
      </c>
      <c r="G223" s="247">
        <f t="shared" si="14"/>
        <v>27</v>
      </c>
      <c r="H223" s="253" t="s">
        <v>1453</v>
      </c>
      <c r="I223" s="371"/>
      <c r="J223" s="173"/>
      <c r="K223" s="173"/>
      <c r="L223" s="173"/>
      <c r="M223" s="173"/>
      <c r="N223" s="173"/>
      <c r="O223" s="173"/>
      <c r="P223" s="173"/>
      <c r="Q223" s="173"/>
      <c r="R223" s="161"/>
    </row>
    <row r="224" spans="1:18" ht="16.5" thickTop="1" thickBot="1" x14ac:dyDescent="0.3">
      <c r="A224" s="308"/>
      <c r="B224" s="152" t="s">
        <v>0</v>
      </c>
      <c r="C224" s="152">
        <v>1440</v>
      </c>
      <c r="D224" s="152">
        <v>362</v>
      </c>
      <c r="E224" s="152">
        <v>36</v>
      </c>
      <c r="F224" s="152">
        <f>2+2+1+2</f>
        <v>7</v>
      </c>
      <c r="G224" s="247">
        <f t="shared" si="14"/>
        <v>29</v>
      </c>
      <c r="H224" s="253" t="s">
        <v>1454</v>
      </c>
      <c r="I224" s="371"/>
      <c r="J224" s="173"/>
      <c r="K224" s="173"/>
      <c r="L224" s="173"/>
      <c r="M224" s="173"/>
      <c r="N224" s="173"/>
      <c r="O224" s="173"/>
      <c r="P224" s="173"/>
      <c r="Q224" s="173"/>
      <c r="R224" s="161"/>
    </row>
    <row r="225" spans="1:18" ht="16.5" thickTop="1" thickBot="1" x14ac:dyDescent="0.3">
      <c r="A225" s="308"/>
      <c r="B225" s="152" t="s">
        <v>1</v>
      </c>
      <c r="C225" s="152">
        <v>1440</v>
      </c>
      <c r="D225" s="152">
        <v>583</v>
      </c>
      <c r="E225" s="152">
        <v>89</v>
      </c>
      <c r="F225" s="152">
        <f>1+3+1+1</f>
        <v>6</v>
      </c>
      <c r="G225" s="247">
        <f t="shared" si="14"/>
        <v>83</v>
      </c>
      <c r="H225" s="253" t="s">
        <v>1455</v>
      </c>
      <c r="I225" s="371"/>
      <c r="J225" s="173"/>
      <c r="K225" s="173"/>
      <c r="L225" s="173"/>
      <c r="M225" s="173"/>
      <c r="N225" s="173"/>
      <c r="O225" s="173"/>
      <c r="P225" s="173"/>
      <c r="Q225" s="173"/>
      <c r="R225" s="161"/>
    </row>
    <row r="226" spans="1:18" ht="16.5" thickTop="1" thickBot="1" x14ac:dyDescent="0.3">
      <c r="A226" s="308"/>
      <c r="B226" s="152" t="s">
        <v>2</v>
      </c>
      <c r="C226" s="152">
        <v>288</v>
      </c>
      <c r="D226" s="152">
        <v>332</v>
      </c>
      <c r="E226" s="152">
        <v>40</v>
      </c>
      <c r="F226" s="152">
        <f>1+2</f>
        <v>3</v>
      </c>
      <c r="G226" s="247">
        <f t="shared" si="14"/>
        <v>37</v>
      </c>
      <c r="H226" s="253" t="s">
        <v>1456</v>
      </c>
      <c r="I226" s="371"/>
      <c r="J226" s="173"/>
      <c r="K226" s="173"/>
      <c r="L226" s="173"/>
      <c r="M226" s="173"/>
      <c r="N226" s="173"/>
      <c r="O226" s="173"/>
      <c r="P226" s="173"/>
      <c r="Q226" s="173"/>
      <c r="R226" s="161"/>
    </row>
    <row r="227" spans="1:18" ht="16.5" thickTop="1" thickBot="1" x14ac:dyDescent="0.3">
      <c r="A227" s="308"/>
      <c r="B227" s="152" t="s">
        <v>5</v>
      </c>
      <c r="C227" s="152">
        <v>144</v>
      </c>
      <c r="D227" s="152">
        <v>856</v>
      </c>
      <c r="E227" s="152">
        <v>40</v>
      </c>
      <c r="F227" s="152"/>
      <c r="G227" s="247">
        <f t="shared" si="14"/>
        <v>40</v>
      </c>
      <c r="H227" s="253" t="s">
        <v>1457</v>
      </c>
      <c r="I227" s="371"/>
      <c r="J227" s="173"/>
      <c r="K227" s="173"/>
      <c r="L227" s="173"/>
      <c r="M227" s="173"/>
      <c r="N227" s="173"/>
      <c r="O227" s="173"/>
      <c r="P227" s="173"/>
      <c r="Q227" s="173"/>
      <c r="R227" s="161"/>
    </row>
    <row r="228" spans="1:18" ht="16.5" thickTop="1" thickBot="1" x14ac:dyDescent="0.3">
      <c r="A228" s="309"/>
      <c r="B228" s="126" t="s">
        <v>20</v>
      </c>
      <c r="C228" s="126">
        <v>144</v>
      </c>
      <c r="D228" s="126">
        <v>756</v>
      </c>
      <c r="E228" s="126">
        <v>19</v>
      </c>
      <c r="F228" s="126"/>
      <c r="G228" s="247">
        <f t="shared" si="14"/>
        <v>19</v>
      </c>
      <c r="H228" s="254" t="s">
        <v>1458</v>
      </c>
      <c r="I228" s="371"/>
      <c r="J228" s="173"/>
      <c r="K228" s="173"/>
      <c r="L228" s="173"/>
      <c r="M228" s="173"/>
      <c r="N228" s="173"/>
      <c r="O228" s="173"/>
      <c r="P228" s="173"/>
      <c r="Q228" s="173"/>
      <c r="R228" s="161"/>
    </row>
    <row r="229" spans="1:18" ht="16.5" thickTop="1" thickBot="1" x14ac:dyDescent="0.3">
      <c r="A229" s="307" t="s">
        <v>425</v>
      </c>
      <c r="B229" s="151" t="s">
        <v>90</v>
      </c>
      <c r="C229" s="151">
        <v>1440</v>
      </c>
      <c r="D229" s="151">
        <v>143</v>
      </c>
      <c r="E229" s="151">
        <f>90+50</f>
        <v>140</v>
      </c>
      <c r="F229" s="151">
        <f>3+1+1</f>
        <v>5</v>
      </c>
      <c r="G229" s="243">
        <f t="shared" ref="G229:G254" si="15">E229-F229</f>
        <v>135</v>
      </c>
      <c r="H229" s="252" t="s">
        <v>1218</v>
      </c>
      <c r="I229" s="371" t="s">
        <v>355</v>
      </c>
      <c r="J229" s="173"/>
      <c r="K229" s="173"/>
      <c r="L229" s="173"/>
      <c r="M229" s="173"/>
      <c r="N229" s="173"/>
      <c r="O229" s="173"/>
      <c r="P229" s="173"/>
      <c r="Q229" s="173"/>
      <c r="R229" s="161"/>
    </row>
    <row r="230" spans="1:18" ht="16.5" thickTop="1" thickBot="1" x14ac:dyDescent="0.3">
      <c r="A230" s="308"/>
      <c r="B230" s="152" t="s">
        <v>89</v>
      </c>
      <c r="C230" s="152">
        <v>1440</v>
      </c>
      <c r="D230" s="153">
        <v>143</v>
      </c>
      <c r="E230" s="153">
        <f>96+50</f>
        <v>146</v>
      </c>
      <c r="F230" s="153">
        <f>1+1+1+1+1+1+1</f>
        <v>7</v>
      </c>
      <c r="G230" s="244">
        <f>E230-F230</f>
        <v>139</v>
      </c>
      <c r="H230" s="253" t="s">
        <v>1459</v>
      </c>
      <c r="I230" s="371"/>
      <c r="J230" s="173"/>
      <c r="K230" s="173"/>
      <c r="L230" s="173"/>
      <c r="M230" s="173"/>
      <c r="N230" s="173"/>
      <c r="O230" s="173"/>
      <c r="P230" s="173"/>
      <c r="Q230" s="173"/>
      <c r="R230" s="161"/>
    </row>
    <row r="231" spans="1:18" ht="16.5" thickTop="1" thickBot="1" x14ac:dyDescent="0.3">
      <c r="A231" s="308"/>
      <c r="B231" s="152" t="s">
        <v>21</v>
      </c>
      <c r="C231" s="152">
        <v>1440</v>
      </c>
      <c r="D231" s="152">
        <v>161</v>
      </c>
      <c r="E231" s="152">
        <f>85+48</f>
        <v>133</v>
      </c>
      <c r="F231" s="152">
        <f>1+2+1+1+5+1</f>
        <v>11</v>
      </c>
      <c r="G231" s="245">
        <f t="shared" si="15"/>
        <v>122</v>
      </c>
      <c r="H231" s="253" t="s">
        <v>1460</v>
      </c>
      <c r="I231" s="371"/>
      <c r="J231" s="173"/>
      <c r="K231" s="173"/>
      <c r="L231" s="173"/>
      <c r="M231" s="173"/>
      <c r="N231" s="173"/>
      <c r="O231" s="173"/>
      <c r="P231" s="173"/>
      <c r="Q231" s="173"/>
      <c r="R231" s="161"/>
    </row>
    <row r="232" spans="1:18" ht="16.5" thickTop="1" thickBot="1" x14ac:dyDescent="0.3">
      <c r="A232" s="308"/>
      <c r="B232" s="152" t="s">
        <v>22</v>
      </c>
      <c r="C232" s="152">
        <v>1440</v>
      </c>
      <c r="D232" s="152">
        <v>192</v>
      </c>
      <c r="E232" s="152">
        <f>14+71+40</f>
        <v>125</v>
      </c>
      <c r="F232" s="152">
        <f>1+1+1+1</f>
        <v>4</v>
      </c>
      <c r="G232" s="245">
        <f t="shared" si="15"/>
        <v>121</v>
      </c>
      <c r="H232" s="253" t="s">
        <v>1461</v>
      </c>
      <c r="I232" s="371"/>
      <c r="J232" s="173"/>
      <c r="K232" s="173"/>
      <c r="L232" s="173"/>
      <c r="M232" s="173"/>
      <c r="N232" s="173"/>
      <c r="O232" s="173"/>
      <c r="P232" s="173"/>
      <c r="Q232" s="173"/>
      <c r="R232" s="161"/>
    </row>
    <row r="233" spans="1:18" ht="16.5" thickTop="1" thickBot="1" x14ac:dyDescent="0.3">
      <c r="A233" s="308"/>
      <c r="B233" s="152" t="s">
        <v>18</v>
      </c>
      <c r="C233" s="152">
        <v>1440</v>
      </c>
      <c r="D233" s="152">
        <v>226</v>
      </c>
      <c r="E233" s="152">
        <f>163+15</f>
        <v>178</v>
      </c>
      <c r="F233" s="152">
        <f>1+1+1+1+1+2</f>
        <v>7</v>
      </c>
      <c r="G233" s="245">
        <f t="shared" si="15"/>
        <v>171</v>
      </c>
      <c r="H233" s="253" t="s">
        <v>1462</v>
      </c>
      <c r="I233" s="371"/>
      <c r="J233" s="173"/>
      <c r="K233" s="173"/>
      <c r="L233" s="173"/>
      <c r="M233" s="173"/>
      <c r="N233" s="173"/>
      <c r="O233" s="173"/>
      <c r="P233" s="173"/>
      <c r="Q233" s="173"/>
      <c r="R233" s="161"/>
    </row>
    <row r="234" spans="1:18" ht="16.5" thickTop="1" thickBot="1" x14ac:dyDescent="0.3">
      <c r="A234" s="308"/>
      <c r="B234" s="152" t="s">
        <v>19</v>
      </c>
      <c r="C234" s="152">
        <v>1440</v>
      </c>
      <c r="D234" s="152">
        <v>281</v>
      </c>
      <c r="E234" s="152">
        <f>30+24+50</f>
        <v>104</v>
      </c>
      <c r="F234" s="152">
        <f>1+1+1+1+1+1+1+2</f>
        <v>9</v>
      </c>
      <c r="G234" s="245">
        <f t="shared" si="15"/>
        <v>95</v>
      </c>
      <c r="H234" s="253" t="s">
        <v>1463</v>
      </c>
      <c r="I234" s="371"/>
      <c r="J234" s="173"/>
      <c r="K234" s="173"/>
      <c r="L234" s="173"/>
      <c r="M234" s="173"/>
      <c r="N234" s="173"/>
      <c r="O234" s="173"/>
      <c r="P234" s="173"/>
      <c r="Q234" s="173"/>
      <c r="R234" s="161"/>
    </row>
    <row r="235" spans="1:18" ht="16.5" thickTop="1" thickBot="1" x14ac:dyDescent="0.3">
      <c r="A235" s="308"/>
      <c r="B235" s="152" t="s">
        <v>0</v>
      </c>
      <c r="C235" s="152">
        <v>1440</v>
      </c>
      <c r="D235" s="152">
        <v>362</v>
      </c>
      <c r="E235" s="152">
        <f>89+10</f>
        <v>99</v>
      </c>
      <c r="F235" s="152">
        <f>1+2+4+1+1+2+1+1+2+1+1+2+1</f>
        <v>20</v>
      </c>
      <c r="G235" s="245">
        <f t="shared" si="15"/>
        <v>79</v>
      </c>
      <c r="H235" s="253" t="s">
        <v>1464</v>
      </c>
      <c r="I235" s="371"/>
      <c r="J235" s="173"/>
      <c r="K235" s="173"/>
      <c r="L235" s="173"/>
      <c r="M235" s="173"/>
      <c r="N235" s="173"/>
      <c r="O235" s="173"/>
      <c r="P235" s="173"/>
      <c r="Q235" s="173"/>
      <c r="R235" s="161"/>
    </row>
    <row r="236" spans="1:18" ht="16.5" thickTop="1" thickBot="1" x14ac:dyDescent="0.3">
      <c r="A236" s="308"/>
      <c r="B236" s="152" t="s">
        <v>1</v>
      </c>
      <c r="C236" s="152">
        <v>1440</v>
      </c>
      <c r="D236" s="152">
        <v>583</v>
      </c>
      <c r="E236" s="152">
        <v>140</v>
      </c>
      <c r="F236" s="152">
        <f>3+8+1+4+1+1+2+1+2+1</f>
        <v>24</v>
      </c>
      <c r="G236" s="245">
        <f t="shared" si="15"/>
        <v>116</v>
      </c>
      <c r="H236" s="253" t="s">
        <v>1465</v>
      </c>
      <c r="I236" s="371"/>
      <c r="J236" s="173"/>
      <c r="K236" s="173"/>
      <c r="L236" s="173"/>
      <c r="M236" s="173"/>
      <c r="N236" s="173"/>
      <c r="O236" s="173"/>
      <c r="P236" s="173"/>
      <c r="Q236" s="173"/>
      <c r="R236" s="161"/>
    </row>
    <row r="237" spans="1:18" ht="16.5" thickTop="1" thickBot="1" x14ac:dyDescent="0.3">
      <c r="A237" s="308"/>
      <c r="B237" s="152" t="s">
        <v>2</v>
      </c>
      <c r="C237" s="152">
        <v>288</v>
      </c>
      <c r="D237" s="152">
        <v>332</v>
      </c>
      <c r="E237" s="152">
        <v>96</v>
      </c>
      <c r="F237" s="152">
        <f>1+2+1+1+1+1+2+1+1+2+1</f>
        <v>14</v>
      </c>
      <c r="G237" s="245">
        <f t="shared" si="15"/>
        <v>82</v>
      </c>
      <c r="H237" s="253" t="s">
        <v>1466</v>
      </c>
      <c r="I237" s="371"/>
      <c r="J237" s="173"/>
      <c r="K237" s="173"/>
      <c r="L237" s="173"/>
      <c r="M237" s="173"/>
      <c r="N237" s="173"/>
      <c r="O237" s="173"/>
      <c r="P237" s="173"/>
      <c r="Q237" s="173"/>
      <c r="R237" s="161"/>
    </row>
    <row r="238" spans="1:18" ht="16.5" thickTop="1" thickBot="1" x14ac:dyDescent="0.3">
      <c r="A238" s="309"/>
      <c r="B238" s="126" t="s">
        <v>5</v>
      </c>
      <c r="C238" s="126">
        <v>144</v>
      </c>
      <c r="D238" s="126">
        <v>856</v>
      </c>
      <c r="E238" s="126">
        <v>74</v>
      </c>
      <c r="F238" s="126">
        <f>3+1+1+1</f>
        <v>6</v>
      </c>
      <c r="G238" s="246">
        <f t="shared" si="15"/>
        <v>68</v>
      </c>
      <c r="H238" s="254" t="s">
        <v>1467</v>
      </c>
      <c r="I238" s="371"/>
      <c r="J238" s="173"/>
      <c r="K238" s="173"/>
      <c r="L238" s="173"/>
      <c r="M238" s="173"/>
      <c r="N238" s="173"/>
      <c r="O238" s="173"/>
      <c r="P238" s="173"/>
      <c r="Q238" s="173"/>
      <c r="R238" s="161"/>
    </row>
    <row r="239" spans="1:18" ht="16.5" thickTop="1" thickBot="1" x14ac:dyDescent="0.3">
      <c r="A239" s="307" t="s">
        <v>426</v>
      </c>
      <c r="B239" s="151" t="s">
        <v>89</v>
      </c>
      <c r="C239" s="151">
        <v>1440</v>
      </c>
      <c r="D239" s="151">
        <v>143</v>
      </c>
      <c r="E239" s="151">
        <v>98</v>
      </c>
      <c r="F239" s="151">
        <f>1+1+1+1</f>
        <v>4</v>
      </c>
      <c r="G239" s="243">
        <f>E239-F239</f>
        <v>94</v>
      </c>
      <c r="H239" s="252" t="s">
        <v>1468</v>
      </c>
      <c r="I239" s="371" t="s">
        <v>356</v>
      </c>
      <c r="J239" s="173"/>
      <c r="K239" s="173"/>
      <c r="L239" s="173"/>
      <c r="M239" s="173"/>
      <c r="N239" s="173"/>
      <c r="O239" s="173"/>
      <c r="P239" s="173"/>
      <c r="Q239" s="173"/>
      <c r="R239" s="161"/>
    </row>
    <row r="240" spans="1:18" ht="16.5" thickTop="1" thickBot="1" x14ac:dyDescent="0.3">
      <c r="A240" s="308"/>
      <c r="B240" s="153" t="s">
        <v>21</v>
      </c>
      <c r="C240" s="153">
        <v>1440</v>
      </c>
      <c r="D240" s="153">
        <v>161</v>
      </c>
      <c r="E240" s="153">
        <v>99</v>
      </c>
      <c r="F240" s="153">
        <f>1+1+1</f>
        <v>3</v>
      </c>
      <c r="G240" s="244">
        <f t="shared" si="15"/>
        <v>96</v>
      </c>
      <c r="H240" s="253" t="s">
        <v>1469</v>
      </c>
      <c r="I240" s="371"/>
      <c r="J240" s="173"/>
      <c r="K240" s="173"/>
      <c r="L240" s="173"/>
      <c r="M240" s="173"/>
      <c r="N240" s="173"/>
      <c r="O240" s="173"/>
      <c r="P240" s="173"/>
      <c r="Q240" s="173"/>
      <c r="R240" s="161"/>
    </row>
    <row r="241" spans="1:18" ht="16.5" thickTop="1" thickBot="1" x14ac:dyDescent="0.3">
      <c r="A241" s="308"/>
      <c r="B241" s="152" t="s">
        <v>22</v>
      </c>
      <c r="C241" s="152">
        <v>1440</v>
      </c>
      <c r="D241" s="152">
        <v>192</v>
      </c>
      <c r="E241" s="152">
        <v>77</v>
      </c>
      <c r="F241" s="152">
        <f>1+1</f>
        <v>2</v>
      </c>
      <c r="G241" s="245">
        <f t="shared" si="15"/>
        <v>75</v>
      </c>
      <c r="H241" s="253" t="s">
        <v>1470</v>
      </c>
      <c r="I241" s="371"/>
      <c r="J241" s="173"/>
      <c r="K241" s="173"/>
      <c r="L241" s="173"/>
      <c r="M241" s="173"/>
      <c r="N241" s="173"/>
      <c r="O241" s="173"/>
      <c r="P241" s="173"/>
      <c r="Q241" s="173"/>
      <c r="R241" s="161"/>
    </row>
    <row r="242" spans="1:18" ht="16.5" thickTop="1" thickBot="1" x14ac:dyDescent="0.3">
      <c r="A242" s="308"/>
      <c r="B242" s="152" t="s">
        <v>18</v>
      </c>
      <c r="C242" s="152">
        <v>1440</v>
      </c>
      <c r="D242" s="152">
        <v>226</v>
      </c>
      <c r="E242" s="152">
        <v>67</v>
      </c>
      <c r="F242" s="152">
        <f>1+1</f>
        <v>2</v>
      </c>
      <c r="G242" s="245">
        <f t="shared" si="15"/>
        <v>65</v>
      </c>
      <c r="H242" s="253" t="s">
        <v>1471</v>
      </c>
      <c r="I242" s="371"/>
      <c r="J242" s="173"/>
      <c r="K242" s="173"/>
      <c r="L242" s="173"/>
      <c r="M242" s="173"/>
      <c r="N242" s="173"/>
      <c r="O242" s="173"/>
      <c r="P242" s="173"/>
      <c r="Q242" s="173"/>
      <c r="R242" s="161"/>
    </row>
    <row r="243" spans="1:18" ht="16.5" thickTop="1" thickBot="1" x14ac:dyDescent="0.3">
      <c r="A243" s="308"/>
      <c r="B243" s="152" t="s">
        <v>19</v>
      </c>
      <c r="C243" s="152">
        <v>1440</v>
      </c>
      <c r="D243" s="152">
        <v>281</v>
      </c>
      <c r="E243" s="152">
        <v>34</v>
      </c>
      <c r="F243" s="152">
        <v>1</v>
      </c>
      <c r="G243" s="245">
        <f t="shared" si="15"/>
        <v>33</v>
      </c>
      <c r="H243" s="253" t="s">
        <v>1472</v>
      </c>
      <c r="I243" s="371"/>
      <c r="J243" s="173"/>
      <c r="K243" s="173"/>
      <c r="L243" s="173"/>
      <c r="M243" s="173"/>
      <c r="N243" s="173"/>
      <c r="O243" s="173"/>
      <c r="P243" s="173"/>
      <c r="Q243" s="173"/>
      <c r="R243" s="161"/>
    </row>
    <row r="244" spans="1:18" ht="16.5" thickTop="1" thickBot="1" x14ac:dyDescent="0.3">
      <c r="A244" s="308"/>
      <c r="B244" s="152" t="s">
        <v>0</v>
      </c>
      <c r="C244" s="152">
        <v>1440</v>
      </c>
      <c r="D244" s="152">
        <v>362</v>
      </c>
      <c r="E244" s="152">
        <v>72</v>
      </c>
      <c r="F244" s="152">
        <f>1+1+1+1+1+1+1+1+1+2</f>
        <v>11</v>
      </c>
      <c r="G244" s="245">
        <f t="shared" si="15"/>
        <v>61</v>
      </c>
      <c r="H244" s="253" t="s">
        <v>1473</v>
      </c>
      <c r="I244" s="371"/>
      <c r="J244" s="173"/>
      <c r="K244" s="173"/>
      <c r="L244" s="173"/>
      <c r="M244" s="173"/>
      <c r="N244" s="173"/>
      <c r="O244" s="173"/>
      <c r="P244" s="173"/>
      <c r="Q244" s="173"/>
      <c r="R244" s="161"/>
    </row>
    <row r="245" spans="1:18" ht="16.5" thickTop="1" thickBot="1" x14ac:dyDescent="0.3">
      <c r="A245" s="309"/>
      <c r="B245" s="126" t="s">
        <v>2</v>
      </c>
      <c r="C245" s="126">
        <v>288</v>
      </c>
      <c r="D245" s="126">
        <v>332</v>
      </c>
      <c r="E245" s="126">
        <v>96</v>
      </c>
      <c r="F245" s="126">
        <f>1+2+1+1+1+1</f>
        <v>7</v>
      </c>
      <c r="G245" s="246">
        <f t="shared" si="15"/>
        <v>89</v>
      </c>
      <c r="H245" s="254" t="s">
        <v>1474</v>
      </c>
      <c r="I245" s="371"/>
      <c r="J245" s="173"/>
      <c r="K245" s="173"/>
      <c r="L245" s="173"/>
      <c r="M245" s="173"/>
      <c r="N245" s="173"/>
      <c r="O245" s="173"/>
      <c r="P245" s="173"/>
      <c r="Q245" s="173"/>
      <c r="R245" s="161"/>
    </row>
    <row r="246" spans="1:18" ht="16.5" thickTop="1" thickBot="1" x14ac:dyDescent="0.3">
      <c r="A246" s="304" t="s">
        <v>131</v>
      </c>
      <c r="B246" s="151" t="s">
        <v>90</v>
      </c>
      <c r="C246" s="151">
        <v>1440</v>
      </c>
      <c r="D246" s="151">
        <v>143</v>
      </c>
      <c r="E246" s="45">
        <v>50</v>
      </c>
      <c r="F246" s="151"/>
      <c r="G246" s="243">
        <f t="shared" si="15"/>
        <v>50</v>
      </c>
      <c r="H246" s="252" t="s">
        <v>1197</v>
      </c>
      <c r="I246" s="371" t="s">
        <v>357</v>
      </c>
      <c r="J246" s="173"/>
      <c r="K246" s="173"/>
      <c r="L246" s="173"/>
      <c r="M246" s="173"/>
      <c r="N246" s="173"/>
      <c r="O246" s="173"/>
      <c r="P246" s="173"/>
      <c r="Q246" s="173"/>
      <c r="R246" s="161"/>
    </row>
    <row r="247" spans="1:18" ht="16.5" thickTop="1" thickBot="1" x14ac:dyDescent="0.3">
      <c r="A247" s="305"/>
      <c r="B247" s="152" t="s">
        <v>22</v>
      </c>
      <c r="C247" s="152">
        <v>1440</v>
      </c>
      <c r="D247" s="152">
        <v>192</v>
      </c>
      <c r="E247" s="152">
        <v>40</v>
      </c>
      <c r="F247" s="152"/>
      <c r="G247" s="245">
        <f t="shared" si="15"/>
        <v>40</v>
      </c>
      <c r="H247" s="253" t="s">
        <v>1475</v>
      </c>
      <c r="I247" s="371"/>
      <c r="J247" s="173"/>
      <c r="K247" s="173"/>
      <c r="L247" s="173"/>
      <c r="M247" s="173"/>
      <c r="N247" s="173"/>
      <c r="O247" s="173"/>
      <c r="P247" s="173"/>
      <c r="Q247" s="173"/>
      <c r="R247" s="161"/>
    </row>
    <row r="248" spans="1:18" ht="16.5" thickTop="1" thickBot="1" x14ac:dyDescent="0.3">
      <c r="A248" s="305"/>
      <c r="B248" s="152" t="s">
        <v>18</v>
      </c>
      <c r="C248" s="152">
        <v>1440</v>
      </c>
      <c r="D248" s="152">
        <v>226</v>
      </c>
      <c r="E248" s="152">
        <v>35</v>
      </c>
      <c r="F248" s="152">
        <v>1</v>
      </c>
      <c r="G248" s="245">
        <f t="shared" si="15"/>
        <v>34</v>
      </c>
      <c r="H248" s="253" t="s">
        <v>1476</v>
      </c>
      <c r="I248" s="371"/>
      <c r="J248" s="173"/>
      <c r="K248" s="173"/>
      <c r="L248" s="173"/>
      <c r="M248" s="173"/>
      <c r="N248" s="173"/>
      <c r="O248" s="173"/>
      <c r="P248" s="173"/>
      <c r="Q248" s="173"/>
      <c r="R248" s="161"/>
    </row>
    <row r="249" spans="1:18" ht="16.5" thickTop="1" thickBot="1" x14ac:dyDescent="0.3">
      <c r="A249" s="305"/>
      <c r="B249" s="152" t="s">
        <v>19</v>
      </c>
      <c r="C249" s="152">
        <v>1440</v>
      </c>
      <c r="D249" s="152">
        <v>281</v>
      </c>
      <c r="E249" s="152">
        <v>30</v>
      </c>
      <c r="F249" s="152">
        <v>1</v>
      </c>
      <c r="G249" s="245">
        <f t="shared" si="15"/>
        <v>29</v>
      </c>
      <c r="H249" s="253" t="s">
        <v>1477</v>
      </c>
      <c r="I249" s="371"/>
      <c r="J249" s="173"/>
      <c r="K249" s="173"/>
      <c r="L249" s="173"/>
      <c r="M249" s="173"/>
      <c r="N249" s="173"/>
      <c r="O249" s="173"/>
      <c r="P249" s="173"/>
      <c r="Q249" s="173"/>
      <c r="R249" s="161"/>
    </row>
    <row r="250" spans="1:18" ht="16.5" thickTop="1" thickBot="1" x14ac:dyDescent="0.3">
      <c r="A250" s="305"/>
      <c r="B250" s="152" t="s">
        <v>0</v>
      </c>
      <c r="C250" s="152">
        <v>1440</v>
      </c>
      <c r="D250" s="152">
        <v>362</v>
      </c>
      <c r="E250" s="152">
        <v>50</v>
      </c>
      <c r="F250" s="152">
        <v>2</v>
      </c>
      <c r="G250" s="245">
        <f t="shared" si="15"/>
        <v>48</v>
      </c>
      <c r="H250" s="253" t="s">
        <v>1478</v>
      </c>
      <c r="I250" s="371"/>
      <c r="J250" s="173"/>
      <c r="K250" s="173"/>
      <c r="L250" s="173"/>
      <c r="M250" s="173"/>
      <c r="N250" s="173"/>
      <c r="O250" s="173"/>
      <c r="P250" s="173"/>
      <c r="Q250" s="173"/>
      <c r="R250" s="161"/>
    </row>
    <row r="251" spans="1:18" ht="16.5" thickTop="1" thickBot="1" x14ac:dyDescent="0.3">
      <c r="A251" s="305"/>
      <c r="B251" s="152" t="s">
        <v>1</v>
      </c>
      <c r="C251" s="152">
        <v>1440</v>
      </c>
      <c r="D251" s="152">
        <v>583</v>
      </c>
      <c r="E251" s="152">
        <v>91</v>
      </c>
      <c r="F251" s="152">
        <v>3</v>
      </c>
      <c r="G251" s="245">
        <f t="shared" si="15"/>
        <v>88</v>
      </c>
      <c r="H251" s="253" t="s">
        <v>1479</v>
      </c>
      <c r="I251" s="371"/>
      <c r="J251" s="173"/>
      <c r="K251" s="173"/>
      <c r="L251" s="173"/>
      <c r="M251" s="173"/>
      <c r="N251" s="173"/>
      <c r="O251" s="173"/>
      <c r="P251" s="173"/>
      <c r="Q251" s="173"/>
      <c r="R251" s="161"/>
    </row>
    <row r="252" spans="1:18" ht="16.5" thickTop="1" thickBot="1" x14ac:dyDescent="0.3">
      <c r="A252" s="305"/>
      <c r="B252" s="152" t="s">
        <v>2</v>
      </c>
      <c r="C252" s="152">
        <v>288</v>
      </c>
      <c r="D252" s="152">
        <v>332</v>
      </c>
      <c r="E252" s="152">
        <v>50</v>
      </c>
      <c r="F252" s="152">
        <v>2</v>
      </c>
      <c r="G252" s="245">
        <f t="shared" si="15"/>
        <v>48</v>
      </c>
      <c r="H252" s="253" t="s">
        <v>1480</v>
      </c>
      <c r="I252" s="371"/>
      <c r="J252" s="173"/>
      <c r="K252" s="173"/>
      <c r="L252" s="173"/>
      <c r="M252" s="173"/>
      <c r="N252" s="173"/>
      <c r="O252" s="173"/>
      <c r="P252" s="173"/>
      <c r="Q252" s="173"/>
      <c r="R252" s="161"/>
    </row>
    <row r="253" spans="1:18" ht="16.5" thickTop="1" thickBot="1" x14ac:dyDescent="0.3">
      <c r="A253" s="305"/>
      <c r="B253" s="152" t="s">
        <v>5</v>
      </c>
      <c r="C253" s="152">
        <v>144</v>
      </c>
      <c r="D253" s="152">
        <v>856</v>
      </c>
      <c r="E253" s="152">
        <v>25</v>
      </c>
      <c r="F253" s="152">
        <v>1</v>
      </c>
      <c r="G253" s="245">
        <f t="shared" si="15"/>
        <v>24</v>
      </c>
      <c r="H253" s="253" t="s">
        <v>1481</v>
      </c>
      <c r="I253" s="371"/>
      <c r="J253" s="173"/>
      <c r="K253" s="173"/>
      <c r="L253" s="173"/>
      <c r="M253" s="173"/>
      <c r="N253" s="173"/>
      <c r="O253" s="173"/>
      <c r="P253" s="173"/>
      <c r="Q253" s="173"/>
      <c r="R253" s="161"/>
    </row>
    <row r="254" spans="1:18" ht="16.5" thickTop="1" thickBot="1" x14ac:dyDescent="0.3">
      <c r="A254" s="306"/>
      <c r="B254" s="126" t="s">
        <v>20</v>
      </c>
      <c r="C254" s="126">
        <v>144</v>
      </c>
      <c r="D254" s="126">
        <v>756</v>
      </c>
      <c r="E254" s="126">
        <v>18</v>
      </c>
      <c r="F254" s="126">
        <v>2</v>
      </c>
      <c r="G254" s="246">
        <f t="shared" si="15"/>
        <v>16</v>
      </c>
      <c r="H254" s="254" t="s">
        <v>1482</v>
      </c>
      <c r="I254" s="371"/>
      <c r="J254" s="173"/>
      <c r="K254" s="173"/>
      <c r="L254" s="173"/>
      <c r="M254" s="173"/>
      <c r="N254" s="173"/>
      <c r="O254" s="173"/>
      <c r="P254" s="173"/>
      <c r="Q254" s="173"/>
      <c r="R254" s="161"/>
    </row>
    <row r="255" spans="1:18" ht="16.5" thickTop="1" thickBot="1" x14ac:dyDescent="0.3">
      <c r="A255" s="307" t="s">
        <v>1256</v>
      </c>
      <c r="B255" s="151" t="s">
        <v>90</v>
      </c>
      <c r="C255" s="151">
        <v>1440</v>
      </c>
      <c r="D255" s="151">
        <v>292</v>
      </c>
      <c r="E255" s="151">
        <v>49</v>
      </c>
      <c r="F255" s="151"/>
      <c r="G255" s="243">
        <f t="shared" si="14"/>
        <v>49</v>
      </c>
      <c r="H255" s="252" t="s">
        <v>1201</v>
      </c>
      <c r="I255" s="371" t="s">
        <v>358</v>
      </c>
      <c r="J255" s="173"/>
      <c r="K255" s="173"/>
      <c r="L255" s="173"/>
      <c r="M255" s="173"/>
      <c r="N255" s="173"/>
      <c r="O255" s="173"/>
      <c r="P255" s="173"/>
      <c r="Q255" s="173"/>
      <c r="R255" s="161"/>
    </row>
    <row r="256" spans="1:18" ht="16.5" thickTop="1" thickBot="1" x14ac:dyDescent="0.3">
      <c r="A256" s="308"/>
      <c r="B256" s="152" t="s">
        <v>89</v>
      </c>
      <c r="C256" s="152">
        <v>1440</v>
      </c>
      <c r="D256" s="152">
        <v>292</v>
      </c>
      <c r="E256" s="152">
        <f>47+50</f>
        <v>97</v>
      </c>
      <c r="F256" s="152"/>
      <c r="G256" s="245">
        <f t="shared" si="14"/>
        <v>97</v>
      </c>
      <c r="H256" s="253" t="s">
        <v>1483</v>
      </c>
      <c r="I256" s="371"/>
      <c r="J256" s="173"/>
      <c r="K256" s="173"/>
      <c r="L256" s="173"/>
      <c r="M256" s="173"/>
      <c r="N256" s="173"/>
      <c r="O256" s="173"/>
      <c r="P256" s="173"/>
      <c r="Q256" s="173"/>
      <c r="R256" s="161"/>
    </row>
    <row r="257" spans="1:18" ht="16.5" thickTop="1" thickBot="1" x14ac:dyDescent="0.3">
      <c r="A257" s="308"/>
      <c r="B257" s="152" t="s">
        <v>21</v>
      </c>
      <c r="C257" s="152">
        <v>1440</v>
      </c>
      <c r="D257" s="152">
        <v>215</v>
      </c>
      <c r="E257" s="152">
        <f>47+50</f>
        <v>97</v>
      </c>
      <c r="F257" s="152">
        <f>1+1+6+1+2</f>
        <v>11</v>
      </c>
      <c r="G257" s="245">
        <f t="shared" si="14"/>
        <v>86</v>
      </c>
      <c r="H257" s="253" t="s">
        <v>1484</v>
      </c>
      <c r="I257" s="371"/>
      <c r="J257" s="173"/>
      <c r="K257" s="173"/>
      <c r="L257" s="173"/>
      <c r="M257" s="173"/>
      <c r="N257" s="173"/>
      <c r="O257" s="173"/>
      <c r="P257" s="173"/>
      <c r="Q257" s="173"/>
      <c r="R257" s="161"/>
    </row>
    <row r="258" spans="1:18" ht="16.5" thickTop="1" thickBot="1" x14ac:dyDescent="0.3">
      <c r="A258" s="308"/>
      <c r="B258" s="152" t="s">
        <v>22</v>
      </c>
      <c r="C258" s="152">
        <v>1440</v>
      </c>
      <c r="D258" s="152">
        <v>259</v>
      </c>
      <c r="E258" s="152">
        <f>37+40</f>
        <v>77</v>
      </c>
      <c r="F258" s="152"/>
      <c r="G258" s="245">
        <f t="shared" si="14"/>
        <v>77</v>
      </c>
      <c r="H258" s="253" t="s">
        <v>1485</v>
      </c>
      <c r="I258" s="371"/>
      <c r="J258" s="173"/>
      <c r="K258" s="173"/>
      <c r="L258" s="173"/>
      <c r="M258" s="173"/>
      <c r="N258" s="173"/>
      <c r="O258" s="173"/>
      <c r="P258" s="173"/>
      <c r="Q258" s="173"/>
      <c r="R258" s="161"/>
    </row>
    <row r="259" spans="1:18" ht="16.5" thickTop="1" thickBot="1" x14ac:dyDescent="0.3">
      <c r="A259" s="308"/>
      <c r="B259" s="152" t="s">
        <v>18</v>
      </c>
      <c r="C259" s="152">
        <v>1440</v>
      </c>
      <c r="D259" s="152">
        <v>292</v>
      </c>
      <c r="E259" s="152">
        <f>31+50</f>
        <v>81</v>
      </c>
      <c r="F259" s="152">
        <v>1</v>
      </c>
      <c r="G259" s="245">
        <f t="shared" si="14"/>
        <v>80</v>
      </c>
      <c r="H259" s="253" t="s">
        <v>1486</v>
      </c>
      <c r="I259" s="371"/>
      <c r="J259" s="173"/>
      <c r="K259" s="173"/>
      <c r="L259" s="173"/>
      <c r="M259" s="173"/>
      <c r="N259" s="173"/>
      <c r="O259" s="173"/>
      <c r="P259" s="173"/>
      <c r="Q259" s="173"/>
      <c r="R259" s="161"/>
    </row>
    <row r="260" spans="1:18" ht="16.5" thickTop="1" thickBot="1" x14ac:dyDescent="0.3">
      <c r="A260" s="308"/>
      <c r="B260" s="152" t="s">
        <v>19</v>
      </c>
      <c r="C260" s="152">
        <v>1440</v>
      </c>
      <c r="D260" s="152">
        <v>403</v>
      </c>
      <c r="E260" s="152">
        <f>28+49</f>
        <v>77</v>
      </c>
      <c r="F260" s="152">
        <f>3+1+3+1</f>
        <v>8</v>
      </c>
      <c r="G260" s="245">
        <f t="shared" si="14"/>
        <v>69</v>
      </c>
      <c r="H260" s="253" t="s">
        <v>1487</v>
      </c>
      <c r="I260" s="371"/>
      <c r="J260" s="173"/>
      <c r="K260" s="173"/>
      <c r="L260" s="173"/>
      <c r="M260" s="173"/>
      <c r="N260" s="173"/>
      <c r="O260" s="173"/>
      <c r="P260" s="173"/>
      <c r="Q260" s="173"/>
      <c r="R260" s="161"/>
    </row>
    <row r="261" spans="1:18" ht="16.5" thickTop="1" thickBot="1" x14ac:dyDescent="0.3">
      <c r="A261" s="308"/>
      <c r="B261" s="152" t="s">
        <v>0</v>
      </c>
      <c r="C261" s="152">
        <v>1440</v>
      </c>
      <c r="D261" s="152">
        <v>583</v>
      </c>
      <c r="E261" s="152">
        <f>47+49</f>
        <v>96</v>
      </c>
      <c r="F261" s="152">
        <f>1+1+1</f>
        <v>3</v>
      </c>
      <c r="G261" s="245">
        <f t="shared" si="14"/>
        <v>93</v>
      </c>
      <c r="H261" s="253" t="s">
        <v>1488</v>
      </c>
      <c r="I261" s="371"/>
      <c r="J261" s="173"/>
      <c r="K261" s="173"/>
      <c r="L261" s="173"/>
      <c r="M261" s="173"/>
      <c r="N261" s="173"/>
      <c r="O261" s="173"/>
      <c r="P261" s="173"/>
      <c r="Q261" s="173"/>
      <c r="R261" s="161"/>
    </row>
    <row r="262" spans="1:18" ht="16.5" thickTop="1" thickBot="1" x14ac:dyDescent="0.3">
      <c r="A262" s="308"/>
      <c r="B262" s="152" t="s">
        <v>1</v>
      </c>
      <c r="C262" s="152">
        <v>1440</v>
      </c>
      <c r="D262" s="152">
        <v>885</v>
      </c>
      <c r="E262" s="152">
        <v>88</v>
      </c>
      <c r="F262" s="152">
        <f>1+2</f>
        <v>3</v>
      </c>
      <c r="G262" s="245">
        <f t="shared" si="14"/>
        <v>85</v>
      </c>
      <c r="H262" s="253" t="s">
        <v>1489</v>
      </c>
      <c r="I262" s="371"/>
      <c r="J262" s="173"/>
      <c r="K262" s="173"/>
      <c r="L262" s="173"/>
      <c r="M262" s="173"/>
      <c r="N262" s="173"/>
      <c r="O262" s="173"/>
      <c r="P262" s="173"/>
      <c r="Q262" s="173"/>
      <c r="R262" s="161"/>
    </row>
    <row r="263" spans="1:18" ht="16.5" thickTop="1" thickBot="1" x14ac:dyDescent="0.3">
      <c r="A263" s="308"/>
      <c r="B263" s="152" t="s">
        <v>2</v>
      </c>
      <c r="C263" s="152">
        <v>288</v>
      </c>
      <c r="D263" s="152">
        <v>553</v>
      </c>
      <c r="E263" s="152">
        <v>49</v>
      </c>
      <c r="F263" s="152">
        <v>1</v>
      </c>
      <c r="G263" s="245">
        <f t="shared" si="14"/>
        <v>48</v>
      </c>
      <c r="H263" s="253" t="s">
        <v>1490</v>
      </c>
      <c r="I263" s="371"/>
      <c r="J263" s="173"/>
      <c r="K263" s="173"/>
      <c r="L263" s="173"/>
      <c r="M263" s="173"/>
      <c r="N263" s="173"/>
      <c r="O263" s="173"/>
      <c r="P263" s="173"/>
      <c r="Q263" s="173"/>
      <c r="R263" s="161"/>
    </row>
    <row r="264" spans="1:18" ht="16.5" thickTop="1" thickBot="1" x14ac:dyDescent="0.3">
      <c r="A264" s="309"/>
      <c r="B264" s="126" t="s">
        <v>5</v>
      </c>
      <c r="C264" s="126">
        <v>144</v>
      </c>
      <c r="D264" s="126">
        <v>1049</v>
      </c>
      <c r="E264" s="126">
        <v>25</v>
      </c>
      <c r="F264" s="126"/>
      <c r="G264" s="246">
        <f t="shared" si="14"/>
        <v>25</v>
      </c>
      <c r="H264" s="254" t="s">
        <v>1491</v>
      </c>
      <c r="I264" s="371"/>
      <c r="J264" s="173"/>
      <c r="K264" s="173"/>
      <c r="L264" s="173"/>
      <c r="M264" s="173"/>
      <c r="N264" s="173"/>
      <c r="O264" s="173"/>
      <c r="P264" s="173"/>
      <c r="Q264" s="173"/>
      <c r="R264" s="161"/>
    </row>
    <row r="265" spans="1:18" ht="16.5" thickTop="1" thickBot="1" x14ac:dyDescent="0.3">
      <c r="A265" s="307" t="s">
        <v>427</v>
      </c>
      <c r="B265" s="151" t="s">
        <v>89</v>
      </c>
      <c r="C265" s="151">
        <v>1440</v>
      </c>
      <c r="D265" s="151">
        <v>253</v>
      </c>
      <c r="E265" s="151">
        <v>49</v>
      </c>
      <c r="F265" s="151">
        <f>2+1</f>
        <v>3</v>
      </c>
      <c r="G265" s="243">
        <f t="shared" si="14"/>
        <v>46</v>
      </c>
      <c r="H265" s="252" t="s">
        <v>1492</v>
      </c>
      <c r="I265" s="371" t="s">
        <v>367</v>
      </c>
      <c r="J265" s="173"/>
      <c r="K265" s="173"/>
      <c r="L265" s="173"/>
      <c r="M265" s="173"/>
      <c r="N265" s="173"/>
      <c r="O265" s="173"/>
      <c r="P265" s="173"/>
      <c r="Q265" s="173"/>
      <c r="R265" s="161"/>
    </row>
    <row r="266" spans="1:18" ht="16.5" thickTop="1" thickBot="1" x14ac:dyDescent="0.3">
      <c r="A266" s="308"/>
      <c r="B266" s="152" t="s">
        <v>21</v>
      </c>
      <c r="C266" s="152">
        <v>1440</v>
      </c>
      <c r="D266" s="152">
        <v>253</v>
      </c>
      <c r="E266" s="152">
        <v>49</v>
      </c>
      <c r="F266" s="152">
        <v>1</v>
      </c>
      <c r="G266" s="245">
        <f t="shared" si="14"/>
        <v>48</v>
      </c>
      <c r="H266" s="253" t="s">
        <v>1493</v>
      </c>
      <c r="I266" s="371"/>
      <c r="J266" s="173"/>
      <c r="K266" s="173"/>
      <c r="L266" s="173"/>
      <c r="M266" s="173"/>
      <c r="N266" s="173"/>
      <c r="O266" s="173"/>
      <c r="P266" s="173"/>
      <c r="Q266" s="173"/>
      <c r="R266" s="161"/>
    </row>
    <row r="267" spans="1:18" ht="16.5" thickTop="1" thickBot="1" x14ac:dyDescent="0.3">
      <c r="A267" s="308"/>
      <c r="B267" s="152" t="s">
        <v>22</v>
      </c>
      <c r="C267" s="152">
        <v>1440</v>
      </c>
      <c r="D267" s="152">
        <v>309</v>
      </c>
      <c r="E267" s="152">
        <v>40</v>
      </c>
      <c r="F267" s="152">
        <f>1+2</f>
        <v>3</v>
      </c>
      <c r="G267" s="245">
        <f t="shared" si="14"/>
        <v>37</v>
      </c>
      <c r="H267" s="253" t="s">
        <v>1494</v>
      </c>
      <c r="I267" s="371"/>
      <c r="J267" s="173"/>
      <c r="K267" s="173"/>
      <c r="L267" s="173"/>
      <c r="M267" s="173"/>
      <c r="N267" s="173"/>
      <c r="O267" s="173"/>
      <c r="P267" s="173"/>
      <c r="Q267" s="173"/>
      <c r="R267" s="161"/>
    </row>
    <row r="268" spans="1:18" ht="16.5" thickTop="1" thickBot="1" x14ac:dyDescent="0.3">
      <c r="A268" s="308"/>
      <c r="B268" s="152" t="s">
        <v>18</v>
      </c>
      <c r="C268" s="152">
        <v>1440</v>
      </c>
      <c r="D268" s="152">
        <v>336</v>
      </c>
      <c r="E268" s="152">
        <v>34</v>
      </c>
      <c r="F268" s="152">
        <v>1</v>
      </c>
      <c r="G268" s="245">
        <f t="shared" si="14"/>
        <v>33</v>
      </c>
      <c r="H268" s="253" t="s">
        <v>1495</v>
      </c>
      <c r="I268" s="371"/>
      <c r="J268" s="173"/>
      <c r="K268" s="173"/>
      <c r="L268" s="173"/>
      <c r="M268" s="173"/>
      <c r="N268" s="173"/>
      <c r="O268" s="173"/>
      <c r="P268" s="173"/>
      <c r="Q268" s="173"/>
      <c r="R268" s="161"/>
    </row>
    <row r="269" spans="1:18" ht="16.5" thickTop="1" thickBot="1" x14ac:dyDescent="0.3">
      <c r="A269" s="308"/>
      <c r="B269" s="152" t="s">
        <v>19</v>
      </c>
      <c r="C269" s="152">
        <v>1440</v>
      </c>
      <c r="D269" s="152">
        <v>380</v>
      </c>
      <c r="E269" s="152">
        <v>30</v>
      </c>
      <c r="F269" s="152">
        <v>1</v>
      </c>
      <c r="G269" s="245">
        <f t="shared" si="14"/>
        <v>29</v>
      </c>
      <c r="H269" s="253" t="s">
        <v>1496</v>
      </c>
      <c r="I269" s="371"/>
      <c r="J269" s="173"/>
      <c r="K269" s="173"/>
      <c r="L269" s="173"/>
      <c r="M269" s="173"/>
      <c r="N269" s="173"/>
      <c r="O269" s="173"/>
      <c r="P269" s="173"/>
      <c r="Q269" s="173"/>
      <c r="R269" s="161"/>
    </row>
    <row r="270" spans="1:18" ht="16.5" thickTop="1" thickBot="1" x14ac:dyDescent="0.3">
      <c r="A270" s="308"/>
      <c r="B270" s="152" t="s">
        <v>0</v>
      </c>
      <c r="C270" s="152">
        <v>1440</v>
      </c>
      <c r="D270" s="152">
        <v>461</v>
      </c>
      <c r="E270" s="152">
        <v>40</v>
      </c>
      <c r="F270" s="152">
        <v>1</v>
      </c>
      <c r="G270" s="245">
        <f t="shared" si="14"/>
        <v>39</v>
      </c>
      <c r="H270" s="253" t="s">
        <v>1497</v>
      </c>
      <c r="I270" s="371"/>
      <c r="J270" s="173"/>
      <c r="K270" s="173"/>
      <c r="L270" s="173"/>
      <c r="M270" s="173"/>
      <c r="N270" s="173"/>
      <c r="O270" s="173"/>
      <c r="P270" s="173"/>
      <c r="Q270" s="173"/>
      <c r="R270" s="161"/>
    </row>
    <row r="271" spans="1:18" ht="16.5" thickTop="1" thickBot="1" x14ac:dyDescent="0.3">
      <c r="A271" s="309"/>
      <c r="B271" s="126" t="s">
        <v>1</v>
      </c>
      <c r="C271" s="126">
        <v>1440</v>
      </c>
      <c r="D271" s="126">
        <v>726</v>
      </c>
      <c r="E271" s="126">
        <v>87</v>
      </c>
      <c r="F271" s="126">
        <f>1+1+1</f>
        <v>3</v>
      </c>
      <c r="G271" s="246">
        <f t="shared" si="14"/>
        <v>84</v>
      </c>
      <c r="H271" s="254" t="s">
        <v>1498</v>
      </c>
      <c r="I271" s="371"/>
      <c r="J271" s="173"/>
      <c r="K271" s="173"/>
      <c r="L271" s="173"/>
      <c r="M271" s="173"/>
      <c r="N271" s="173"/>
      <c r="O271" s="173"/>
      <c r="P271" s="173"/>
      <c r="Q271" s="173"/>
      <c r="R271" s="161"/>
    </row>
    <row r="272" spans="1:18" ht="16.5" thickTop="1" thickBot="1" x14ac:dyDescent="0.3">
      <c r="A272" s="307" t="s">
        <v>428</v>
      </c>
      <c r="B272" s="151" t="s">
        <v>90</v>
      </c>
      <c r="C272" s="151">
        <v>1440</v>
      </c>
      <c r="D272" s="151">
        <v>160</v>
      </c>
      <c r="E272" s="151">
        <v>100</v>
      </c>
      <c r="F272" s="151">
        <f>1+4+1+1+1+1</f>
        <v>9</v>
      </c>
      <c r="G272" s="243">
        <f t="shared" si="14"/>
        <v>91</v>
      </c>
      <c r="H272" s="252" t="s">
        <v>1257</v>
      </c>
      <c r="I272" s="371" t="s">
        <v>363</v>
      </c>
      <c r="J272" s="173"/>
      <c r="K272" s="173"/>
      <c r="L272" s="173"/>
      <c r="M272" s="173"/>
      <c r="N272" s="173"/>
      <c r="O272" s="173"/>
      <c r="P272" s="173"/>
      <c r="Q272" s="173"/>
      <c r="R272" s="161"/>
    </row>
    <row r="273" spans="1:18" ht="16.5" thickTop="1" thickBot="1" x14ac:dyDescent="0.3">
      <c r="A273" s="308"/>
      <c r="B273" s="152" t="s">
        <v>89</v>
      </c>
      <c r="C273" s="152">
        <v>1440</v>
      </c>
      <c r="D273" s="152">
        <v>160</v>
      </c>
      <c r="E273" s="152">
        <v>100</v>
      </c>
      <c r="F273" s="152">
        <f>1+1</f>
        <v>2</v>
      </c>
      <c r="G273" s="245">
        <f t="shared" si="14"/>
        <v>98</v>
      </c>
      <c r="H273" s="253" t="s">
        <v>1499</v>
      </c>
      <c r="I273" s="371"/>
      <c r="J273" s="173"/>
      <c r="K273" s="173"/>
      <c r="L273" s="173"/>
      <c r="M273" s="173"/>
      <c r="N273" s="173"/>
      <c r="O273" s="173"/>
      <c r="P273" s="173"/>
      <c r="Q273" s="173"/>
      <c r="R273" s="161"/>
    </row>
    <row r="274" spans="1:18" ht="16.5" thickTop="1" thickBot="1" x14ac:dyDescent="0.3">
      <c r="A274" s="308"/>
      <c r="B274" s="153" t="s">
        <v>21</v>
      </c>
      <c r="C274" s="153">
        <v>1440</v>
      </c>
      <c r="D274" s="153">
        <v>187</v>
      </c>
      <c r="E274" s="153">
        <v>100</v>
      </c>
      <c r="F274" s="153">
        <f>1+1+1+2+1+1</f>
        <v>7</v>
      </c>
      <c r="G274" s="244">
        <f t="shared" si="14"/>
        <v>93</v>
      </c>
      <c r="H274" s="253" t="s">
        <v>1500</v>
      </c>
      <c r="I274" s="371"/>
      <c r="J274" s="173"/>
      <c r="K274" s="173"/>
      <c r="L274" s="173"/>
      <c r="M274" s="173"/>
      <c r="N274" s="173"/>
      <c r="O274" s="173"/>
      <c r="P274" s="173"/>
      <c r="Q274" s="173"/>
      <c r="R274" s="161"/>
    </row>
    <row r="275" spans="1:18" ht="16.5" thickTop="1" thickBot="1" x14ac:dyDescent="0.3">
      <c r="A275" s="308"/>
      <c r="B275" s="153" t="s">
        <v>22</v>
      </c>
      <c r="C275" s="153">
        <v>1440</v>
      </c>
      <c r="D275" s="153">
        <v>209</v>
      </c>
      <c r="E275" s="153">
        <v>79</v>
      </c>
      <c r="F275" s="153">
        <f>1+4+1</f>
        <v>6</v>
      </c>
      <c r="G275" s="244">
        <f t="shared" si="14"/>
        <v>73</v>
      </c>
      <c r="H275" s="253" t="s">
        <v>1501</v>
      </c>
      <c r="I275" s="371"/>
      <c r="J275" s="173"/>
      <c r="K275" s="173"/>
      <c r="L275" s="173"/>
      <c r="M275" s="173"/>
      <c r="N275" s="173"/>
      <c r="O275" s="173"/>
      <c r="P275" s="173"/>
      <c r="Q275" s="173"/>
      <c r="R275" s="161"/>
    </row>
    <row r="276" spans="1:18" ht="16.5" thickTop="1" thickBot="1" x14ac:dyDescent="0.3">
      <c r="A276" s="308"/>
      <c r="B276" s="153" t="s">
        <v>18</v>
      </c>
      <c r="C276" s="153">
        <v>1440</v>
      </c>
      <c r="D276" s="153">
        <v>248</v>
      </c>
      <c r="E276" s="153">
        <v>79</v>
      </c>
      <c r="F276" s="153">
        <f>1+1</f>
        <v>2</v>
      </c>
      <c r="G276" s="244">
        <f t="shared" si="14"/>
        <v>77</v>
      </c>
      <c r="H276" s="253" t="s">
        <v>1502</v>
      </c>
      <c r="I276" s="371"/>
      <c r="J276" s="173"/>
      <c r="K276" s="173"/>
      <c r="L276" s="173"/>
      <c r="M276" s="173"/>
      <c r="N276" s="173"/>
      <c r="O276" s="173"/>
      <c r="P276" s="173"/>
      <c r="Q276" s="173"/>
      <c r="R276" s="161"/>
    </row>
    <row r="277" spans="1:18" ht="16.5" thickTop="1" thickBot="1" x14ac:dyDescent="0.3">
      <c r="A277" s="308"/>
      <c r="B277" s="153" t="s">
        <v>19</v>
      </c>
      <c r="C277" s="153">
        <v>1440</v>
      </c>
      <c r="D277" s="153">
        <v>336</v>
      </c>
      <c r="E277" s="153">
        <v>30</v>
      </c>
      <c r="F277" s="153">
        <f>2+1+1</f>
        <v>4</v>
      </c>
      <c r="G277" s="244">
        <f t="shared" si="14"/>
        <v>26</v>
      </c>
      <c r="H277" s="253" t="s">
        <v>1503</v>
      </c>
      <c r="I277" s="371"/>
      <c r="J277" s="173"/>
      <c r="K277" s="173"/>
      <c r="L277" s="173"/>
      <c r="M277" s="173"/>
      <c r="N277" s="173"/>
      <c r="O277" s="173"/>
      <c r="P277" s="173"/>
      <c r="Q277" s="173"/>
      <c r="R277" s="161"/>
    </row>
    <row r="278" spans="1:18" ht="16.5" thickTop="1" thickBot="1" x14ac:dyDescent="0.3">
      <c r="A278" s="308"/>
      <c r="B278" s="152" t="s">
        <v>0</v>
      </c>
      <c r="C278" s="153">
        <v>1440</v>
      </c>
      <c r="D278" s="153">
        <v>418</v>
      </c>
      <c r="E278" s="153">
        <v>99</v>
      </c>
      <c r="F278" s="153">
        <f>1+1+1+2+1+1+2+2+1+1+1+1</f>
        <v>15</v>
      </c>
      <c r="G278" s="244">
        <f t="shared" si="14"/>
        <v>84</v>
      </c>
      <c r="H278" s="253" t="s">
        <v>1504</v>
      </c>
      <c r="I278" s="371"/>
      <c r="J278" s="173"/>
      <c r="K278" s="173"/>
      <c r="L278" s="173"/>
      <c r="M278" s="173"/>
      <c r="N278" s="173"/>
      <c r="O278" s="173"/>
      <c r="P278" s="173"/>
      <c r="Q278" s="173"/>
      <c r="R278" s="161"/>
    </row>
    <row r="279" spans="1:18" ht="15.75" customHeight="1" thickTop="1" thickBot="1" x14ac:dyDescent="0.3">
      <c r="A279" s="308"/>
      <c r="B279" s="152" t="s">
        <v>1</v>
      </c>
      <c r="C279" s="152">
        <v>1440</v>
      </c>
      <c r="D279" s="152">
        <v>665</v>
      </c>
      <c r="E279" s="152">
        <v>149</v>
      </c>
      <c r="F279" s="152">
        <f>1+1+1+1+1+1+4+1+1+1</f>
        <v>13</v>
      </c>
      <c r="G279" s="245">
        <f t="shared" si="14"/>
        <v>136</v>
      </c>
      <c r="H279" s="253" t="s">
        <v>1505</v>
      </c>
      <c r="I279" s="371"/>
      <c r="J279" s="173"/>
      <c r="K279" s="173"/>
      <c r="L279" s="173"/>
      <c r="M279" s="173"/>
      <c r="N279" s="173"/>
      <c r="O279" s="173"/>
      <c r="P279" s="173"/>
      <c r="Q279" s="173"/>
      <c r="R279" s="161"/>
    </row>
    <row r="280" spans="1:18" ht="16.5" thickTop="1" thickBot="1" x14ac:dyDescent="0.3">
      <c r="A280" s="308"/>
      <c r="B280" s="152" t="s">
        <v>2</v>
      </c>
      <c r="C280" s="152">
        <v>288</v>
      </c>
      <c r="D280" s="152">
        <v>388</v>
      </c>
      <c r="E280" s="152">
        <v>101</v>
      </c>
      <c r="F280" s="152">
        <f>1+1+1</f>
        <v>3</v>
      </c>
      <c r="G280" s="245">
        <f t="shared" si="14"/>
        <v>98</v>
      </c>
      <c r="H280" s="253" t="s">
        <v>1506</v>
      </c>
      <c r="I280" s="371"/>
      <c r="J280" s="173"/>
      <c r="K280" s="173"/>
      <c r="L280" s="173"/>
      <c r="M280" s="173"/>
      <c r="N280" s="173"/>
      <c r="O280" s="173"/>
      <c r="P280" s="173"/>
      <c r="Q280" s="173"/>
      <c r="R280" s="161"/>
    </row>
    <row r="281" spans="1:18" ht="16.5" thickTop="1" thickBot="1" x14ac:dyDescent="0.3">
      <c r="A281" s="309"/>
      <c r="B281" s="126" t="s">
        <v>5</v>
      </c>
      <c r="C281" s="126">
        <v>144</v>
      </c>
      <c r="D281" s="126">
        <v>911</v>
      </c>
      <c r="E281" s="126">
        <v>75</v>
      </c>
      <c r="F281" s="126">
        <f>1+1</f>
        <v>2</v>
      </c>
      <c r="G281" s="246">
        <f t="shared" si="14"/>
        <v>73</v>
      </c>
      <c r="H281" s="254" t="s">
        <v>1507</v>
      </c>
      <c r="I281" s="371"/>
      <c r="J281" s="173"/>
      <c r="K281" s="173"/>
      <c r="L281" s="173"/>
      <c r="M281" s="173"/>
      <c r="N281" s="173"/>
      <c r="O281" s="173"/>
      <c r="P281" s="173"/>
      <c r="Q281" s="173"/>
      <c r="R281" s="161"/>
    </row>
    <row r="282" spans="1:18" ht="16.5" thickTop="1" thickBot="1" x14ac:dyDescent="0.3">
      <c r="A282" s="313" t="s">
        <v>582</v>
      </c>
      <c r="B282" s="151" t="s">
        <v>90</v>
      </c>
      <c r="C282" s="151">
        <v>1440</v>
      </c>
      <c r="D282" s="151">
        <v>160</v>
      </c>
      <c r="E282" s="151">
        <v>99</v>
      </c>
      <c r="F282" s="151">
        <f>1+2+1+1+1+1+4+1+2+2+1+1+2+1+1+1+1+1+1+1+10+1+1+1+1+1+10</f>
        <v>52</v>
      </c>
      <c r="G282" s="243">
        <f t="shared" si="14"/>
        <v>47</v>
      </c>
      <c r="H282" s="252" t="s">
        <v>1258</v>
      </c>
      <c r="I282" s="371" t="s">
        <v>360</v>
      </c>
      <c r="J282" s="173"/>
      <c r="K282" s="173"/>
      <c r="L282" s="173"/>
      <c r="M282" s="173"/>
      <c r="N282" s="173"/>
      <c r="O282" s="173"/>
      <c r="P282" s="173"/>
      <c r="Q282" s="173"/>
      <c r="R282" s="161"/>
    </row>
    <row r="283" spans="1:18" ht="16.5" thickTop="1" thickBot="1" x14ac:dyDescent="0.3">
      <c r="A283" s="357"/>
      <c r="B283" s="152" t="s">
        <v>89</v>
      </c>
      <c r="C283" s="152">
        <v>1440</v>
      </c>
      <c r="D283" s="153">
        <v>160</v>
      </c>
      <c r="E283" s="153">
        <v>97</v>
      </c>
      <c r="F283" s="153">
        <f>2+1+1+4+1+1+1+1+20+1+3</f>
        <v>36</v>
      </c>
      <c r="G283" s="244">
        <f>E283-F283</f>
        <v>61</v>
      </c>
      <c r="H283" s="253" t="s">
        <v>1508</v>
      </c>
      <c r="I283" s="371"/>
      <c r="J283" s="173"/>
      <c r="K283" s="173"/>
      <c r="L283" s="173"/>
      <c r="M283" s="173"/>
      <c r="N283" s="173"/>
      <c r="O283" s="173"/>
      <c r="P283" s="173"/>
      <c r="Q283" s="173"/>
      <c r="R283" s="161"/>
    </row>
    <row r="284" spans="1:18" ht="16.5" thickTop="1" thickBot="1" x14ac:dyDescent="0.3">
      <c r="A284" s="357"/>
      <c r="B284" s="153" t="s">
        <v>21</v>
      </c>
      <c r="C284" s="153">
        <v>1440</v>
      </c>
      <c r="D284" s="153">
        <v>187</v>
      </c>
      <c r="E284" s="153">
        <v>144</v>
      </c>
      <c r="F284" s="153">
        <f>1+1+1+3+1+1+2+3+1+1+1+3+1+1+1+15+5+1+1</f>
        <v>44</v>
      </c>
      <c r="G284" s="245">
        <f t="shared" si="14"/>
        <v>100</v>
      </c>
      <c r="H284" s="253" t="s">
        <v>1509</v>
      </c>
      <c r="I284" s="371"/>
      <c r="J284" s="173"/>
      <c r="K284" s="173"/>
      <c r="L284" s="173"/>
      <c r="M284" s="173"/>
      <c r="N284" s="173"/>
      <c r="O284" s="173"/>
      <c r="P284" s="173"/>
      <c r="Q284" s="173"/>
      <c r="R284" s="161"/>
    </row>
    <row r="285" spans="1:18" ht="16.5" thickTop="1" thickBot="1" x14ac:dyDescent="0.3">
      <c r="A285" s="357"/>
      <c r="B285" s="153" t="s">
        <v>22</v>
      </c>
      <c r="C285" s="153">
        <v>1440</v>
      </c>
      <c r="D285" s="153">
        <v>209</v>
      </c>
      <c r="E285" s="153">
        <v>115</v>
      </c>
      <c r="F285" s="153">
        <f>2+1+1+1+1+1+3+1+1+1+1+1+1+1+1+1+1+10+1+3+1</f>
        <v>35</v>
      </c>
      <c r="G285" s="245">
        <f t="shared" si="14"/>
        <v>80</v>
      </c>
      <c r="H285" s="253" t="s">
        <v>1510</v>
      </c>
      <c r="I285" s="371"/>
      <c r="J285" s="173"/>
      <c r="K285" s="173"/>
      <c r="L285" s="173"/>
      <c r="M285" s="173"/>
      <c r="N285" s="173"/>
      <c r="O285" s="173"/>
      <c r="P285" s="173"/>
      <c r="Q285" s="173"/>
      <c r="R285" s="161"/>
    </row>
    <row r="286" spans="1:18" ht="16.5" thickTop="1" thickBot="1" x14ac:dyDescent="0.3">
      <c r="A286" s="357"/>
      <c r="B286" s="153" t="s">
        <v>18</v>
      </c>
      <c r="C286" s="153">
        <v>1440</v>
      </c>
      <c r="D286" s="153">
        <v>248</v>
      </c>
      <c r="E286" s="153">
        <v>137</v>
      </c>
      <c r="F286" s="153">
        <f>2+1+2+1+1+1+2+1+4+1+10+1+10+1+1+1+1+1</f>
        <v>42</v>
      </c>
      <c r="G286" s="245">
        <f t="shared" si="14"/>
        <v>95</v>
      </c>
      <c r="H286" s="253" t="s">
        <v>1511</v>
      </c>
      <c r="I286" s="371"/>
      <c r="J286" s="173"/>
      <c r="K286" s="173"/>
      <c r="L286" s="173"/>
      <c r="M286" s="173"/>
      <c r="N286" s="173"/>
      <c r="O286" s="173"/>
      <c r="P286" s="173"/>
      <c r="Q286" s="173"/>
      <c r="R286" s="161"/>
    </row>
    <row r="287" spans="1:18" ht="16.5" thickTop="1" thickBot="1" x14ac:dyDescent="0.3">
      <c r="A287" s="357"/>
      <c r="B287" s="153" t="s">
        <v>19</v>
      </c>
      <c r="C287" s="153">
        <v>1440</v>
      </c>
      <c r="D287" s="153">
        <v>336</v>
      </c>
      <c r="E287" s="153">
        <v>86</v>
      </c>
      <c r="F287" s="153">
        <f>1+1+1+1+1+1+1+1+1+1+3+1+1+1+1+1+1+3+1+15+1+1+10+1</f>
        <v>51</v>
      </c>
      <c r="G287" s="245">
        <f t="shared" si="14"/>
        <v>35</v>
      </c>
      <c r="H287" s="253" t="s">
        <v>1512</v>
      </c>
      <c r="I287" s="371"/>
      <c r="J287" s="173"/>
      <c r="K287" s="173"/>
      <c r="L287" s="173"/>
      <c r="M287" s="173"/>
      <c r="N287" s="173"/>
      <c r="O287" s="173"/>
      <c r="P287" s="173"/>
      <c r="Q287" s="173"/>
      <c r="R287" s="161"/>
    </row>
    <row r="288" spans="1:18" ht="16.5" thickTop="1" thickBot="1" x14ac:dyDescent="0.3">
      <c r="A288" s="357"/>
      <c r="B288" s="152" t="s">
        <v>0</v>
      </c>
      <c r="C288" s="153">
        <v>1440</v>
      </c>
      <c r="D288" s="153">
        <v>418</v>
      </c>
      <c r="E288" s="153">
        <v>143</v>
      </c>
      <c r="F288" s="153">
        <f>1+1+1+1+1+1+1+1+1+1+1+2+3+1+4+1+1+1+25+1+1+1+1+10+1+1+2+2</f>
        <v>69</v>
      </c>
      <c r="G288" s="245">
        <f t="shared" si="14"/>
        <v>74</v>
      </c>
      <c r="H288" s="253" t="s">
        <v>1513</v>
      </c>
      <c r="I288" s="371"/>
      <c r="J288" s="173"/>
      <c r="K288" s="173"/>
      <c r="L288" s="173"/>
      <c r="M288" s="173"/>
      <c r="N288" s="173"/>
      <c r="O288" s="173"/>
      <c r="P288" s="173"/>
      <c r="Q288" s="173"/>
      <c r="R288" s="161"/>
    </row>
    <row r="289" spans="1:18" ht="16.5" thickTop="1" thickBot="1" x14ac:dyDescent="0.3">
      <c r="A289" s="314"/>
      <c r="B289" s="152" t="s">
        <v>1</v>
      </c>
      <c r="C289" s="152">
        <v>1440</v>
      </c>
      <c r="D289" s="152">
        <v>665</v>
      </c>
      <c r="E289" s="152">
        <f>134+60</f>
        <v>194</v>
      </c>
      <c r="F289" s="152">
        <f>1+1+1+1+1+1+30+1+1+2+1+1+1+1+10+1+1+1+1+1+1+1+1+1+3+2</f>
        <v>68</v>
      </c>
      <c r="G289" s="245">
        <f t="shared" si="14"/>
        <v>126</v>
      </c>
      <c r="H289" s="253" t="s">
        <v>1514</v>
      </c>
      <c r="I289" s="371"/>
      <c r="J289" s="173"/>
      <c r="K289" s="173"/>
      <c r="L289" s="173"/>
      <c r="M289" s="173"/>
      <c r="N289" s="173"/>
      <c r="O289" s="173"/>
      <c r="P289" s="173"/>
      <c r="Q289" s="173"/>
      <c r="R289" s="161"/>
    </row>
    <row r="290" spans="1:18" ht="16.5" thickTop="1" thickBot="1" x14ac:dyDescent="0.3">
      <c r="A290" s="356"/>
      <c r="B290" s="154" t="s">
        <v>2</v>
      </c>
      <c r="C290" s="154">
        <v>288</v>
      </c>
      <c r="D290" s="154">
        <v>388</v>
      </c>
      <c r="E290" s="154">
        <v>145</v>
      </c>
      <c r="F290" s="154">
        <f>1+1+1+6+1+1+1+2+1+1+20+1+1+10+2+1+1+1+1+1+2+2</f>
        <v>59</v>
      </c>
      <c r="G290" s="245">
        <f t="shared" si="14"/>
        <v>86</v>
      </c>
      <c r="H290" s="253" t="s">
        <v>1515</v>
      </c>
      <c r="I290" s="371"/>
      <c r="J290" s="173"/>
      <c r="K290" s="173"/>
      <c r="L290" s="173"/>
      <c r="M290" s="173"/>
      <c r="N290" s="173"/>
      <c r="O290" s="173"/>
      <c r="P290" s="173"/>
      <c r="Q290" s="173"/>
      <c r="R290" s="161"/>
    </row>
    <row r="291" spans="1:18" ht="16.5" thickTop="1" thickBot="1" x14ac:dyDescent="0.3">
      <c r="A291" s="315"/>
      <c r="B291" s="126" t="s">
        <v>20</v>
      </c>
      <c r="C291" s="126">
        <v>144</v>
      </c>
      <c r="D291" s="126">
        <v>776</v>
      </c>
      <c r="E291" s="126">
        <v>40</v>
      </c>
      <c r="F291" s="126">
        <f>2+1+1+1+1+1+2+1+5+1+1</f>
        <v>17</v>
      </c>
      <c r="G291" s="246">
        <f t="shared" si="14"/>
        <v>23</v>
      </c>
      <c r="H291" s="254" t="s">
        <v>1516</v>
      </c>
      <c r="I291" s="371"/>
      <c r="J291" s="173"/>
      <c r="K291" s="173"/>
      <c r="L291" s="173"/>
      <c r="M291" s="173"/>
      <c r="N291" s="173"/>
      <c r="O291" s="173"/>
      <c r="P291" s="173"/>
      <c r="Q291" s="173"/>
      <c r="R291" s="161"/>
    </row>
    <row r="292" spans="1:18" ht="16.5" thickTop="1" thickBot="1" x14ac:dyDescent="0.3">
      <c r="A292" s="307" t="s">
        <v>430</v>
      </c>
      <c r="B292" s="151" t="s">
        <v>21</v>
      </c>
      <c r="C292" s="151">
        <v>1440</v>
      </c>
      <c r="D292" s="151">
        <v>187</v>
      </c>
      <c r="E292" s="151">
        <v>100</v>
      </c>
      <c r="F292" s="151">
        <f>1+1+1+1+1+3+1</f>
        <v>9</v>
      </c>
      <c r="G292" s="243">
        <f t="shared" si="14"/>
        <v>91</v>
      </c>
      <c r="H292" s="252" t="s">
        <v>1517</v>
      </c>
      <c r="I292" s="371" t="s">
        <v>359</v>
      </c>
      <c r="J292" s="173"/>
      <c r="K292" s="173"/>
      <c r="L292" s="173"/>
      <c r="M292" s="173"/>
      <c r="N292" s="173"/>
      <c r="O292" s="173"/>
      <c r="P292" s="173"/>
      <c r="Q292" s="173"/>
      <c r="R292" s="161"/>
    </row>
    <row r="293" spans="1:18" ht="16.5" thickTop="1" thickBot="1" x14ac:dyDescent="0.3">
      <c r="A293" s="308"/>
      <c r="B293" s="152" t="s">
        <v>22</v>
      </c>
      <c r="C293" s="152">
        <v>1440</v>
      </c>
      <c r="D293" s="152">
        <v>209</v>
      </c>
      <c r="E293" s="152">
        <v>80</v>
      </c>
      <c r="F293" s="152">
        <f>1+1+1+1+1</f>
        <v>5</v>
      </c>
      <c r="G293" s="245">
        <f t="shared" si="14"/>
        <v>75</v>
      </c>
      <c r="H293" s="253" t="s">
        <v>1518</v>
      </c>
      <c r="I293" s="371"/>
      <c r="J293" s="173"/>
      <c r="K293" s="173"/>
      <c r="L293" s="173"/>
      <c r="M293" s="173"/>
      <c r="N293" s="173"/>
      <c r="O293" s="173"/>
      <c r="P293" s="173"/>
      <c r="Q293" s="173"/>
      <c r="R293" s="161"/>
    </row>
    <row r="294" spans="1:18" ht="16.5" thickTop="1" thickBot="1" x14ac:dyDescent="0.3">
      <c r="A294" s="308"/>
      <c r="B294" s="152" t="s">
        <v>18</v>
      </c>
      <c r="C294" s="152">
        <v>1440</v>
      </c>
      <c r="D294" s="152">
        <v>248</v>
      </c>
      <c r="E294" s="152">
        <v>69</v>
      </c>
      <c r="F294" s="152">
        <f>1+1+1</f>
        <v>3</v>
      </c>
      <c r="G294" s="245">
        <f t="shared" si="14"/>
        <v>66</v>
      </c>
      <c r="H294" s="253" t="s">
        <v>1519</v>
      </c>
      <c r="I294" s="371"/>
      <c r="J294" s="173"/>
      <c r="K294" s="173"/>
      <c r="L294" s="173"/>
      <c r="M294" s="173"/>
      <c r="N294" s="173"/>
      <c r="O294" s="173"/>
      <c r="P294" s="173"/>
      <c r="Q294" s="173"/>
      <c r="R294" s="161"/>
    </row>
    <row r="295" spans="1:18" ht="16.5" thickTop="1" thickBot="1" x14ac:dyDescent="0.3">
      <c r="A295" s="308"/>
      <c r="B295" s="152" t="s">
        <v>19</v>
      </c>
      <c r="C295" s="152">
        <v>1440</v>
      </c>
      <c r="D295" s="152">
        <v>336</v>
      </c>
      <c r="E295" s="152">
        <v>30</v>
      </c>
      <c r="F295" s="152">
        <f>1+1+1+1+1+1+1</f>
        <v>7</v>
      </c>
      <c r="G295" s="245">
        <f t="shared" si="14"/>
        <v>23</v>
      </c>
      <c r="H295" s="253" t="s">
        <v>1520</v>
      </c>
      <c r="I295" s="371"/>
      <c r="J295" s="173"/>
      <c r="K295" s="173"/>
      <c r="L295" s="173"/>
      <c r="M295" s="173"/>
      <c r="N295" s="173"/>
      <c r="O295" s="173"/>
      <c r="P295" s="173"/>
      <c r="Q295" s="173"/>
      <c r="R295" s="161"/>
    </row>
    <row r="296" spans="1:18" ht="16.5" thickTop="1" thickBot="1" x14ac:dyDescent="0.3">
      <c r="A296" s="308"/>
      <c r="B296" s="152" t="s">
        <v>0</v>
      </c>
      <c r="C296" s="152">
        <v>1440</v>
      </c>
      <c r="D296" s="152">
        <v>417</v>
      </c>
      <c r="E296" s="152">
        <v>91</v>
      </c>
      <c r="F296" s="152">
        <f>1+1+1+1+1+1+1+1+1+1+2</f>
        <v>12</v>
      </c>
      <c r="G296" s="245">
        <f t="shared" si="14"/>
        <v>79</v>
      </c>
      <c r="H296" s="253" t="s">
        <v>1521</v>
      </c>
      <c r="I296" s="371"/>
      <c r="J296" s="173"/>
      <c r="K296" s="173"/>
      <c r="L296" s="173"/>
      <c r="M296" s="173"/>
      <c r="N296" s="173"/>
      <c r="O296" s="173"/>
      <c r="P296" s="173"/>
      <c r="Q296" s="173"/>
      <c r="R296" s="161"/>
    </row>
    <row r="297" spans="1:18" ht="16.5" thickTop="1" thickBot="1" x14ac:dyDescent="0.3">
      <c r="A297" s="308"/>
      <c r="B297" s="152" t="s">
        <v>1</v>
      </c>
      <c r="C297" s="152">
        <v>1440</v>
      </c>
      <c r="D297" s="152">
        <v>664</v>
      </c>
      <c r="E297" s="152">
        <v>128</v>
      </c>
      <c r="F297" s="152">
        <f>1+1+1+1+1+5+1+1+1+1+1+2</f>
        <v>17</v>
      </c>
      <c r="G297" s="245">
        <f t="shared" si="14"/>
        <v>111</v>
      </c>
      <c r="H297" s="253" t="s">
        <v>1522</v>
      </c>
      <c r="I297" s="371"/>
      <c r="J297" s="173"/>
      <c r="K297" s="173"/>
      <c r="L297" s="173"/>
      <c r="M297" s="173"/>
      <c r="N297" s="173"/>
      <c r="O297" s="173"/>
      <c r="P297" s="173"/>
      <c r="Q297" s="173"/>
      <c r="R297" s="161"/>
    </row>
    <row r="298" spans="1:18" ht="16.5" thickTop="1" thickBot="1" x14ac:dyDescent="0.3">
      <c r="A298" s="309"/>
      <c r="B298" s="126" t="s">
        <v>5</v>
      </c>
      <c r="C298" s="126">
        <v>144</v>
      </c>
      <c r="D298" s="126">
        <v>911</v>
      </c>
      <c r="E298" s="126">
        <v>100</v>
      </c>
      <c r="F298" s="126">
        <f>1+1+2+1+10+1+1+1+1</f>
        <v>19</v>
      </c>
      <c r="G298" s="246">
        <f t="shared" si="14"/>
        <v>81</v>
      </c>
      <c r="H298" s="254" t="s">
        <v>1523</v>
      </c>
      <c r="I298" s="371"/>
      <c r="J298" s="173"/>
      <c r="K298" s="173"/>
      <c r="L298" s="173"/>
      <c r="M298" s="173"/>
      <c r="N298" s="173"/>
      <c r="O298" s="173"/>
      <c r="P298" s="173"/>
      <c r="Q298" s="173"/>
      <c r="R298" s="161"/>
    </row>
    <row r="299" spans="1:18" ht="16.5" thickTop="1" thickBot="1" x14ac:dyDescent="0.3">
      <c r="A299" s="307" t="s">
        <v>1259</v>
      </c>
      <c r="B299" s="151" t="s">
        <v>90</v>
      </c>
      <c r="C299" s="151">
        <v>1440</v>
      </c>
      <c r="D299" s="151">
        <v>160</v>
      </c>
      <c r="E299" s="151">
        <v>98</v>
      </c>
      <c r="F299" s="151">
        <f>1+1+1+1+10+1+1</f>
        <v>16</v>
      </c>
      <c r="G299" s="243">
        <f t="shared" si="14"/>
        <v>82</v>
      </c>
      <c r="H299" s="252" t="s">
        <v>1260</v>
      </c>
      <c r="I299" s="371" t="s">
        <v>361</v>
      </c>
      <c r="J299" s="173"/>
      <c r="K299" s="173"/>
      <c r="L299" s="173"/>
      <c r="M299" s="173"/>
      <c r="N299" s="173"/>
      <c r="O299" s="173"/>
      <c r="P299" s="173"/>
      <c r="Q299" s="173"/>
      <c r="R299" s="161"/>
    </row>
    <row r="300" spans="1:18" ht="16.5" thickTop="1" thickBot="1" x14ac:dyDescent="0.3">
      <c r="A300" s="308"/>
      <c r="B300" s="152" t="s">
        <v>89</v>
      </c>
      <c r="C300" s="152">
        <v>1440</v>
      </c>
      <c r="D300" s="152">
        <v>160</v>
      </c>
      <c r="E300" s="152">
        <v>81</v>
      </c>
      <c r="F300" s="152">
        <f>1+1+1+1+1</f>
        <v>5</v>
      </c>
      <c r="G300" s="245">
        <f t="shared" si="14"/>
        <v>76</v>
      </c>
      <c r="H300" s="253" t="s">
        <v>1524</v>
      </c>
      <c r="I300" s="371"/>
      <c r="J300" s="173"/>
      <c r="K300" s="173"/>
      <c r="L300" s="173"/>
      <c r="M300" s="173"/>
      <c r="N300" s="173"/>
      <c r="O300" s="173"/>
      <c r="P300" s="173"/>
      <c r="Q300" s="173"/>
      <c r="R300" s="161"/>
    </row>
    <row r="301" spans="1:18" ht="16.5" thickTop="1" thickBot="1" x14ac:dyDescent="0.3">
      <c r="A301" s="308"/>
      <c r="B301" s="152" t="s">
        <v>21</v>
      </c>
      <c r="C301" s="152">
        <v>1440</v>
      </c>
      <c r="D301" s="152">
        <v>187</v>
      </c>
      <c r="E301" s="152">
        <v>97</v>
      </c>
      <c r="F301" s="152">
        <f>1+1+1</f>
        <v>3</v>
      </c>
      <c r="G301" s="245">
        <f t="shared" si="14"/>
        <v>94</v>
      </c>
      <c r="H301" s="253" t="s">
        <v>1525</v>
      </c>
      <c r="I301" s="371"/>
      <c r="J301" s="173"/>
      <c r="K301" s="173"/>
      <c r="L301" s="173"/>
      <c r="M301" s="173"/>
      <c r="N301" s="173"/>
      <c r="O301" s="173"/>
      <c r="P301" s="173"/>
      <c r="Q301" s="173"/>
      <c r="R301" s="161"/>
    </row>
    <row r="302" spans="1:18" ht="16.5" thickTop="1" thickBot="1" x14ac:dyDescent="0.3">
      <c r="A302" s="308"/>
      <c r="B302" s="152" t="s">
        <v>22</v>
      </c>
      <c r="C302" s="152">
        <v>1440</v>
      </c>
      <c r="D302" s="152">
        <v>209</v>
      </c>
      <c r="E302" s="152">
        <f>75+50</f>
        <v>125</v>
      </c>
      <c r="F302" s="152">
        <f>1+1+1+1</f>
        <v>4</v>
      </c>
      <c r="G302" s="245">
        <f t="shared" si="14"/>
        <v>121</v>
      </c>
      <c r="H302" s="253" t="s">
        <v>1526</v>
      </c>
      <c r="I302" s="371"/>
      <c r="J302" s="173"/>
      <c r="K302" s="173"/>
      <c r="L302" s="173"/>
      <c r="M302" s="173"/>
      <c r="N302" s="173"/>
      <c r="O302" s="173"/>
      <c r="P302" s="173"/>
      <c r="Q302" s="173"/>
      <c r="R302" s="161"/>
    </row>
    <row r="303" spans="1:18" ht="16.5" thickTop="1" thickBot="1" x14ac:dyDescent="0.3">
      <c r="A303" s="308"/>
      <c r="B303" s="152" t="s">
        <v>18</v>
      </c>
      <c r="C303" s="152">
        <v>1440</v>
      </c>
      <c r="D303" s="152">
        <v>248</v>
      </c>
      <c r="E303" s="152">
        <v>97</v>
      </c>
      <c r="F303" s="152">
        <f>1+2+1+1+1+1+1</f>
        <v>8</v>
      </c>
      <c r="G303" s="245">
        <f t="shared" si="14"/>
        <v>89</v>
      </c>
      <c r="H303" s="253" t="s">
        <v>1527</v>
      </c>
      <c r="I303" s="371"/>
      <c r="J303" s="173"/>
      <c r="K303" s="173"/>
      <c r="L303" s="173"/>
      <c r="M303" s="173"/>
      <c r="N303" s="173"/>
      <c r="O303" s="173"/>
      <c r="P303" s="173"/>
      <c r="Q303" s="173"/>
      <c r="R303" s="161"/>
    </row>
    <row r="304" spans="1:18" ht="16.5" thickTop="1" thickBot="1" x14ac:dyDescent="0.3">
      <c r="A304" s="308"/>
      <c r="B304" s="152" t="s">
        <v>19</v>
      </c>
      <c r="C304" s="152">
        <v>1440</v>
      </c>
      <c r="D304" s="152">
        <v>336</v>
      </c>
      <c r="E304" s="152">
        <f>44+30</f>
        <v>74</v>
      </c>
      <c r="F304" s="152">
        <f>2+1+1+1+1+1+1+1+1</f>
        <v>10</v>
      </c>
      <c r="G304" s="245">
        <f t="shared" si="14"/>
        <v>64</v>
      </c>
      <c r="H304" s="253" t="s">
        <v>1528</v>
      </c>
      <c r="I304" s="371"/>
      <c r="J304" s="173"/>
      <c r="K304" s="173"/>
      <c r="L304" s="173"/>
      <c r="M304" s="173"/>
      <c r="N304" s="173"/>
      <c r="O304" s="173"/>
      <c r="P304" s="173"/>
      <c r="Q304" s="173"/>
      <c r="R304" s="161"/>
    </row>
    <row r="305" spans="1:18" ht="16.5" thickTop="1" thickBot="1" x14ac:dyDescent="0.3">
      <c r="A305" s="308"/>
      <c r="B305" s="152" t="s">
        <v>0</v>
      </c>
      <c r="C305" s="152">
        <v>1440</v>
      </c>
      <c r="D305" s="152">
        <v>418</v>
      </c>
      <c r="E305" s="152">
        <v>93</v>
      </c>
      <c r="F305" s="152">
        <f>1+1+1+2+1+2+1+1+1+1+1+1+1+1+1+1+1+1+1+1+1+1+1</f>
        <v>25</v>
      </c>
      <c r="G305" s="245">
        <f t="shared" si="14"/>
        <v>68</v>
      </c>
      <c r="H305" s="253" t="s">
        <v>1529</v>
      </c>
      <c r="I305" s="371"/>
      <c r="J305" s="173"/>
      <c r="K305" s="173"/>
      <c r="L305" s="173"/>
      <c r="M305" s="173"/>
      <c r="N305" s="173"/>
      <c r="O305" s="173"/>
      <c r="P305" s="173"/>
      <c r="Q305" s="173"/>
      <c r="R305" s="161"/>
    </row>
    <row r="306" spans="1:18" ht="16.5" thickTop="1" thickBot="1" x14ac:dyDescent="0.3">
      <c r="A306" s="308"/>
      <c r="B306" s="152" t="s">
        <v>1</v>
      </c>
      <c r="C306" s="152">
        <v>1440</v>
      </c>
      <c r="D306" s="152">
        <v>665</v>
      </c>
      <c r="E306" s="152">
        <v>136</v>
      </c>
      <c r="F306" s="152">
        <f>1+1+2+1+1+1+1+1+1+1+1+1+1+1+1</f>
        <v>16</v>
      </c>
      <c r="G306" s="245">
        <f t="shared" si="14"/>
        <v>120</v>
      </c>
      <c r="H306" s="253" t="s">
        <v>1530</v>
      </c>
      <c r="I306" s="371"/>
      <c r="J306" s="173"/>
      <c r="K306" s="173"/>
      <c r="L306" s="173"/>
      <c r="M306" s="173"/>
      <c r="N306" s="173"/>
      <c r="O306" s="173"/>
      <c r="P306" s="173"/>
      <c r="Q306" s="173"/>
      <c r="R306" s="161"/>
    </row>
    <row r="307" spans="1:18" ht="16.5" thickTop="1" thickBot="1" x14ac:dyDescent="0.3">
      <c r="A307" s="308"/>
      <c r="B307" s="154" t="s">
        <v>2</v>
      </c>
      <c r="C307" s="154">
        <v>288</v>
      </c>
      <c r="D307" s="154">
        <v>388</v>
      </c>
      <c r="E307" s="154">
        <v>50</v>
      </c>
      <c r="F307" s="154">
        <f>2+1+1+1+1+2+1+1+1+1</f>
        <v>12</v>
      </c>
      <c r="G307" s="247">
        <f t="shared" si="14"/>
        <v>38</v>
      </c>
      <c r="H307" s="253" t="s">
        <v>1531</v>
      </c>
      <c r="I307" s="371"/>
      <c r="J307" s="173"/>
      <c r="K307" s="173"/>
      <c r="L307" s="173"/>
      <c r="M307" s="173"/>
      <c r="N307" s="173"/>
      <c r="O307" s="173"/>
      <c r="P307" s="173"/>
      <c r="Q307" s="173"/>
      <c r="R307" s="161"/>
    </row>
    <row r="308" spans="1:18" ht="16.5" thickTop="1" thickBot="1" x14ac:dyDescent="0.3">
      <c r="A308" s="309"/>
      <c r="B308" s="126" t="s">
        <v>5</v>
      </c>
      <c r="C308" s="126">
        <v>144</v>
      </c>
      <c r="D308" s="126">
        <v>911</v>
      </c>
      <c r="E308" s="126">
        <v>73</v>
      </c>
      <c r="F308" s="126">
        <f>1+1+2+1+1+1+1+1</f>
        <v>9</v>
      </c>
      <c r="G308" s="246">
        <f t="shared" si="14"/>
        <v>64</v>
      </c>
      <c r="H308" s="254" t="s">
        <v>1532</v>
      </c>
      <c r="I308" s="371"/>
      <c r="J308" s="173"/>
      <c r="K308" s="173"/>
      <c r="L308" s="173"/>
      <c r="M308" s="173"/>
      <c r="N308" s="173"/>
      <c r="O308" s="173"/>
      <c r="P308" s="173"/>
      <c r="Q308" s="173"/>
      <c r="R308" s="161"/>
    </row>
    <row r="309" spans="1:18" ht="16.5" thickTop="1" thickBot="1" x14ac:dyDescent="0.3">
      <c r="A309" s="307" t="s">
        <v>431</v>
      </c>
      <c r="B309" s="151" t="s">
        <v>90</v>
      </c>
      <c r="C309" s="151">
        <v>1440</v>
      </c>
      <c r="D309" s="151">
        <v>160</v>
      </c>
      <c r="E309" s="151">
        <v>97</v>
      </c>
      <c r="F309" s="151">
        <f>1+1+1+2+1+3</f>
        <v>9</v>
      </c>
      <c r="G309" s="243">
        <f t="shared" si="14"/>
        <v>88</v>
      </c>
      <c r="H309" s="252" t="s">
        <v>1221</v>
      </c>
      <c r="I309" s="371" t="s">
        <v>362</v>
      </c>
      <c r="J309" s="173"/>
      <c r="K309" s="173"/>
      <c r="L309" s="173"/>
      <c r="M309" s="173"/>
      <c r="N309" s="173"/>
      <c r="O309" s="173"/>
      <c r="P309" s="173"/>
      <c r="Q309" s="173"/>
      <c r="R309" s="161"/>
    </row>
    <row r="310" spans="1:18" ht="16.5" thickTop="1" thickBot="1" x14ac:dyDescent="0.3">
      <c r="A310" s="308"/>
      <c r="B310" s="152" t="s">
        <v>89</v>
      </c>
      <c r="C310" s="152">
        <v>1440</v>
      </c>
      <c r="D310" s="152">
        <v>160</v>
      </c>
      <c r="E310" s="152">
        <v>98</v>
      </c>
      <c r="F310" s="152"/>
      <c r="G310" s="245">
        <f t="shared" si="14"/>
        <v>98</v>
      </c>
      <c r="H310" s="253" t="s">
        <v>1533</v>
      </c>
      <c r="I310" s="371"/>
      <c r="J310" s="173"/>
      <c r="K310" s="173"/>
      <c r="L310" s="173"/>
      <c r="M310" s="173"/>
      <c r="N310" s="173"/>
      <c r="O310" s="173"/>
      <c r="P310" s="173"/>
      <c r="Q310" s="173"/>
      <c r="R310" s="161"/>
    </row>
    <row r="311" spans="1:18" ht="16.5" thickTop="1" thickBot="1" x14ac:dyDescent="0.3">
      <c r="A311" s="308"/>
      <c r="B311" s="153" t="s">
        <v>21</v>
      </c>
      <c r="C311" s="153">
        <v>1440</v>
      </c>
      <c r="D311" s="153">
        <v>187</v>
      </c>
      <c r="E311" s="153">
        <v>98</v>
      </c>
      <c r="F311" s="153">
        <f>1+1+1+1+1+1+1+1+1+1+10</f>
        <v>20</v>
      </c>
      <c r="G311" s="244">
        <f t="shared" si="14"/>
        <v>78</v>
      </c>
      <c r="H311" s="253" t="s">
        <v>1534</v>
      </c>
      <c r="I311" s="371"/>
      <c r="J311" s="173"/>
      <c r="K311" s="173"/>
      <c r="L311" s="173"/>
      <c r="M311" s="173"/>
      <c r="N311" s="173"/>
      <c r="O311" s="173"/>
      <c r="P311" s="173"/>
      <c r="Q311" s="173"/>
      <c r="R311" s="161"/>
    </row>
    <row r="312" spans="1:18" ht="16.5" thickTop="1" thickBot="1" x14ac:dyDescent="0.3">
      <c r="A312" s="308"/>
      <c r="B312" s="152" t="s">
        <v>22</v>
      </c>
      <c r="C312" s="152">
        <v>1440</v>
      </c>
      <c r="D312" s="152">
        <v>209</v>
      </c>
      <c r="E312" s="152">
        <v>80</v>
      </c>
      <c r="F312" s="152">
        <f>1+3+1+1+2+1+1+1+1+1</f>
        <v>13</v>
      </c>
      <c r="G312" s="245">
        <f t="shared" si="14"/>
        <v>67</v>
      </c>
      <c r="H312" s="253" t="s">
        <v>1535</v>
      </c>
      <c r="I312" s="371"/>
      <c r="J312" s="173"/>
      <c r="K312" s="173"/>
      <c r="L312" s="173"/>
      <c r="M312" s="173"/>
      <c r="N312" s="173"/>
      <c r="O312" s="173"/>
      <c r="P312" s="173"/>
      <c r="Q312" s="173"/>
      <c r="R312" s="161"/>
    </row>
    <row r="313" spans="1:18" ht="16.5" thickTop="1" thickBot="1" x14ac:dyDescent="0.3">
      <c r="A313" s="308"/>
      <c r="B313" s="152" t="s">
        <v>18</v>
      </c>
      <c r="C313" s="152">
        <v>1440</v>
      </c>
      <c r="D313" s="152">
        <v>248</v>
      </c>
      <c r="E313" s="152">
        <v>70</v>
      </c>
      <c r="F313" s="152">
        <f>1+1+1+1+2+1+1+1+1</f>
        <v>10</v>
      </c>
      <c r="G313" s="245">
        <f t="shared" si="14"/>
        <v>60</v>
      </c>
      <c r="H313" s="253" t="s">
        <v>1536</v>
      </c>
      <c r="I313" s="371"/>
      <c r="J313" s="173"/>
      <c r="K313" s="173"/>
      <c r="L313" s="173"/>
      <c r="M313" s="173"/>
      <c r="N313" s="173"/>
      <c r="O313" s="173"/>
      <c r="P313" s="173"/>
      <c r="Q313" s="173"/>
      <c r="R313" s="161"/>
    </row>
    <row r="314" spans="1:18" ht="16.5" thickTop="1" thickBot="1" x14ac:dyDescent="0.3">
      <c r="A314" s="308"/>
      <c r="B314" s="152" t="s">
        <v>19</v>
      </c>
      <c r="C314" s="152">
        <v>1440</v>
      </c>
      <c r="D314" s="152">
        <v>336</v>
      </c>
      <c r="E314" s="152">
        <v>30</v>
      </c>
      <c r="F314" s="152">
        <f>1+1+1+1+1+1+1</f>
        <v>7</v>
      </c>
      <c r="G314" s="245">
        <f t="shared" si="14"/>
        <v>23</v>
      </c>
      <c r="H314" s="253" t="s">
        <v>1537</v>
      </c>
      <c r="I314" s="371"/>
      <c r="J314" s="173"/>
      <c r="K314" s="173"/>
      <c r="L314" s="173"/>
      <c r="M314" s="173"/>
      <c r="N314" s="173"/>
      <c r="O314" s="173"/>
      <c r="P314" s="173"/>
      <c r="Q314" s="173"/>
      <c r="R314" s="161"/>
    </row>
    <row r="315" spans="1:18" ht="16.5" thickTop="1" thickBot="1" x14ac:dyDescent="0.3">
      <c r="A315" s="308"/>
      <c r="B315" s="152" t="s">
        <v>0</v>
      </c>
      <c r="C315" s="152">
        <v>1440</v>
      </c>
      <c r="D315" s="152">
        <v>418</v>
      </c>
      <c r="E315" s="152">
        <v>84</v>
      </c>
      <c r="F315" s="152">
        <f>2+1</f>
        <v>3</v>
      </c>
      <c r="G315" s="245">
        <f t="shared" si="14"/>
        <v>81</v>
      </c>
      <c r="H315" s="253" t="s">
        <v>1538</v>
      </c>
      <c r="I315" s="371"/>
      <c r="J315" s="173"/>
      <c r="K315" s="173"/>
      <c r="L315" s="173"/>
      <c r="M315" s="173"/>
      <c r="N315" s="173"/>
      <c r="O315" s="173"/>
      <c r="P315" s="173"/>
      <c r="Q315" s="173"/>
      <c r="R315" s="161"/>
    </row>
    <row r="316" spans="1:18" ht="16.5" thickTop="1" thickBot="1" x14ac:dyDescent="0.3">
      <c r="A316" s="308"/>
      <c r="B316" s="152" t="s">
        <v>1</v>
      </c>
      <c r="C316" s="152">
        <v>1440</v>
      </c>
      <c r="D316" s="152">
        <v>665</v>
      </c>
      <c r="E316" s="152">
        <v>134</v>
      </c>
      <c r="F316" s="152">
        <f>1+1</f>
        <v>2</v>
      </c>
      <c r="G316" s="245">
        <f t="shared" si="14"/>
        <v>132</v>
      </c>
      <c r="H316" s="253" t="s">
        <v>1539</v>
      </c>
      <c r="I316" s="371"/>
      <c r="J316" s="173"/>
      <c r="K316" s="173"/>
      <c r="L316" s="173"/>
      <c r="M316" s="173"/>
      <c r="N316" s="173"/>
      <c r="O316" s="173"/>
      <c r="P316" s="173"/>
      <c r="Q316" s="173"/>
      <c r="R316" s="161"/>
    </row>
    <row r="317" spans="1:18" ht="16.5" thickTop="1" thickBot="1" x14ac:dyDescent="0.3">
      <c r="A317" s="308"/>
      <c r="B317" s="152" t="s">
        <v>2</v>
      </c>
      <c r="C317" s="152">
        <v>288</v>
      </c>
      <c r="D317" s="152">
        <v>388</v>
      </c>
      <c r="E317" s="152">
        <v>100</v>
      </c>
      <c r="F317" s="152">
        <v>1</v>
      </c>
      <c r="G317" s="245">
        <f t="shared" si="14"/>
        <v>99</v>
      </c>
      <c r="H317" s="253" t="s">
        <v>1540</v>
      </c>
      <c r="I317" s="371"/>
      <c r="J317" s="173"/>
      <c r="K317" s="173"/>
      <c r="L317" s="173"/>
      <c r="M317" s="173"/>
      <c r="N317" s="173"/>
      <c r="O317" s="173"/>
      <c r="P317" s="173"/>
      <c r="Q317" s="173"/>
      <c r="R317" s="161"/>
    </row>
    <row r="318" spans="1:18" ht="16.5" thickTop="1" thickBot="1" x14ac:dyDescent="0.3">
      <c r="A318" s="309"/>
      <c r="B318" s="126" t="s">
        <v>5</v>
      </c>
      <c r="C318" s="126">
        <v>144</v>
      </c>
      <c r="D318" s="126">
        <v>983</v>
      </c>
      <c r="E318" s="126">
        <v>75</v>
      </c>
      <c r="F318" s="126">
        <f>1+1+1+1+1+1</f>
        <v>6</v>
      </c>
      <c r="G318" s="246">
        <f t="shared" si="14"/>
        <v>69</v>
      </c>
      <c r="H318" s="254" t="s">
        <v>1541</v>
      </c>
      <c r="I318" s="371"/>
      <c r="J318" s="173"/>
      <c r="K318" s="173"/>
      <c r="L318" s="173"/>
      <c r="M318" s="173"/>
      <c r="N318" s="173"/>
      <c r="O318" s="173"/>
      <c r="P318" s="173"/>
      <c r="Q318" s="173"/>
      <c r="R318" s="161"/>
    </row>
    <row r="319" spans="1:18" ht="16.5" thickTop="1" thickBot="1" x14ac:dyDescent="0.3">
      <c r="A319" s="310" t="s">
        <v>26</v>
      </c>
      <c r="B319" s="151" t="s">
        <v>90</v>
      </c>
      <c r="C319" s="151">
        <v>1440</v>
      </c>
      <c r="D319" s="151">
        <v>270</v>
      </c>
      <c r="E319" s="151">
        <v>90</v>
      </c>
      <c r="F319" s="151">
        <v>1</v>
      </c>
      <c r="G319" s="243">
        <f t="shared" si="14"/>
        <v>89</v>
      </c>
      <c r="H319" s="252" t="s">
        <v>1220</v>
      </c>
      <c r="I319" s="371" t="s">
        <v>364</v>
      </c>
      <c r="J319" s="173"/>
      <c r="K319" s="173"/>
      <c r="L319" s="173"/>
      <c r="M319" s="173"/>
      <c r="N319" s="173"/>
      <c r="O319" s="173"/>
      <c r="P319" s="173"/>
      <c r="Q319" s="173"/>
      <c r="R319" s="161"/>
    </row>
    <row r="320" spans="1:18" ht="16.5" thickTop="1" thickBot="1" x14ac:dyDescent="0.3">
      <c r="A320" s="311"/>
      <c r="B320" s="152" t="s">
        <v>89</v>
      </c>
      <c r="C320" s="152">
        <v>1440</v>
      </c>
      <c r="D320" s="152">
        <v>270</v>
      </c>
      <c r="E320" s="152">
        <v>88</v>
      </c>
      <c r="F320" s="152"/>
      <c r="G320" s="245">
        <f t="shared" si="14"/>
        <v>88</v>
      </c>
      <c r="H320" s="253" t="s">
        <v>1542</v>
      </c>
      <c r="I320" s="371"/>
      <c r="J320" s="173"/>
      <c r="K320" s="173"/>
      <c r="L320" s="173"/>
      <c r="M320" s="173"/>
      <c r="N320" s="173"/>
      <c r="O320" s="173"/>
      <c r="P320" s="173"/>
      <c r="Q320" s="173"/>
      <c r="R320" s="161"/>
    </row>
    <row r="321" spans="1:18" ht="16.5" thickTop="1" thickBot="1" x14ac:dyDescent="0.3">
      <c r="A321" s="311"/>
      <c r="B321" s="152" t="s">
        <v>21</v>
      </c>
      <c r="C321" s="152">
        <v>1440</v>
      </c>
      <c r="D321" s="152">
        <v>293</v>
      </c>
      <c r="E321" s="152">
        <v>99</v>
      </c>
      <c r="F321" s="152">
        <v>1</v>
      </c>
      <c r="G321" s="245">
        <f t="shared" si="14"/>
        <v>98</v>
      </c>
      <c r="H321" s="253" t="s">
        <v>1543</v>
      </c>
      <c r="I321" s="371"/>
      <c r="J321" s="173"/>
      <c r="K321" s="173"/>
      <c r="L321" s="173"/>
      <c r="M321" s="173"/>
      <c r="N321" s="173"/>
      <c r="O321" s="173"/>
      <c r="P321" s="173"/>
      <c r="Q321" s="173"/>
      <c r="R321" s="161"/>
    </row>
    <row r="322" spans="1:18" ht="16.5" thickTop="1" thickBot="1" x14ac:dyDescent="0.3">
      <c r="A322" s="311"/>
      <c r="B322" s="152" t="s">
        <v>22</v>
      </c>
      <c r="C322" s="152">
        <v>1440</v>
      </c>
      <c r="D322" s="152">
        <v>403</v>
      </c>
      <c r="E322" s="152">
        <v>79</v>
      </c>
      <c r="F322" s="152">
        <v>1</v>
      </c>
      <c r="G322" s="245">
        <f t="shared" si="14"/>
        <v>78</v>
      </c>
      <c r="H322" s="253" t="s">
        <v>1544</v>
      </c>
      <c r="I322" s="371"/>
      <c r="J322" s="173"/>
      <c r="K322" s="173"/>
      <c r="L322" s="173"/>
      <c r="M322" s="173"/>
      <c r="N322" s="173"/>
      <c r="O322" s="173"/>
      <c r="P322" s="173"/>
      <c r="Q322" s="173"/>
      <c r="R322" s="161"/>
    </row>
    <row r="323" spans="1:18" ht="16.5" thickTop="1" thickBot="1" x14ac:dyDescent="0.3">
      <c r="A323" s="311"/>
      <c r="B323" s="152" t="s">
        <v>18</v>
      </c>
      <c r="C323" s="152">
        <v>1440</v>
      </c>
      <c r="D323" s="152">
        <v>468</v>
      </c>
      <c r="E323" s="152">
        <v>99</v>
      </c>
      <c r="F323" s="152">
        <v>1</v>
      </c>
      <c r="G323" s="245">
        <f t="shared" si="14"/>
        <v>98</v>
      </c>
      <c r="H323" s="253" t="s">
        <v>1545</v>
      </c>
      <c r="I323" s="371"/>
      <c r="J323" s="173"/>
      <c r="K323" s="173"/>
      <c r="L323" s="173"/>
      <c r="M323" s="173"/>
      <c r="N323" s="173"/>
      <c r="O323" s="173"/>
      <c r="P323" s="173"/>
      <c r="Q323" s="173"/>
      <c r="R323" s="161"/>
    </row>
    <row r="324" spans="1:18" ht="16.5" thickTop="1" thickBot="1" x14ac:dyDescent="0.3">
      <c r="A324" s="311"/>
      <c r="B324" s="152" t="s">
        <v>19</v>
      </c>
      <c r="C324" s="152">
        <v>1440</v>
      </c>
      <c r="D324" s="152">
        <v>623</v>
      </c>
      <c r="E324" s="152">
        <v>29</v>
      </c>
      <c r="F324" s="152">
        <v>1</v>
      </c>
      <c r="G324" s="245">
        <f t="shared" si="14"/>
        <v>28</v>
      </c>
      <c r="H324" s="253" t="s">
        <v>1546</v>
      </c>
      <c r="I324" s="371"/>
      <c r="J324" s="173"/>
      <c r="K324" s="173"/>
      <c r="L324" s="173"/>
      <c r="M324" s="173"/>
      <c r="N324" s="173"/>
      <c r="O324" s="173"/>
      <c r="P324" s="173"/>
      <c r="Q324" s="173"/>
      <c r="R324" s="161"/>
    </row>
    <row r="325" spans="1:18" ht="16.5" thickTop="1" thickBot="1" x14ac:dyDescent="0.3">
      <c r="A325" s="311"/>
      <c r="B325" s="152" t="s">
        <v>0</v>
      </c>
      <c r="C325" s="152">
        <v>1440</v>
      </c>
      <c r="D325" s="152">
        <v>831</v>
      </c>
      <c r="E325" s="152">
        <v>98</v>
      </c>
      <c r="F325" s="152">
        <v>1</v>
      </c>
      <c r="G325" s="245">
        <f t="shared" si="14"/>
        <v>97</v>
      </c>
      <c r="H325" s="253" t="s">
        <v>1547</v>
      </c>
      <c r="I325" s="371"/>
      <c r="J325" s="173"/>
      <c r="K325" s="173"/>
      <c r="L325" s="173"/>
      <c r="M325" s="173"/>
      <c r="N325" s="173"/>
      <c r="O325" s="173"/>
      <c r="P325" s="173"/>
      <c r="Q325" s="173"/>
      <c r="R325" s="161"/>
    </row>
    <row r="326" spans="1:18" ht="16.5" thickTop="1" thickBot="1" x14ac:dyDescent="0.3">
      <c r="A326" s="311"/>
      <c r="B326" s="152" t="s">
        <v>1</v>
      </c>
      <c r="C326" s="152">
        <v>1440</v>
      </c>
      <c r="D326" s="152">
        <v>1603</v>
      </c>
      <c r="E326" s="83">
        <v>149</v>
      </c>
      <c r="F326" s="152">
        <v>1</v>
      </c>
      <c r="G326" s="245">
        <f t="shared" si="14"/>
        <v>148</v>
      </c>
      <c r="H326" s="253" t="s">
        <v>1548</v>
      </c>
      <c r="I326" s="371"/>
      <c r="J326" s="173"/>
      <c r="K326" s="173"/>
      <c r="L326" s="173"/>
      <c r="M326" s="173"/>
      <c r="N326" s="173"/>
      <c r="O326" s="173"/>
      <c r="P326" s="173"/>
      <c r="Q326" s="173"/>
      <c r="R326" s="161"/>
    </row>
    <row r="327" spans="1:18" ht="16.5" thickTop="1" thickBot="1" x14ac:dyDescent="0.3">
      <c r="A327" s="320"/>
      <c r="B327" s="154" t="s">
        <v>2</v>
      </c>
      <c r="C327" s="154">
        <v>288</v>
      </c>
      <c r="D327" s="154">
        <v>802</v>
      </c>
      <c r="E327" s="127">
        <v>100</v>
      </c>
      <c r="F327" s="154"/>
      <c r="G327" s="245">
        <f t="shared" si="14"/>
        <v>100</v>
      </c>
      <c r="H327" s="253" t="s">
        <v>1549</v>
      </c>
      <c r="I327" s="371"/>
      <c r="J327" s="173"/>
      <c r="K327" s="173"/>
      <c r="L327" s="173"/>
      <c r="M327" s="173"/>
      <c r="N327" s="173"/>
      <c r="O327" s="173"/>
      <c r="P327" s="173"/>
      <c r="Q327" s="173"/>
      <c r="R327" s="161"/>
    </row>
    <row r="328" spans="1:18" ht="16.5" thickTop="1" thickBot="1" x14ac:dyDescent="0.3">
      <c r="A328" s="312"/>
      <c r="B328" s="126" t="s">
        <v>5</v>
      </c>
      <c r="C328" s="126">
        <v>144</v>
      </c>
      <c r="D328" s="126">
        <v>1601</v>
      </c>
      <c r="E328" s="126">
        <v>49</v>
      </c>
      <c r="F328" s="126"/>
      <c r="G328" s="246">
        <f t="shared" si="14"/>
        <v>49</v>
      </c>
      <c r="H328" s="254" t="s">
        <v>1550</v>
      </c>
      <c r="I328" s="371"/>
      <c r="J328" s="173"/>
      <c r="K328" s="173"/>
      <c r="L328" s="173"/>
      <c r="M328" s="173"/>
      <c r="N328" s="173"/>
      <c r="O328" s="173"/>
      <c r="P328" s="173"/>
      <c r="Q328" s="173"/>
      <c r="R328" s="161"/>
    </row>
    <row r="329" spans="1:18" ht="16.5" thickTop="1" thickBot="1" x14ac:dyDescent="0.3">
      <c r="A329" s="313" t="s">
        <v>399</v>
      </c>
      <c r="B329" s="151" t="s">
        <v>89</v>
      </c>
      <c r="C329" s="112">
        <v>1440</v>
      </c>
      <c r="D329" s="112">
        <v>403</v>
      </c>
      <c r="E329" s="112">
        <v>20</v>
      </c>
      <c r="F329" s="151">
        <v>1</v>
      </c>
      <c r="G329" s="243">
        <f t="shared" si="14"/>
        <v>19</v>
      </c>
      <c r="H329" s="252" t="s">
        <v>1551</v>
      </c>
      <c r="I329" s="371" t="s">
        <v>365</v>
      </c>
      <c r="J329" s="173"/>
      <c r="K329" s="173"/>
      <c r="L329" s="173"/>
      <c r="M329" s="173"/>
      <c r="N329" s="173"/>
      <c r="O329" s="173"/>
      <c r="P329" s="173"/>
      <c r="Q329" s="173"/>
      <c r="R329" s="161"/>
    </row>
    <row r="330" spans="1:18" ht="16.5" thickTop="1" thickBot="1" x14ac:dyDescent="0.3">
      <c r="A330" s="314"/>
      <c r="B330" s="152" t="s">
        <v>21</v>
      </c>
      <c r="C330" s="114">
        <v>1440</v>
      </c>
      <c r="D330" s="114">
        <v>403</v>
      </c>
      <c r="E330" s="114">
        <v>20</v>
      </c>
      <c r="F330" s="152">
        <f>1+1</f>
        <v>2</v>
      </c>
      <c r="G330" s="245">
        <f t="shared" si="14"/>
        <v>18</v>
      </c>
      <c r="H330" s="253" t="s">
        <v>1552</v>
      </c>
      <c r="I330" s="371"/>
      <c r="J330" s="173"/>
      <c r="K330" s="173"/>
      <c r="L330" s="173"/>
      <c r="M330" s="173"/>
      <c r="N330" s="173"/>
      <c r="O330" s="173"/>
      <c r="P330" s="173"/>
      <c r="Q330" s="173"/>
      <c r="R330" s="161"/>
    </row>
    <row r="331" spans="1:18" ht="16.5" thickTop="1" thickBot="1" x14ac:dyDescent="0.3">
      <c r="A331" s="314"/>
      <c r="B331" s="152" t="s">
        <v>22</v>
      </c>
      <c r="C331" s="114">
        <v>1440</v>
      </c>
      <c r="D331" s="114">
        <v>431</v>
      </c>
      <c r="E331" s="114">
        <v>20</v>
      </c>
      <c r="F331" s="152">
        <v>1</v>
      </c>
      <c r="G331" s="245">
        <f t="shared" si="14"/>
        <v>19</v>
      </c>
      <c r="H331" s="253" t="s">
        <v>1553</v>
      </c>
      <c r="I331" s="371"/>
      <c r="J331" s="173"/>
      <c r="K331" s="173"/>
      <c r="L331" s="173"/>
      <c r="M331" s="173"/>
      <c r="N331" s="173"/>
      <c r="O331" s="173"/>
      <c r="P331" s="173"/>
      <c r="Q331" s="173"/>
      <c r="R331" s="161"/>
    </row>
    <row r="332" spans="1:18" ht="16.5" thickTop="1" thickBot="1" x14ac:dyDescent="0.3">
      <c r="A332" s="314"/>
      <c r="B332" s="152" t="s">
        <v>18</v>
      </c>
      <c r="C332" s="114">
        <v>1440</v>
      </c>
      <c r="D332" s="114">
        <v>493</v>
      </c>
      <c r="E332" s="114">
        <v>20</v>
      </c>
      <c r="F332" s="152">
        <f>1+1</f>
        <v>2</v>
      </c>
      <c r="G332" s="245">
        <f t="shared" si="14"/>
        <v>18</v>
      </c>
      <c r="H332" s="253" t="s">
        <v>1554</v>
      </c>
      <c r="I332" s="371"/>
      <c r="J332" s="173"/>
      <c r="K332" s="173"/>
      <c r="L332" s="173"/>
      <c r="M332" s="173"/>
      <c r="N332" s="173"/>
      <c r="O332" s="173"/>
      <c r="P332" s="173"/>
      <c r="Q332" s="173"/>
      <c r="R332" s="161"/>
    </row>
    <row r="333" spans="1:18" ht="16.5" thickTop="1" thickBot="1" x14ac:dyDescent="0.3">
      <c r="A333" s="314"/>
      <c r="B333" s="152" t="s">
        <v>19</v>
      </c>
      <c r="C333" s="114">
        <v>1440</v>
      </c>
      <c r="D333" s="114">
        <v>661</v>
      </c>
      <c r="E333" s="114">
        <v>20</v>
      </c>
      <c r="F333" s="152">
        <v>1</v>
      </c>
      <c r="G333" s="245">
        <f t="shared" si="14"/>
        <v>19</v>
      </c>
      <c r="H333" s="253" t="s">
        <v>1555</v>
      </c>
      <c r="I333" s="371"/>
      <c r="J333" s="173"/>
      <c r="K333" s="173"/>
      <c r="L333" s="173"/>
      <c r="M333" s="173"/>
      <c r="N333" s="173"/>
      <c r="O333" s="173"/>
      <c r="P333" s="173"/>
      <c r="Q333" s="173"/>
      <c r="R333" s="161"/>
    </row>
    <row r="334" spans="1:18" ht="16.5" thickTop="1" thickBot="1" x14ac:dyDescent="0.3">
      <c r="A334" s="314"/>
      <c r="B334" s="152" t="s">
        <v>0</v>
      </c>
      <c r="C334" s="114">
        <v>1440</v>
      </c>
      <c r="D334" s="114">
        <v>900</v>
      </c>
      <c r="E334" s="114">
        <f>16+20</f>
        <v>36</v>
      </c>
      <c r="F334" s="152">
        <f>2+1+1</f>
        <v>4</v>
      </c>
      <c r="G334" s="245">
        <f t="shared" si="14"/>
        <v>32</v>
      </c>
      <c r="H334" s="253" t="s">
        <v>1556</v>
      </c>
      <c r="I334" s="371"/>
      <c r="J334" s="173"/>
      <c r="K334" s="173"/>
      <c r="L334" s="173"/>
      <c r="M334" s="173"/>
      <c r="N334" s="173"/>
      <c r="O334" s="173"/>
      <c r="P334" s="173"/>
      <c r="Q334" s="173"/>
      <c r="R334" s="161"/>
    </row>
    <row r="335" spans="1:18" ht="16.5" thickTop="1" thickBot="1" x14ac:dyDescent="0.3">
      <c r="A335" s="314"/>
      <c r="B335" s="152" t="s">
        <v>1</v>
      </c>
      <c r="C335" s="152">
        <v>1440</v>
      </c>
      <c r="D335" s="152">
        <v>1685</v>
      </c>
      <c r="E335" s="152">
        <f>1+20</f>
        <v>21</v>
      </c>
      <c r="F335" s="152">
        <f>1+1+3+3+1+1+1</f>
        <v>11</v>
      </c>
      <c r="G335" s="245">
        <f t="shared" si="14"/>
        <v>10</v>
      </c>
      <c r="H335" s="253" t="s">
        <v>1557</v>
      </c>
      <c r="I335" s="371"/>
      <c r="J335" s="173"/>
      <c r="K335" s="173"/>
      <c r="L335" s="173"/>
      <c r="M335" s="173"/>
      <c r="N335" s="173"/>
      <c r="O335" s="173"/>
      <c r="P335" s="173"/>
      <c r="Q335" s="173"/>
      <c r="R335" s="161"/>
    </row>
    <row r="336" spans="1:18" ht="16.5" thickTop="1" thickBot="1" x14ac:dyDescent="0.3">
      <c r="A336" s="315"/>
      <c r="B336" s="126" t="s">
        <v>2</v>
      </c>
      <c r="C336" s="126">
        <v>288</v>
      </c>
      <c r="D336" s="126">
        <v>856</v>
      </c>
      <c r="E336" s="126">
        <f>2+20</f>
        <v>22</v>
      </c>
      <c r="F336" s="126">
        <f>1+1</f>
        <v>2</v>
      </c>
      <c r="G336" s="246">
        <f t="shared" si="14"/>
        <v>20</v>
      </c>
      <c r="H336" s="254" t="s">
        <v>1558</v>
      </c>
      <c r="I336" s="371"/>
      <c r="J336" s="173"/>
      <c r="K336" s="173"/>
      <c r="L336" s="173"/>
      <c r="M336" s="173"/>
      <c r="N336" s="173"/>
      <c r="O336" s="173"/>
      <c r="P336" s="173"/>
      <c r="Q336" s="173"/>
      <c r="R336" s="161"/>
    </row>
    <row r="337" spans="1:18" ht="16.5" thickTop="1" thickBot="1" x14ac:dyDescent="0.3">
      <c r="A337" s="313" t="s">
        <v>583</v>
      </c>
      <c r="B337" s="151" t="s">
        <v>90</v>
      </c>
      <c r="C337" s="151">
        <v>1440</v>
      </c>
      <c r="D337" s="151">
        <v>403</v>
      </c>
      <c r="E337" s="151">
        <v>96</v>
      </c>
      <c r="F337" s="151">
        <f>1+1</f>
        <v>2</v>
      </c>
      <c r="G337" s="243">
        <f t="shared" si="14"/>
        <v>94</v>
      </c>
      <c r="H337" s="252" t="s">
        <v>1199</v>
      </c>
      <c r="I337" s="371" t="s">
        <v>366</v>
      </c>
      <c r="J337" s="173"/>
      <c r="K337" s="173"/>
      <c r="L337" s="173"/>
      <c r="M337" s="173"/>
      <c r="N337" s="173"/>
      <c r="O337" s="173"/>
      <c r="P337" s="173"/>
      <c r="Q337" s="173"/>
      <c r="R337" s="161"/>
    </row>
    <row r="338" spans="1:18" ht="16.5" thickTop="1" thickBot="1" x14ac:dyDescent="0.3">
      <c r="A338" s="314"/>
      <c r="B338" s="152" t="s">
        <v>89</v>
      </c>
      <c r="C338" s="152">
        <v>1440</v>
      </c>
      <c r="D338" s="152">
        <v>403</v>
      </c>
      <c r="E338" s="152">
        <v>91</v>
      </c>
      <c r="F338" s="152">
        <v>1</v>
      </c>
      <c r="G338" s="245">
        <f t="shared" si="14"/>
        <v>90</v>
      </c>
      <c r="H338" s="253" t="s">
        <v>1559</v>
      </c>
      <c r="I338" s="371"/>
      <c r="J338" s="173"/>
      <c r="K338" s="173"/>
      <c r="L338" s="173"/>
      <c r="M338" s="173"/>
      <c r="N338" s="173"/>
      <c r="O338" s="173"/>
      <c r="P338" s="173"/>
      <c r="Q338" s="173"/>
      <c r="R338" s="161"/>
    </row>
    <row r="339" spans="1:18" ht="16.5" thickTop="1" thickBot="1" x14ac:dyDescent="0.3">
      <c r="A339" s="314"/>
      <c r="B339" s="152" t="s">
        <v>21</v>
      </c>
      <c r="C339" s="152">
        <v>1440</v>
      </c>
      <c r="D339" s="152">
        <v>319</v>
      </c>
      <c r="E339" s="152">
        <f>94+50</f>
        <v>144</v>
      </c>
      <c r="F339" s="152">
        <f>1+1+1+1+5+1+1+1</f>
        <v>12</v>
      </c>
      <c r="G339" s="245">
        <f t="shared" si="14"/>
        <v>132</v>
      </c>
      <c r="H339" s="253" t="s">
        <v>1560</v>
      </c>
      <c r="I339" s="371"/>
      <c r="J339" s="173"/>
      <c r="K339" s="173"/>
      <c r="L339" s="173"/>
      <c r="M339" s="173"/>
      <c r="N339" s="173"/>
      <c r="O339" s="173"/>
      <c r="P339" s="173"/>
      <c r="Q339" s="173"/>
      <c r="R339" s="161"/>
    </row>
    <row r="340" spans="1:18" ht="16.5" thickTop="1" thickBot="1" x14ac:dyDescent="0.3">
      <c r="A340" s="314"/>
      <c r="B340" s="152" t="s">
        <v>22</v>
      </c>
      <c r="C340" s="152">
        <v>1440</v>
      </c>
      <c r="D340" s="152">
        <v>430</v>
      </c>
      <c r="E340" s="152">
        <f>71+40</f>
        <v>111</v>
      </c>
      <c r="F340" s="152">
        <f>1+1+1+1+1</f>
        <v>5</v>
      </c>
      <c r="G340" s="245">
        <f t="shared" si="14"/>
        <v>106</v>
      </c>
      <c r="H340" s="253" t="s">
        <v>1561</v>
      </c>
      <c r="I340" s="371"/>
      <c r="J340" s="173"/>
      <c r="K340" s="173"/>
      <c r="L340" s="173"/>
      <c r="M340" s="173"/>
      <c r="N340" s="173"/>
      <c r="O340" s="173"/>
      <c r="P340" s="173"/>
      <c r="Q340" s="173"/>
      <c r="R340" s="161"/>
    </row>
    <row r="341" spans="1:18" ht="16.5" thickTop="1" thickBot="1" x14ac:dyDescent="0.3">
      <c r="A341" s="314"/>
      <c r="B341" s="152" t="s">
        <v>18</v>
      </c>
      <c r="C341" s="152">
        <v>1440</v>
      </c>
      <c r="D341" s="152">
        <v>557</v>
      </c>
      <c r="E341" s="152">
        <f>92+50</f>
        <v>142</v>
      </c>
      <c r="F341" s="152">
        <f>1+1+1</f>
        <v>3</v>
      </c>
      <c r="G341" s="245">
        <f t="shared" si="14"/>
        <v>139</v>
      </c>
      <c r="H341" s="253" t="s">
        <v>1562</v>
      </c>
      <c r="I341" s="371"/>
      <c r="J341" s="173"/>
      <c r="K341" s="173"/>
      <c r="L341" s="173"/>
      <c r="M341" s="173"/>
      <c r="N341" s="173"/>
      <c r="O341" s="173"/>
      <c r="P341" s="173"/>
      <c r="Q341" s="173"/>
      <c r="R341" s="161"/>
    </row>
    <row r="342" spans="1:18" ht="16.5" thickTop="1" thickBot="1" x14ac:dyDescent="0.3">
      <c r="A342" s="314"/>
      <c r="B342" s="152" t="s">
        <v>19</v>
      </c>
      <c r="C342" s="152">
        <v>1440</v>
      </c>
      <c r="D342" s="152">
        <v>706</v>
      </c>
      <c r="E342" s="152">
        <f>28+50</f>
        <v>78</v>
      </c>
      <c r="F342" s="152">
        <f>3+3+2+1</f>
        <v>9</v>
      </c>
      <c r="G342" s="245">
        <f t="shared" si="14"/>
        <v>69</v>
      </c>
      <c r="H342" s="253" t="s">
        <v>1563</v>
      </c>
      <c r="I342" s="371"/>
      <c r="J342" s="173"/>
      <c r="K342" s="173"/>
      <c r="L342" s="173"/>
      <c r="M342" s="173"/>
      <c r="N342" s="173"/>
      <c r="O342" s="173"/>
      <c r="P342" s="173"/>
      <c r="Q342" s="173"/>
      <c r="R342" s="161"/>
    </row>
    <row r="343" spans="1:18" ht="16.5" thickTop="1" thickBot="1" x14ac:dyDescent="0.3">
      <c r="A343" s="314"/>
      <c r="B343" s="152" t="s">
        <v>0</v>
      </c>
      <c r="C343" s="152">
        <v>1440</v>
      </c>
      <c r="D343" s="152">
        <v>1078</v>
      </c>
      <c r="E343" s="152">
        <v>77</v>
      </c>
      <c r="F343" s="152">
        <f>1+1</f>
        <v>2</v>
      </c>
      <c r="G343" s="245">
        <f t="shared" si="14"/>
        <v>75</v>
      </c>
      <c r="H343" s="253" t="s">
        <v>1564</v>
      </c>
      <c r="I343" s="371"/>
      <c r="J343" s="173"/>
      <c r="K343" s="173"/>
      <c r="L343" s="173"/>
      <c r="M343" s="173"/>
      <c r="N343" s="173"/>
      <c r="O343" s="173"/>
      <c r="P343" s="173"/>
      <c r="Q343" s="173"/>
      <c r="R343" s="161"/>
    </row>
    <row r="344" spans="1:18" ht="16.5" thickTop="1" thickBot="1" x14ac:dyDescent="0.3">
      <c r="A344" s="314"/>
      <c r="B344" s="152" t="s">
        <v>1</v>
      </c>
      <c r="C344" s="152">
        <v>1440</v>
      </c>
      <c r="D344" s="152">
        <v>2126</v>
      </c>
      <c r="E344" s="152">
        <v>133</v>
      </c>
      <c r="F344" s="152">
        <f>1+1+5+1+1</f>
        <v>9</v>
      </c>
      <c r="G344" s="245">
        <f t="shared" si="14"/>
        <v>124</v>
      </c>
      <c r="H344" s="253" t="s">
        <v>1565</v>
      </c>
      <c r="I344" s="371"/>
      <c r="J344" s="173"/>
      <c r="K344" s="173"/>
      <c r="L344" s="173"/>
      <c r="M344" s="173"/>
      <c r="N344" s="173"/>
      <c r="O344" s="173"/>
      <c r="P344" s="173"/>
      <c r="Q344" s="173"/>
      <c r="R344" s="161"/>
    </row>
    <row r="345" spans="1:18" ht="16.5" thickTop="1" thickBot="1" x14ac:dyDescent="0.3">
      <c r="A345" s="314"/>
      <c r="B345" s="152" t="s">
        <v>2</v>
      </c>
      <c r="C345" s="152">
        <v>288</v>
      </c>
      <c r="D345" s="152">
        <v>1049</v>
      </c>
      <c r="E345" s="152">
        <v>99</v>
      </c>
      <c r="F345" s="152">
        <v>1</v>
      </c>
      <c r="G345" s="245">
        <f t="shared" si="14"/>
        <v>98</v>
      </c>
      <c r="H345" s="253" t="s">
        <v>1566</v>
      </c>
      <c r="I345" s="371"/>
      <c r="J345" s="173"/>
      <c r="K345" s="173"/>
      <c r="L345" s="173"/>
      <c r="M345" s="173"/>
      <c r="N345" s="173"/>
      <c r="O345" s="173"/>
      <c r="P345" s="173"/>
      <c r="Q345" s="173"/>
      <c r="R345" s="161"/>
    </row>
    <row r="346" spans="1:18" ht="16.5" thickTop="1" thickBot="1" x14ac:dyDescent="0.3">
      <c r="A346" s="315"/>
      <c r="B346" s="126" t="s">
        <v>5</v>
      </c>
      <c r="C346" s="126">
        <v>144</v>
      </c>
      <c r="D346" s="126">
        <v>2096</v>
      </c>
      <c r="E346" s="126">
        <v>84</v>
      </c>
      <c r="F346" s="126"/>
      <c r="G346" s="246">
        <f>E346-F346</f>
        <v>84</v>
      </c>
      <c r="H346" s="254" t="s">
        <v>1567</v>
      </c>
      <c r="I346" s="371"/>
      <c r="J346" s="173"/>
      <c r="K346" s="173"/>
      <c r="L346" s="173"/>
      <c r="M346" s="173"/>
      <c r="N346" s="173"/>
      <c r="O346" s="173"/>
      <c r="P346" s="173"/>
      <c r="Q346" s="173"/>
      <c r="R346" s="161"/>
    </row>
    <row r="347" spans="1:18" ht="16.5" thickTop="1" thickBot="1" x14ac:dyDescent="0.3">
      <c r="A347" s="319" t="s">
        <v>172</v>
      </c>
      <c r="B347" s="153" t="s">
        <v>19</v>
      </c>
      <c r="C347" s="153">
        <v>1440</v>
      </c>
      <c r="D347" s="153">
        <v>668</v>
      </c>
      <c r="E347" s="153">
        <v>49</v>
      </c>
      <c r="F347" s="153">
        <f>1+1</f>
        <v>2</v>
      </c>
      <c r="G347" s="244">
        <f t="shared" ref="G347:G360" si="16">E347-F347</f>
        <v>47</v>
      </c>
      <c r="H347" s="252" t="s">
        <v>1262</v>
      </c>
      <c r="I347" s="371" t="s">
        <v>1261</v>
      </c>
      <c r="J347" s="173"/>
      <c r="K347" s="173"/>
      <c r="L347" s="173"/>
      <c r="M347" s="173"/>
      <c r="N347" s="173"/>
      <c r="O347" s="173"/>
      <c r="P347" s="173"/>
      <c r="Q347" s="173"/>
      <c r="R347" s="161"/>
    </row>
    <row r="348" spans="1:18" ht="16.5" thickTop="1" thickBot="1" x14ac:dyDescent="0.3">
      <c r="A348" s="311"/>
      <c r="B348" s="152" t="s">
        <v>0</v>
      </c>
      <c r="C348" s="152">
        <v>1440</v>
      </c>
      <c r="D348" s="152">
        <v>903</v>
      </c>
      <c r="E348" s="152">
        <v>100</v>
      </c>
      <c r="F348" s="152">
        <f>10+1+1+1+1+1+1+1</f>
        <v>17</v>
      </c>
      <c r="G348" s="245">
        <f t="shared" si="16"/>
        <v>83</v>
      </c>
      <c r="H348" s="253" t="s">
        <v>1568</v>
      </c>
      <c r="I348" s="371"/>
      <c r="J348" s="173"/>
      <c r="K348" s="173"/>
      <c r="L348" s="173"/>
      <c r="M348" s="173"/>
      <c r="N348" s="173"/>
      <c r="O348" s="173"/>
      <c r="P348" s="173"/>
      <c r="Q348" s="173"/>
      <c r="R348" s="161"/>
    </row>
    <row r="349" spans="1:18" ht="16.5" thickTop="1" thickBot="1" x14ac:dyDescent="0.3">
      <c r="A349" s="311"/>
      <c r="B349" s="152" t="s">
        <v>1</v>
      </c>
      <c r="C349" s="152">
        <v>1440</v>
      </c>
      <c r="D349" s="152">
        <v>1273</v>
      </c>
      <c r="E349" s="152">
        <v>94</v>
      </c>
      <c r="F349" s="152">
        <f>1+10+1+1</f>
        <v>13</v>
      </c>
      <c r="G349" s="245">
        <f t="shared" si="16"/>
        <v>81</v>
      </c>
      <c r="H349" s="253" t="s">
        <v>1569</v>
      </c>
      <c r="I349" s="371"/>
      <c r="J349" s="173"/>
      <c r="K349" s="173"/>
      <c r="L349" s="173"/>
      <c r="M349" s="173"/>
      <c r="N349" s="173"/>
      <c r="O349" s="173"/>
      <c r="P349" s="173"/>
      <c r="Q349" s="173"/>
      <c r="R349" s="161"/>
    </row>
    <row r="350" spans="1:18" ht="16.5" thickTop="1" thickBot="1" x14ac:dyDescent="0.3">
      <c r="A350" s="311"/>
      <c r="B350" s="152" t="s">
        <v>2</v>
      </c>
      <c r="C350" s="152">
        <v>288</v>
      </c>
      <c r="D350" s="152">
        <v>874</v>
      </c>
      <c r="E350" s="152">
        <v>150</v>
      </c>
      <c r="F350" s="152">
        <f>1+1+10+1+1</f>
        <v>14</v>
      </c>
      <c r="G350" s="245">
        <f t="shared" si="16"/>
        <v>136</v>
      </c>
      <c r="H350" s="253" t="s">
        <v>1570</v>
      </c>
      <c r="I350" s="371"/>
      <c r="J350" s="173"/>
      <c r="K350" s="173"/>
      <c r="L350" s="173"/>
      <c r="M350" s="173"/>
      <c r="N350" s="173"/>
      <c r="O350" s="173"/>
      <c r="P350" s="173"/>
      <c r="Q350" s="173"/>
      <c r="R350" s="161"/>
    </row>
    <row r="351" spans="1:18" ht="16.5" thickTop="1" thickBot="1" x14ac:dyDescent="0.3">
      <c r="A351" s="311"/>
      <c r="B351" s="152" t="s">
        <v>5</v>
      </c>
      <c r="C351" s="152">
        <v>144</v>
      </c>
      <c r="D351" s="152">
        <v>1260</v>
      </c>
      <c r="E351" s="152">
        <v>100</v>
      </c>
      <c r="F351" s="152"/>
      <c r="G351" s="245">
        <f t="shared" si="16"/>
        <v>100</v>
      </c>
      <c r="H351" s="253" t="s">
        <v>1571</v>
      </c>
      <c r="I351" s="371"/>
      <c r="J351" s="173"/>
      <c r="K351" s="173"/>
      <c r="L351" s="173"/>
      <c r="M351" s="173"/>
      <c r="N351" s="173"/>
      <c r="O351" s="173"/>
      <c r="P351" s="173"/>
      <c r="Q351" s="173"/>
      <c r="R351" s="161"/>
    </row>
    <row r="352" spans="1:18" ht="16.5" thickTop="1" thickBot="1" x14ac:dyDescent="0.3">
      <c r="A352" s="320"/>
      <c r="B352" s="154" t="s">
        <v>20</v>
      </c>
      <c r="C352" s="154">
        <v>144</v>
      </c>
      <c r="D352" s="154">
        <v>1260</v>
      </c>
      <c r="E352" s="154">
        <v>99</v>
      </c>
      <c r="F352" s="154">
        <v>1</v>
      </c>
      <c r="G352" s="247">
        <f t="shared" si="16"/>
        <v>98</v>
      </c>
      <c r="H352" s="254" t="s">
        <v>1572</v>
      </c>
      <c r="I352" s="371"/>
      <c r="J352" s="173"/>
      <c r="K352" s="173"/>
      <c r="L352" s="173"/>
      <c r="M352" s="173"/>
      <c r="N352" s="173"/>
      <c r="O352" s="173"/>
      <c r="P352" s="173"/>
      <c r="Q352" s="173"/>
      <c r="R352" s="161"/>
    </row>
    <row r="353" spans="1:18" ht="16.5" thickTop="1" thickBot="1" x14ac:dyDescent="0.3">
      <c r="A353" s="310" t="s">
        <v>132</v>
      </c>
      <c r="B353" s="151" t="s">
        <v>22</v>
      </c>
      <c r="C353" s="151">
        <v>1440</v>
      </c>
      <c r="D353" s="151">
        <v>425</v>
      </c>
      <c r="E353" s="151">
        <v>40</v>
      </c>
      <c r="F353" s="151">
        <f>1+1+1+1</f>
        <v>4</v>
      </c>
      <c r="G353" s="243">
        <f t="shared" si="16"/>
        <v>36</v>
      </c>
      <c r="H353" s="252" t="s">
        <v>1263</v>
      </c>
      <c r="I353" s="371" t="s">
        <v>470</v>
      </c>
      <c r="J353" s="173"/>
      <c r="K353" s="173"/>
      <c r="L353" s="173"/>
      <c r="M353" s="173"/>
      <c r="N353" s="173"/>
      <c r="O353" s="173"/>
      <c r="P353" s="173"/>
      <c r="Q353" s="173"/>
      <c r="R353" s="161"/>
    </row>
    <row r="354" spans="1:18" ht="16.5" thickTop="1" thickBot="1" x14ac:dyDescent="0.3">
      <c r="A354" s="311"/>
      <c r="B354" s="152" t="s">
        <v>18</v>
      </c>
      <c r="C354" s="152">
        <v>1440</v>
      </c>
      <c r="D354" s="152">
        <v>485</v>
      </c>
      <c r="E354" s="152">
        <v>35</v>
      </c>
      <c r="F354" s="152">
        <f>1+1+1+1</f>
        <v>4</v>
      </c>
      <c r="G354" s="245">
        <f t="shared" si="16"/>
        <v>31</v>
      </c>
      <c r="H354" s="253" t="s">
        <v>1573</v>
      </c>
      <c r="I354" s="371"/>
      <c r="J354" s="173"/>
      <c r="K354" s="173"/>
      <c r="L354" s="173"/>
      <c r="M354" s="173"/>
      <c r="N354" s="173"/>
      <c r="O354" s="173"/>
      <c r="P354" s="173"/>
      <c r="Q354" s="173"/>
      <c r="R354" s="161"/>
    </row>
    <row r="355" spans="1:18" ht="16.5" thickTop="1" thickBot="1" x14ac:dyDescent="0.3">
      <c r="A355" s="311"/>
      <c r="B355" s="152" t="s">
        <v>19</v>
      </c>
      <c r="C355" s="152">
        <v>1440</v>
      </c>
      <c r="D355" s="152">
        <v>650</v>
      </c>
      <c r="E355" s="152">
        <v>28</v>
      </c>
      <c r="F355" s="152">
        <f>1+1+1</f>
        <v>3</v>
      </c>
      <c r="G355" s="245">
        <f t="shared" si="16"/>
        <v>25</v>
      </c>
      <c r="H355" s="253" t="s">
        <v>1574</v>
      </c>
      <c r="I355" s="371"/>
      <c r="J355" s="173"/>
      <c r="K355" s="173"/>
      <c r="L355" s="173"/>
      <c r="M355" s="173"/>
      <c r="N355" s="173"/>
      <c r="O355" s="173"/>
      <c r="P355" s="173"/>
      <c r="Q355" s="173"/>
      <c r="R355" s="161"/>
    </row>
    <row r="356" spans="1:18" ht="16.5" thickTop="1" thickBot="1" x14ac:dyDescent="0.3">
      <c r="A356" s="311"/>
      <c r="B356" s="152" t="s">
        <v>0</v>
      </c>
      <c r="C356" s="152">
        <v>1440</v>
      </c>
      <c r="D356" s="152">
        <v>885</v>
      </c>
      <c r="E356" s="152">
        <v>74</v>
      </c>
      <c r="F356" s="152">
        <f>1+1+1+1+1</f>
        <v>5</v>
      </c>
      <c r="G356" s="245">
        <f t="shared" si="16"/>
        <v>69</v>
      </c>
      <c r="H356" s="253" t="s">
        <v>1575</v>
      </c>
      <c r="I356" s="371"/>
      <c r="J356" s="173"/>
      <c r="K356" s="173"/>
      <c r="L356" s="173"/>
      <c r="M356" s="173"/>
      <c r="N356" s="173"/>
      <c r="O356" s="173"/>
      <c r="P356" s="173"/>
      <c r="Q356" s="173"/>
      <c r="R356" s="161"/>
    </row>
    <row r="357" spans="1:18" ht="16.5" thickTop="1" thickBot="1" x14ac:dyDescent="0.3">
      <c r="A357" s="311"/>
      <c r="B357" s="152" t="s">
        <v>1</v>
      </c>
      <c r="C357" s="152">
        <v>1440</v>
      </c>
      <c r="D357" s="152">
        <v>1685</v>
      </c>
      <c r="E357" s="152">
        <v>116</v>
      </c>
      <c r="F357" s="152">
        <f>1+1+1+1+4+1</f>
        <v>9</v>
      </c>
      <c r="G357" s="245">
        <f t="shared" si="16"/>
        <v>107</v>
      </c>
      <c r="H357" s="253" t="s">
        <v>1576</v>
      </c>
      <c r="I357" s="371"/>
      <c r="J357" s="173"/>
      <c r="K357" s="173"/>
      <c r="L357" s="173"/>
      <c r="M357" s="173"/>
      <c r="N357" s="173"/>
      <c r="O357" s="173"/>
      <c r="P357" s="173"/>
      <c r="Q357" s="173"/>
      <c r="R357" s="161"/>
    </row>
    <row r="358" spans="1:18" ht="16.5" thickTop="1" thickBot="1" x14ac:dyDescent="0.3">
      <c r="A358" s="311"/>
      <c r="B358" s="152" t="s">
        <v>2</v>
      </c>
      <c r="C358" s="152">
        <v>288</v>
      </c>
      <c r="D358" s="114">
        <v>900</v>
      </c>
      <c r="E358" s="114">
        <f>25+24</f>
        <v>49</v>
      </c>
      <c r="F358" s="152">
        <f>2+1</f>
        <v>3</v>
      </c>
      <c r="G358" s="245">
        <f t="shared" si="16"/>
        <v>46</v>
      </c>
      <c r="H358" s="253" t="s">
        <v>1577</v>
      </c>
      <c r="I358" s="371"/>
      <c r="J358" s="173"/>
      <c r="K358" s="173"/>
      <c r="L358" s="173"/>
      <c r="M358" s="173"/>
      <c r="N358" s="173"/>
      <c r="O358" s="173"/>
      <c r="P358" s="173"/>
      <c r="Q358" s="173"/>
      <c r="R358" s="161"/>
    </row>
    <row r="359" spans="1:18" ht="16.5" thickTop="1" thickBot="1" x14ac:dyDescent="0.3">
      <c r="A359" s="311"/>
      <c r="B359" s="152" t="s">
        <v>5</v>
      </c>
      <c r="C359" s="152">
        <v>144</v>
      </c>
      <c r="D359" s="152">
        <v>1048</v>
      </c>
      <c r="E359" s="152">
        <v>24</v>
      </c>
      <c r="F359" s="152">
        <f>1+1</f>
        <v>2</v>
      </c>
      <c r="G359" s="245">
        <f t="shared" si="16"/>
        <v>22</v>
      </c>
      <c r="H359" s="253" t="s">
        <v>1578</v>
      </c>
      <c r="I359" s="371"/>
      <c r="J359" s="173"/>
      <c r="K359" s="173"/>
      <c r="L359" s="173"/>
      <c r="M359" s="173"/>
      <c r="N359" s="173"/>
      <c r="O359" s="173"/>
      <c r="P359" s="173"/>
      <c r="Q359" s="173"/>
      <c r="R359" s="161"/>
    </row>
    <row r="360" spans="1:18" ht="16.5" thickTop="1" thickBot="1" x14ac:dyDescent="0.3">
      <c r="A360" s="312"/>
      <c r="B360" s="126" t="s">
        <v>20</v>
      </c>
      <c r="C360" s="126">
        <v>144</v>
      </c>
      <c r="D360" s="126">
        <v>1048</v>
      </c>
      <c r="E360" s="126">
        <v>20</v>
      </c>
      <c r="F360" s="126">
        <v>1</v>
      </c>
      <c r="G360" s="246">
        <f t="shared" si="16"/>
        <v>19</v>
      </c>
      <c r="H360" s="254" t="s">
        <v>1579</v>
      </c>
      <c r="I360" s="371"/>
      <c r="J360" s="173"/>
      <c r="K360" s="173"/>
      <c r="L360" s="173"/>
      <c r="M360" s="173"/>
      <c r="N360" s="173"/>
      <c r="O360" s="173"/>
      <c r="P360" s="173"/>
      <c r="Q360" s="173"/>
      <c r="R360" s="161"/>
    </row>
    <row r="361" spans="1:18" ht="16.5" thickTop="1" thickBot="1" x14ac:dyDescent="0.3">
      <c r="A361" s="307" t="s">
        <v>432</v>
      </c>
      <c r="B361" s="151" t="s">
        <v>89</v>
      </c>
      <c r="C361" s="151">
        <v>1440</v>
      </c>
      <c r="D361" s="151">
        <v>325</v>
      </c>
      <c r="E361" s="151">
        <v>100</v>
      </c>
      <c r="F361" s="151"/>
      <c r="G361" s="243">
        <f t="shared" si="14"/>
        <v>100</v>
      </c>
      <c r="H361" s="252" t="s">
        <v>1580</v>
      </c>
      <c r="I361" s="371" t="s">
        <v>368</v>
      </c>
      <c r="J361" s="173"/>
      <c r="K361" s="173"/>
      <c r="L361" s="173"/>
      <c r="M361" s="173"/>
      <c r="N361" s="173"/>
      <c r="O361" s="173"/>
      <c r="P361" s="173"/>
      <c r="Q361" s="173"/>
      <c r="R361" s="161"/>
    </row>
    <row r="362" spans="1:18" ht="16.5" thickTop="1" thickBot="1" x14ac:dyDescent="0.3">
      <c r="A362" s="308"/>
      <c r="B362" s="152" t="s">
        <v>21</v>
      </c>
      <c r="C362" s="152">
        <v>1440</v>
      </c>
      <c r="D362" s="152">
        <v>347</v>
      </c>
      <c r="E362" s="152">
        <v>99</v>
      </c>
      <c r="F362" s="152">
        <v>1</v>
      </c>
      <c r="G362" s="245">
        <f t="shared" si="14"/>
        <v>98</v>
      </c>
      <c r="H362" s="253" t="s">
        <v>1581</v>
      </c>
      <c r="I362" s="371"/>
      <c r="J362" s="173"/>
      <c r="K362" s="173"/>
      <c r="L362" s="173"/>
      <c r="M362" s="173"/>
      <c r="N362" s="173"/>
      <c r="O362" s="173"/>
      <c r="P362" s="173"/>
      <c r="Q362" s="173"/>
      <c r="R362" s="161"/>
    </row>
    <row r="363" spans="1:18" ht="16.5" thickTop="1" thickBot="1" x14ac:dyDescent="0.3">
      <c r="A363" s="308"/>
      <c r="B363" s="152" t="s">
        <v>22</v>
      </c>
      <c r="C363" s="152">
        <v>1440</v>
      </c>
      <c r="D363" s="152">
        <v>458</v>
      </c>
      <c r="E363" s="152">
        <v>89</v>
      </c>
      <c r="F363" s="152"/>
      <c r="G363" s="245">
        <f t="shared" si="14"/>
        <v>89</v>
      </c>
      <c r="H363" s="253" t="s">
        <v>1582</v>
      </c>
      <c r="I363" s="371"/>
      <c r="J363" s="173"/>
      <c r="K363" s="173"/>
      <c r="L363" s="173"/>
      <c r="M363" s="173"/>
      <c r="N363" s="173"/>
      <c r="O363" s="173"/>
      <c r="P363" s="173"/>
      <c r="Q363" s="173"/>
      <c r="R363" s="161"/>
    </row>
    <row r="364" spans="1:18" ht="16.5" thickTop="1" thickBot="1" x14ac:dyDescent="0.3">
      <c r="A364" s="308"/>
      <c r="B364" s="152" t="s">
        <v>18</v>
      </c>
      <c r="C364" s="152">
        <v>1440</v>
      </c>
      <c r="D364" s="152">
        <v>568</v>
      </c>
      <c r="E364" s="152">
        <v>90</v>
      </c>
      <c r="F364" s="152">
        <f>1+1+1</f>
        <v>3</v>
      </c>
      <c r="G364" s="245">
        <f t="shared" si="14"/>
        <v>87</v>
      </c>
      <c r="H364" s="253" t="s">
        <v>1583</v>
      </c>
      <c r="I364" s="371"/>
      <c r="J364" s="173"/>
      <c r="K364" s="173"/>
      <c r="L364" s="173"/>
      <c r="M364" s="173"/>
      <c r="N364" s="173"/>
      <c r="O364" s="173"/>
      <c r="P364" s="173"/>
      <c r="Q364" s="173"/>
      <c r="R364" s="161"/>
    </row>
    <row r="365" spans="1:18" ht="16.5" thickTop="1" thickBot="1" x14ac:dyDescent="0.3">
      <c r="A365" s="308"/>
      <c r="B365" s="152" t="s">
        <v>19</v>
      </c>
      <c r="C365" s="152">
        <v>1440</v>
      </c>
      <c r="D365" s="152">
        <v>733</v>
      </c>
      <c r="E365" s="152">
        <v>35</v>
      </c>
      <c r="F365" s="152">
        <f>2+1</f>
        <v>3</v>
      </c>
      <c r="G365" s="245">
        <f t="shared" si="14"/>
        <v>32</v>
      </c>
      <c r="H365" s="253" t="s">
        <v>1584</v>
      </c>
      <c r="I365" s="371"/>
      <c r="J365" s="173"/>
      <c r="K365" s="173"/>
      <c r="L365" s="173"/>
      <c r="M365" s="173"/>
      <c r="N365" s="173"/>
      <c r="O365" s="173"/>
      <c r="P365" s="173"/>
      <c r="Q365" s="173"/>
      <c r="R365" s="161"/>
    </row>
    <row r="366" spans="1:18" ht="16.5" thickTop="1" thickBot="1" x14ac:dyDescent="0.3">
      <c r="A366" s="308"/>
      <c r="B366" s="152" t="s">
        <v>0</v>
      </c>
      <c r="C366" s="152">
        <v>1440</v>
      </c>
      <c r="D366" s="152">
        <v>1168</v>
      </c>
      <c r="E366" s="152">
        <v>77</v>
      </c>
      <c r="F366" s="152"/>
      <c r="G366" s="245">
        <f t="shared" si="14"/>
        <v>77</v>
      </c>
      <c r="H366" s="253" t="s">
        <v>1585</v>
      </c>
      <c r="I366" s="371"/>
      <c r="J366" s="173"/>
      <c r="K366" s="173"/>
      <c r="L366" s="173"/>
      <c r="M366" s="173"/>
      <c r="N366" s="173"/>
      <c r="O366" s="173"/>
      <c r="P366" s="173"/>
      <c r="Q366" s="173"/>
      <c r="R366" s="161"/>
    </row>
    <row r="367" spans="1:18" ht="16.5" thickTop="1" thickBot="1" x14ac:dyDescent="0.3">
      <c r="A367" s="308"/>
      <c r="B367" s="152" t="s">
        <v>1</v>
      </c>
      <c r="C367" s="152">
        <v>1440</v>
      </c>
      <c r="D367" s="152">
        <v>2258</v>
      </c>
      <c r="E367" s="152">
        <v>147</v>
      </c>
      <c r="F367" s="152">
        <f>2+6+1+1+2</f>
        <v>12</v>
      </c>
      <c r="G367" s="245">
        <f t="shared" si="14"/>
        <v>135</v>
      </c>
      <c r="H367" s="253" t="s">
        <v>1586</v>
      </c>
      <c r="I367" s="371"/>
      <c r="J367" s="173"/>
      <c r="K367" s="173"/>
      <c r="L367" s="173"/>
      <c r="M367" s="173"/>
      <c r="N367" s="173"/>
      <c r="O367" s="173"/>
      <c r="P367" s="173"/>
      <c r="Q367" s="173"/>
      <c r="R367" s="161"/>
    </row>
    <row r="368" spans="1:18" ht="16.5" thickTop="1" thickBot="1" x14ac:dyDescent="0.3">
      <c r="A368" s="309"/>
      <c r="B368" s="126" t="s">
        <v>2</v>
      </c>
      <c r="C368" s="126">
        <v>288</v>
      </c>
      <c r="D368" s="126">
        <v>1138</v>
      </c>
      <c r="E368" s="126">
        <v>97</v>
      </c>
      <c r="F368" s="126">
        <f>1+2</f>
        <v>3</v>
      </c>
      <c r="G368" s="246">
        <f t="shared" si="14"/>
        <v>94</v>
      </c>
      <c r="H368" s="254" t="s">
        <v>1587</v>
      </c>
      <c r="I368" s="371"/>
      <c r="J368" s="173"/>
      <c r="K368" s="173"/>
      <c r="L368" s="173"/>
      <c r="M368" s="173"/>
      <c r="N368" s="173"/>
      <c r="O368" s="173"/>
      <c r="P368" s="173"/>
      <c r="Q368" s="173"/>
      <c r="R368" s="161"/>
    </row>
    <row r="369" spans="1:18" ht="16.5" thickTop="1" thickBot="1" x14ac:dyDescent="0.3">
      <c r="A369" s="329" t="s">
        <v>303</v>
      </c>
      <c r="B369" s="151" t="s">
        <v>21</v>
      </c>
      <c r="C369" s="151">
        <v>1440</v>
      </c>
      <c r="D369" s="118">
        <v>259</v>
      </c>
      <c r="E369" s="118">
        <f>5+4*50</f>
        <v>205</v>
      </c>
      <c r="F369" s="151">
        <f>1+1</f>
        <v>2</v>
      </c>
      <c r="G369" s="243">
        <f>E369-F369</f>
        <v>203</v>
      </c>
      <c r="H369" s="252" t="s">
        <v>1588</v>
      </c>
      <c r="I369" s="371" t="s">
        <v>433</v>
      </c>
      <c r="J369" s="173"/>
      <c r="K369" s="173"/>
      <c r="L369" s="173"/>
      <c r="M369" s="173"/>
      <c r="N369" s="173"/>
      <c r="O369" s="173"/>
      <c r="P369" s="173"/>
      <c r="Q369" s="173"/>
      <c r="R369" s="161"/>
    </row>
    <row r="370" spans="1:18" ht="16.5" thickTop="1" thickBot="1" x14ac:dyDescent="0.3">
      <c r="A370" s="330"/>
      <c r="B370" s="152" t="s">
        <v>22</v>
      </c>
      <c r="C370" s="152">
        <v>1440</v>
      </c>
      <c r="D370" s="152">
        <v>315</v>
      </c>
      <c r="E370" s="152">
        <v>160</v>
      </c>
      <c r="F370" s="152">
        <f>1+1</f>
        <v>2</v>
      </c>
      <c r="G370" s="245">
        <f t="shared" si="14"/>
        <v>158</v>
      </c>
      <c r="H370" s="253" t="s">
        <v>1589</v>
      </c>
      <c r="I370" s="371"/>
      <c r="J370" s="173"/>
      <c r="K370" s="173"/>
      <c r="L370" s="173"/>
      <c r="M370" s="173"/>
      <c r="N370" s="173"/>
      <c r="O370" s="173"/>
      <c r="P370" s="173"/>
      <c r="Q370" s="173"/>
      <c r="R370" s="161"/>
    </row>
    <row r="371" spans="1:18" ht="16.5" thickTop="1" thickBot="1" x14ac:dyDescent="0.3">
      <c r="A371" s="330"/>
      <c r="B371" s="152" t="s">
        <v>18</v>
      </c>
      <c r="C371" s="152">
        <v>1440</v>
      </c>
      <c r="D371" s="118">
        <v>358</v>
      </c>
      <c r="E371" s="118">
        <f>6*35+26</f>
        <v>236</v>
      </c>
      <c r="F371" s="152">
        <f>1+1</f>
        <v>2</v>
      </c>
      <c r="G371" s="245">
        <f t="shared" si="14"/>
        <v>234</v>
      </c>
      <c r="H371" s="253" t="s">
        <v>1590</v>
      </c>
      <c r="I371" s="371"/>
      <c r="J371" s="173"/>
      <c r="K371" s="173"/>
      <c r="L371" s="173"/>
      <c r="M371" s="173"/>
      <c r="N371" s="173"/>
      <c r="O371" s="173"/>
      <c r="P371" s="173"/>
      <c r="Q371" s="173"/>
      <c r="R371" s="161"/>
    </row>
    <row r="372" spans="1:18" ht="16.5" thickTop="1" thickBot="1" x14ac:dyDescent="0.3">
      <c r="A372" s="330"/>
      <c r="B372" s="152" t="s">
        <v>0</v>
      </c>
      <c r="C372" s="152">
        <v>1440</v>
      </c>
      <c r="D372" s="152">
        <v>558</v>
      </c>
      <c r="E372" s="152">
        <f>8*25</f>
        <v>200</v>
      </c>
      <c r="F372" s="152">
        <f>2+1+10+1</f>
        <v>14</v>
      </c>
      <c r="G372" s="245">
        <f t="shared" si="14"/>
        <v>186</v>
      </c>
      <c r="H372" s="253" t="s">
        <v>1591</v>
      </c>
      <c r="I372" s="371"/>
      <c r="J372" s="173"/>
      <c r="K372" s="173"/>
      <c r="L372" s="173"/>
      <c r="M372" s="173"/>
      <c r="N372" s="173"/>
      <c r="O372" s="173"/>
      <c r="P372" s="173"/>
      <c r="Q372" s="173"/>
      <c r="R372" s="161"/>
    </row>
    <row r="373" spans="1:18" ht="16.5" thickTop="1" thickBot="1" x14ac:dyDescent="0.3">
      <c r="A373" s="331"/>
      <c r="B373" s="126" t="s">
        <v>1</v>
      </c>
      <c r="C373" s="126">
        <v>1440</v>
      </c>
      <c r="D373" s="126">
        <v>825</v>
      </c>
      <c r="E373" s="126">
        <f>8*15</f>
        <v>120</v>
      </c>
      <c r="F373" s="126">
        <f>3+1+10</f>
        <v>14</v>
      </c>
      <c r="G373" s="246">
        <f t="shared" si="14"/>
        <v>106</v>
      </c>
      <c r="H373" s="254" t="s">
        <v>1592</v>
      </c>
      <c r="I373" s="371"/>
      <c r="J373" s="173"/>
      <c r="K373" s="173"/>
      <c r="L373" s="173"/>
      <c r="M373" s="173"/>
      <c r="N373" s="173"/>
      <c r="O373" s="173"/>
      <c r="P373" s="173"/>
      <c r="Q373" s="173"/>
      <c r="R373" s="161"/>
    </row>
    <row r="374" spans="1:18" ht="16.5" thickTop="1" thickBot="1" x14ac:dyDescent="0.3">
      <c r="A374" s="310" t="s">
        <v>144</v>
      </c>
      <c r="B374" s="151" t="s">
        <v>89</v>
      </c>
      <c r="C374" s="151">
        <v>1440</v>
      </c>
      <c r="D374" s="151">
        <v>83</v>
      </c>
      <c r="E374" s="151">
        <v>49</v>
      </c>
      <c r="F374" s="151">
        <f>1+1</f>
        <v>2</v>
      </c>
      <c r="G374" s="243">
        <f t="shared" si="14"/>
        <v>47</v>
      </c>
      <c r="H374" s="252" t="s">
        <v>1593</v>
      </c>
      <c r="I374" s="371" t="s">
        <v>384</v>
      </c>
      <c r="J374" s="173"/>
      <c r="K374" s="173"/>
      <c r="L374" s="173"/>
      <c r="M374" s="173"/>
      <c r="N374" s="173"/>
      <c r="O374" s="173"/>
      <c r="P374" s="173"/>
      <c r="Q374" s="173"/>
      <c r="R374" s="161"/>
    </row>
    <row r="375" spans="1:18" ht="16.5" thickTop="1" thickBot="1" x14ac:dyDescent="0.3">
      <c r="A375" s="311"/>
      <c r="B375" s="152" t="s">
        <v>304</v>
      </c>
      <c r="C375" s="152">
        <v>1440</v>
      </c>
      <c r="D375" s="152">
        <v>83</v>
      </c>
      <c r="E375" s="152">
        <v>49</v>
      </c>
      <c r="F375" s="152">
        <f>1+1</f>
        <v>2</v>
      </c>
      <c r="G375" s="245">
        <f t="shared" si="14"/>
        <v>47</v>
      </c>
      <c r="H375" s="253" t="s">
        <v>1594</v>
      </c>
      <c r="I375" s="371"/>
      <c r="J375" s="173"/>
      <c r="K375" s="173"/>
      <c r="L375" s="173"/>
      <c r="M375" s="173"/>
      <c r="N375" s="173"/>
      <c r="O375" s="173"/>
      <c r="P375" s="173"/>
      <c r="Q375" s="173"/>
      <c r="R375" s="161"/>
    </row>
    <row r="376" spans="1:18" ht="16.5" thickTop="1" thickBot="1" x14ac:dyDescent="0.3">
      <c r="A376" s="311"/>
      <c r="B376" s="152" t="s">
        <v>21</v>
      </c>
      <c r="C376" s="152">
        <v>1440</v>
      </c>
      <c r="D376" s="152">
        <v>83</v>
      </c>
      <c r="E376" s="152">
        <v>49</v>
      </c>
      <c r="F376" s="152">
        <f>1+2</f>
        <v>3</v>
      </c>
      <c r="G376" s="245">
        <f t="shared" si="14"/>
        <v>46</v>
      </c>
      <c r="H376" s="253" t="s">
        <v>1595</v>
      </c>
      <c r="I376" s="371"/>
      <c r="J376" s="173"/>
      <c r="K376" s="173"/>
      <c r="L376" s="173"/>
      <c r="M376" s="173"/>
      <c r="N376" s="173"/>
      <c r="O376" s="173"/>
      <c r="P376" s="173"/>
      <c r="Q376" s="173"/>
      <c r="R376" s="161"/>
    </row>
    <row r="377" spans="1:18" ht="16.5" thickTop="1" thickBot="1" x14ac:dyDescent="0.3">
      <c r="A377" s="311"/>
      <c r="B377" s="152" t="s">
        <v>22</v>
      </c>
      <c r="C377" s="152">
        <v>1440</v>
      </c>
      <c r="D377" s="152">
        <v>113</v>
      </c>
      <c r="E377" s="152">
        <f>40+9</f>
        <v>49</v>
      </c>
      <c r="F377" s="152">
        <f>1+3</f>
        <v>4</v>
      </c>
      <c r="G377" s="245">
        <f t="shared" si="14"/>
        <v>45</v>
      </c>
      <c r="H377" s="253" t="s">
        <v>1596</v>
      </c>
      <c r="I377" s="371"/>
      <c r="J377" s="173"/>
      <c r="K377" s="173"/>
      <c r="L377" s="173"/>
      <c r="M377" s="173"/>
      <c r="N377" s="173"/>
      <c r="O377" s="173"/>
      <c r="P377" s="173"/>
      <c r="Q377" s="173"/>
      <c r="R377" s="161"/>
    </row>
    <row r="378" spans="1:18" ht="16.5" thickTop="1" thickBot="1" x14ac:dyDescent="0.3">
      <c r="A378" s="311"/>
      <c r="B378" s="152" t="s">
        <v>18</v>
      </c>
      <c r="C378" s="152">
        <v>1440</v>
      </c>
      <c r="D378" s="152">
        <v>123</v>
      </c>
      <c r="E378" s="152">
        <f>35+13</f>
        <v>48</v>
      </c>
      <c r="F378" s="152">
        <f>1+4</f>
        <v>5</v>
      </c>
      <c r="G378" s="245">
        <f t="shared" si="14"/>
        <v>43</v>
      </c>
      <c r="H378" s="253" t="s">
        <v>1597</v>
      </c>
      <c r="I378" s="371"/>
      <c r="J378" s="173"/>
      <c r="K378" s="173"/>
      <c r="L378" s="173"/>
      <c r="M378" s="173"/>
      <c r="N378" s="173"/>
      <c r="O378" s="173"/>
      <c r="P378" s="173"/>
      <c r="Q378" s="173"/>
      <c r="R378" s="161"/>
    </row>
    <row r="379" spans="1:18" ht="16.5" thickTop="1" thickBot="1" x14ac:dyDescent="0.3">
      <c r="A379" s="311"/>
      <c r="B379" s="152" t="s">
        <v>19</v>
      </c>
      <c r="C379" s="152">
        <v>1440</v>
      </c>
      <c r="D379" s="152">
        <v>199</v>
      </c>
      <c r="E379" s="152">
        <v>49</v>
      </c>
      <c r="F379" s="152">
        <f>1+4</f>
        <v>5</v>
      </c>
      <c r="G379" s="245">
        <f t="shared" si="14"/>
        <v>44</v>
      </c>
      <c r="H379" s="253" t="s">
        <v>1598</v>
      </c>
      <c r="I379" s="371"/>
      <c r="J379" s="173"/>
      <c r="K379" s="173"/>
      <c r="L379" s="173"/>
      <c r="M379" s="173"/>
      <c r="N379" s="173"/>
      <c r="O379" s="173"/>
      <c r="P379" s="173"/>
      <c r="Q379" s="173"/>
      <c r="R379" s="161"/>
    </row>
    <row r="380" spans="1:18" ht="16.5" thickTop="1" thickBot="1" x14ac:dyDescent="0.3">
      <c r="A380" s="311"/>
      <c r="B380" s="152" t="s">
        <v>0</v>
      </c>
      <c r="C380" s="152">
        <v>1440</v>
      </c>
      <c r="D380" s="152">
        <v>245</v>
      </c>
      <c r="E380" s="152">
        <v>49</v>
      </c>
      <c r="F380" s="152">
        <f>1+4</f>
        <v>5</v>
      </c>
      <c r="G380" s="245">
        <f t="shared" si="14"/>
        <v>44</v>
      </c>
      <c r="H380" s="253" t="s">
        <v>1599</v>
      </c>
      <c r="I380" s="371"/>
      <c r="J380" s="173"/>
      <c r="K380" s="173"/>
      <c r="L380" s="173"/>
      <c r="M380" s="173"/>
      <c r="N380" s="173"/>
      <c r="O380" s="173"/>
      <c r="P380" s="173"/>
      <c r="Q380" s="173"/>
      <c r="R380" s="161"/>
    </row>
    <row r="381" spans="1:18" ht="16.5" thickTop="1" thickBot="1" x14ac:dyDescent="0.3">
      <c r="A381" s="312"/>
      <c r="B381" s="126" t="s">
        <v>1</v>
      </c>
      <c r="C381" s="126">
        <v>1440</v>
      </c>
      <c r="D381" s="126">
        <v>398</v>
      </c>
      <c r="E381" s="126">
        <f>(3*15)+4</f>
        <v>49</v>
      </c>
      <c r="F381" s="126">
        <f>1+3</f>
        <v>4</v>
      </c>
      <c r="G381" s="246">
        <f t="shared" si="14"/>
        <v>45</v>
      </c>
      <c r="H381" s="254" t="s">
        <v>1600</v>
      </c>
      <c r="I381" s="371"/>
      <c r="J381" s="173"/>
      <c r="K381" s="173"/>
      <c r="L381" s="173"/>
      <c r="M381" s="173"/>
      <c r="N381" s="173"/>
      <c r="O381" s="173"/>
      <c r="P381" s="173"/>
      <c r="Q381" s="173"/>
      <c r="R381" s="161"/>
    </row>
    <row r="382" spans="1:18" ht="16.5" thickTop="1" thickBot="1" x14ac:dyDescent="0.3">
      <c r="A382" s="149" t="s">
        <v>177</v>
      </c>
      <c r="B382" s="149" t="s">
        <v>1</v>
      </c>
      <c r="C382" s="149">
        <v>1440</v>
      </c>
      <c r="D382" s="149">
        <v>582</v>
      </c>
      <c r="E382" s="43">
        <v>106</v>
      </c>
      <c r="F382" s="149">
        <v>10</v>
      </c>
      <c r="G382" s="260">
        <f t="shared" si="14"/>
        <v>96</v>
      </c>
      <c r="H382" s="279" t="s">
        <v>1264</v>
      </c>
      <c r="I382" s="261" t="s">
        <v>374</v>
      </c>
      <c r="J382" s="173"/>
      <c r="K382" s="173"/>
      <c r="L382" s="173"/>
      <c r="M382" s="173"/>
      <c r="N382" s="173"/>
      <c r="O382" s="173"/>
      <c r="P382" s="173"/>
      <c r="Q382" s="173"/>
      <c r="R382" s="161"/>
    </row>
    <row r="383" spans="1:18" ht="16.5" thickTop="1" thickBot="1" x14ac:dyDescent="0.3">
      <c r="A383" s="307" t="s">
        <v>434</v>
      </c>
      <c r="B383" s="151" t="s">
        <v>90</v>
      </c>
      <c r="C383" s="151">
        <v>1440</v>
      </c>
      <c r="D383" s="151">
        <v>160</v>
      </c>
      <c r="E383" s="151">
        <v>57</v>
      </c>
      <c r="F383" s="151">
        <f>1+2+1+1+1+1+1+1</f>
        <v>9</v>
      </c>
      <c r="G383" s="243">
        <f t="shared" si="14"/>
        <v>48</v>
      </c>
      <c r="H383" s="252" t="s">
        <v>1203</v>
      </c>
      <c r="I383" s="371" t="s">
        <v>373</v>
      </c>
      <c r="J383" s="173"/>
      <c r="K383" s="173"/>
      <c r="L383" s="173"/>
      <c r="M383" s="173"/>
      <c r="N383" s="173"/>
      <c r="O383" s="173"/>
      <c r="P383" s="173"/>
      <c r="Q383" s="173"/>
      <c r="R383" s="161"/>
    </row>
    <row r="384" spans="1:18" ht="16.5" thickTop="1" thickBot="1" x14ac:dyDescent="0.3">
      <c r="A384" s="308"/>
      <c r="B384" s="153" t="s">
        <v>89</v>
      </c>
      <c r="C384" s="153">
        <v>1440</v>
      </c>
      <c r="D384" s="153">
        <v>160</v>
      </c>
      <c r="E384" s="153">
        <v>95</v>
      </c>
      <c r="F384" s="153">
        <f>1+1+1+1+1</f>
        <v>5</v>
      </c>
      <c r="G384" s="244">
        <v>99</v>
      </c>
      <c r="H384" s="253" t="s">
        <v>1601</v>
      </c>
      <c r="I384" s="371"/>
      <c r="J384" s="173"/>
      <c r="K384" s="173"/>
      <c r="L384" s="173"/>
      <c r="M384" s="173"/>
      <c r="N384" s="173"/>
      <c r="O384" s="173"/>
      <c r="P384" s="173"/>
      <c r="Q384" s="173"/>
      <c r="R384" s="161"/>
    </row>
    <row r="385" spans="1:18" ht="16.5" thickTop="1" thickBot="1" x14ac:dyDescent="0.3">
      <c r="A385" s="308"/>
      <c r="B385" s="152" t="s">
        <v>21</v>
      </c>
      <c r="C385" s="152">
        <v>1440</v>
      </c>
      <c r="D385" s="152">
        <v>160</v>
      </c>
      <c r="E385" s="152">
        <v>96</v>
      </c>
      <c r="F385" s="152">
        <f>1+1+1+7+1+1+1+5</f>
        <v>18</v>
      </c>
      <c r="G385" s="245">
        <f t="shared" si="14"/>
        <v>78</v>
      </c>
      <c r="H385" s="253" t="s">
        <v>1602</v>
      </c>
      <c r="I385" s="371"/>
      <c r="J385" s="173"/>
      <c r="K385" s="173"/>
      <c r="L385" s="173"/>
      <c r="M385" s="173"/>
      <c r="N385" s="173"/>
      <c r="O385" s="173"/>
      <c r="P385" s="173"/>
      <c r="Q385" s="173"/>
      <c r="R385" s="161"/>
    </row>
    <row r="386" spans="1:18" ht="16.5" thickTop="1" thickBot="1" x14ac:dyDescent="0.3">
      <c r="A386" s="308"/>
      <c r="B386" s="152" t="s">
        <v>22</v>
      </c>
      <c r="C386" s="152">
        <v>1440</v>
      </c>
      <c r="D386" s="152">
        <v>192</v>
      </c>
      <c r="E386" s="152">
        <v>76</v>
      </c>
      <c r="F386" s="152">
        <f>1+1+1+1+1+1+1</f>
        <v>7</v>
      </c>
      <c r="G386" s="245">
        <f t="shared" si="14"/>
        <v>69</v>
      </c>
      <c r="H386" s="253" t="s">
        <v>1603</v>
      </c>
      <c r="I386" s="371"/>
      <c r="J386" s="173"/>
      <c r="K386" s="173"/>
      <c r="L386" s="173"/>
      <c r="M386" s="173"/>
      <c r="N386" s="173"/>
      <c r="O386" s="173"/>
      <c r="P386" s="173"/>
      <c r="Q386" s="173"/>
      <c r="R386" s="161"/>
    </row>
    <row r="387" spans="1:18" ht="16.5" thickTop="1" thickBot="1" x14ac:dyDescent="0.3">
      <c r="A387" s="308"/>
      <c r="B387" s="152" t="s">
        <v>18</v>
      </c>
      <c r="C387" s="152">
        <v>1440</v>
      </c>
      <c r="D387" s="152">
        <v>226</v>
      </c>
      <c r="E387" s="152">
        <v>96</v>
      </c>
      <c r="F387" s="152">
        <f>1+2+1+1+1+1+1+1+1+1+2+1+1+1</f>
        <v>16</v>
      </c>
      <c r="G387" s="245">
        <f t="shared" si="14"/>
        <v>80</v>
      </c>
      <c r="H387" s="253" t="s">
        <v>1604</v>
      </c>
      <c r="I387" s="371"/>
      <c r="J387" s="173"/>
      <c r="K387" s="173"/>
      <c r="L387" s="173"/>
      <c r="M387" s="173"/>
      <c r="N387" s="173"/>
      <c r="O387" s="173"/>
      <c r="P387" s="173"/>
      <c r="Q387" s="173"/>
      <c r="R387" s="161"/>
    </row>
    <row r="388" spans="1:18" ht="16.5" thickTop="1" thickBot="1" x14ac:dyDescent="0.3">
      <c r="A388" s="308"/>
      <c r="B388" s="152" t="s">
        <v>19</v>
      </c>
      <c r="C388" s="152">
        <v>1440</v>
      </c>
      <c r="D388" s="152">
        <v>292</v>
      </c>
      <c r="E388" s="152">
        <f>25+26+5</f>
        <v>56</v>
      </c>
      <c r="F388" s="152">
        <f>1+2+1+1+2+1+1+1+1</f>
        <v>11</v>
      </c>
      <c r="G388" s="245">
        <f t="shared" si="14"/>
        <v>45</v>
      </c>
      <c r="H388" s="253" t="s">
        <v>1605</v>
      </c>
      <c r="I388" s="371"/>
      <c r="J388" s="173"/>
      <c r="K388" s="173"/>
      <c r="L388" s="173"/>
      <c r="M388" s="173"/>
      <c r="N388" s="173"/>
      <c r="O388" s="173"/>
      <c r="P388" s="173"/>
      <c r="Q388" s="173"/>
      <c r="R388" s="161"/>
    </row>
    <row r="389" spans="1:18" ht="16.5" thickTop="1" thickBot="1" x14ac:dyDescent="0.3">
      <c r="A389" s="308"/>
      <c r="B389" s="152" t="s">
        <v>0</v>
      </c>
      <c r="C389" s="152">
        <v>1440</v>
      </c>
      <c r="D389" s="152">
        <v>362</v>
      </c>
      <c r="E389" s="152">
        <f>50+85</f>
        <v>135</v>
      </c>
      <c r="F389" s="152">
        <f>1+2+1+1+1+2+10+1+1+1+1+1+3+1+1+2+1+1+1+1</f>
        <v>34</v>
      </c>
      <c r="G389" s="245">
        <f t="shared" si="14"/>
        <v>101</v>
      </c>
      <c r="H389" s="253" t="s">
        <v>1606</v>
      </c>
      <c r="I389" s="371"/>
      <c r="J389" s="173"/>
      <c r="K389" s="173"/>
      <c r="L389" s="173"/>
      <c r="M389" s="173"/>
      <c r="N389" s="173"/>
      <c r="O389" s="173"/>
      <c r="P389" s="173"/>
      <c r="Q389" s="173"/>
      <c r="R389" s="161"/>
    </row>
    <row r="390" spans="1:18" ht="16.5" thickTop="1" thickBot="1" x14ac:dyDescent="0.3">
      <c r="A390" s="308"/>
      <c r="B390" s="154" t="s">
        <v>1</v>
      </c>
      <c r="C390" s="154">
        <v>1440</v>
      </c>
      <c r="D390" s="154">
        <v>555</v>
      </c>
      <c r="E390" s="154">
        <f>73+90+10</f>
        <v>173</v>
      </c>
      <c r="F390" s="154">
        <f>2+1+1+1+1+1+1+20+1+1+1+1+1</f>
        <v>33</v>
      </c>
      <c r="G390" s="245">
        <f t="shared" si="14"/>
        <v>140</v>
      </c>
      <c r="H390" s="253" t="s">
        <v>1607</v>
      </c>
      <c r="I390" s="371"/>
      <c r="J390" s="173"/>
      <c r="K390" s="173"/>
      <c r="L390" s="173"/>
      <c r="M390" s="173"/>
      <c r="N390" s="173"/>
      <c r="O390" s="173"/>
      <c r="P390" s="173"/>
      <c r="Q390" s="173"/>
      <c r="R390" s="161"/>
    </row>
    <row r="391" spans="1:18" ht="16.5" thickTop="1" thickBot="1" x14ac:dyDescent="0.3">
      <c r="A391" s="308"/>
      <c r="B391" s="152" t="s">
        <v>2</v>
      </c>
      <c r="C391" s="152">
        <v>288</v>
      </c>
      <c r="D391" s="152">
        <v>332</v>
      </c>
      <c r="E391" s="152">
        <v>94</v>
      </c>
      <c r="F391" s="152">
        <f>6+2+1+1+2+1+1+1+1+1+1+1+1</f>
        <v>20</v>
      </c>
      <c r="G391" s="245">
        <f t="shared" si="14"/>
        <v>74</v>
      </c>
      <c r="H391" s="254" t="s">
        <v>1608</v>
      </c>
      <c r="I391" s="371"/>
      <c r="J391" s="173"/>
      <c r="K391" s="173"/>
      <c r="L391" s="173"/>
      <c r="M391" s="173"/>
      <c r="N391" s="173"/>
      <c r="O391" s="173"/>
      <c r="P391" s="173"/>
      <c r="Q391" s="173"/>
      <c r="R391" s="161"/>
    </row>
    <row r="392" spans="1:18" ht="16.5" thickTop="1" thickBot="1" x14ac:dyDescent="0.3">
      <c r="A392" s="307" t="s">
        <v>1265</v>
      </c>
      <c r="B392" s="151" t="s">
        <v>90</v>
      </c>
      <c r="C392" s="151">
        <v>1440</v>
      </c>
      <c r="D392" s="151">
        <v>253</v>
      </c>
      <c r="E392" s="151">
        <v>52</v>
      </c>
      <c r="F392" s="151"/>
      <c r="G392" s="243">
        <f t="shared" si="14"/>
        <v>52</v>
      </c>
      <c r="H392" s="252" t="s">
        <v>1266</v>
      </c>
      <c r="I392" s="371" t="s">
        <v>385</v>
      </c>
      <c r="J392" s="173"/>
      <c r="K392" s="173"/>
      <c r="L392" s="173"/>
      <c r="M392" s="173"/>
      <c r="N392" s="173"/>
      <c r="O392" s="173"/>
      <c r="P392" s="173"/>
      <c r="Q392" s="173"/>
      <c r="R392" s="161"/>
    </row>
    <row r="393" spans="1:18" ht="16.5" thickTop="1" thickBot="1" x14ac:dyDescent="0.3">
      <c r="A393" s="308"/>
      <c r="B393" s="152" t="s">
        <v>89</v>
      </c>
      <c r="C393" s="152">
        <v>1440</v>
      </c>
      <c r="D393" s="152">
        <v>253</v>
      </c>
      <c r="E393" s="152">
        <v>50</v>
      </c>
      <c r="F393" s="152"/>
      <c r="G393" s="245">
        <f t="shared" si="14"/>
        <v>50</v>
      </c>
      <c r="H393" s="253" t="s">
        <v>1609</v>
      </c>
      <c r="I393" s="371"/>
      <c r="J393" s="173"/>
      <c r="K393" s="173"/>
      <c r="L393" s="173"/>
      <c r="M393" s="173"/>
      <c r="N393" s="173"/>
      <c r="O393" s="173"/>
      <c r="P393" s="173"/>
      <c r="Q393" s="173"/>
      <c r="R393" s="161"/>
    </row>
    <row r="394" spans="1:18" ht="16.5" thickTop="1" thickBot="1" x14ac:dyDescent="0.3">
      <c r="A394" s="308"/>
      <c r="B394" s="153" t="s">
        <v>21</v>
      </c>
      <c r="C394" s="153">
        <v>1440</v>
      </c>
      <c r="D394" s="153">
        <v>253</v>
      </c>
      <c r="E394" s="153">
        <v>51</v>
      </c>
      <c r="F394" s="153">
        <v>1</v>
      </c>
      <c r="G394" s="244">
        <f t="shared" si="14"/>
        <v>50</v>
      </c>
      <c r="H394" s="253" t="s">
        <v>1610</v>
      </c>
      <c r="I394" s="371"/>
      <c r="J394" s="173"/>
      <c r="K394" s="173"/>
      <c r="L394" s="173"/>
      <c r="M394" s="173"/>
      <c r="N394" s="173"/>
      <c r="O394" s="173"/>
      <c r="P394" s="173"/>
      <c r="Q394" s="173"/>
      <c r="R394" s="161"/>
    </row>
    <row r="395" spans="1:18" ht="16.5" thickTop="1" thickBot="1" x14ac:dyDescent="0.3">
      <c r="A395" s="308"/>
      <c r="B395" s="152" t="s">
        <v>22</v>
      </c>
      <c r="C395" s="152">
        <v>1440</v>
      </c>
      <c r="D395" s="152">
        <v>283</v>
      </c>
      <c r="E395" s="83">
        <v>40</v>
      </c>
      <c r="F395" s="152"/>
      <c r="G395" s="245">
        <f t="shared" si="14"/>
        <v>40</v>
      </c>
      <c r="H395" s="253" t="s">
        <v>1611</v>
      </c>
      <c r="I395" s="371"/>
      <c r="J395" s="173"/>
      <c r="K395" s="173"/>
      <c r="L395" s="173"/>
      <c r="M395" s="173"/>
      <c r="N395" s="173"/>
      <c r="O395" s="173"/>
      <c r="P395" s="173"/>
      <c r="Q395" s="173"/>
      <c r="R395" s="161"/>
    </row>
    <row r="396" spans="1:18" ht="16.5" thickTop="1" thickBot="1" x14ac:dyDescent="0.3">
      <c r="A396" s="308"/>
      <c r="B396" s="152" t="s">
        <v>18</v>
      </c>
      <c r="C396" s="152">
        <v>1440</v>
      </c>
      <c r="D396" s="152">
        <v>313</v>
      </c>
      <c r="E396" s="83">
        <v>35</v>
      </c>
      <c r="F396" s="152">
        <v>1</v>
      </c>
      <c r="G396" s="245">
        <f t="shared" si="14"/>
        <v>34</v>
      </c>
      <c r="H396" s="253" t="s">
        <v>1612</v>
      </c>
      <c r="I396" s="371"/>
      <c r="J396" s="173"/>
      <c r="K396" s="173"/>
      <c r="L396" s="173"/>
      <c r="M396" s="173"/>
      <c r="N396" s="173"/>
      <c r="O396" s="173"/>
      <c r="P396" s="173"/>
      <c r="Q396" s="173"/>
      <c r="R396" s="161"/>
    </row>
    <row r="397" spans="1:18" ht="16.5" thickTop="1" thickBot="1" x14ac:dyDescent="0.3">
      <c r="A397" s="308"/>
      <c r="B397" s="152" t="s">
        <v>0</v>
      </c>
      <c r="C397" s="152">
        <v>1440</v>
      </c>
      <c r="D397" s="152">
        <v>418</v>
      </c>
      <c r="E397" s="83">
        <v>74</v>
      </c>
      <c r="F397" s="152">
        <f>1+1+1+1</f>
        <v>4</v>
      </c>
      <c r="G397" s="245">
        <f t="shared" si="14"/>
        <v>70</v>
      </c>
      <c r="H397" s="253" t="s">
        <v>1613</v>
      </c>
      <c r="I397" s="371"/>
      <c r="J397" s="173"/>
      <c r="K397" s="173"/>
      <c r="L397" s="173"/>
      <c r="M397" s="173"/>
      <c r="N397" s="173"/>
      <c r="O397" s="173"/>
      <c r="P397" s="173"/>
      <c r="Q397" s="173"/>
      <c r="R397" s="161"/>
    </row>
    <row r="398" spans="1:18" ht="16.5" thickTop="1" thickBot="1" x14ac:dyDescent="0.3">
      <c r="A398" s="308"/>
      <c r="B398" s="152" t="s">
        <v>1</v>
      </c>
      <c r="C398" s="152">
        <v>1440</v>
      </c>
      <c r="D398" s="152">
        <v>726</v>
      </c>
      <c r="E398" s="152">
        <v>119</v>
      </c>
      <c r="F398" s="152">
        <f>1+1</f>
        <v>2</v>
      </c>
      <c r="G398" s="245">
        <f t="shared" si="14"/>
        <v>117</v>
      </c>
      <c r="H398" s="253" t="s">
        <v>1614</v>
      </c>
      <c r="I398" s="371"/>
      <c r="J398" s="173"/>
      <c r="K398" s="173"/>
      <c r="L398" s="173"/>
      <c r="M398" s="173"/>
      <c r="N398" s="173"/>
      <c r="O398" s="173"/>
      <c r="P398" s="173"/>
      <c r="Q398" s="173"/>
      <c r="R398" s="161"/>
    </row>
    <row r="399" spans="1:18" ht="16.5" thickTop="1" thickBot="1" x14ac:dyDescent="0.3">
      <c r="A399" s="309"/>
      <c r="B399" s="126" t="s">
        <v>20</v>
      </c>
      <c r="C399" s="126">
        <v>144</v>
      </c>
      <c r="D399" s="126">
        <v>636</v>
      </c>
      <c r="E399" s="46">
        <v>20</v>
      </c>
      <c r="F399" s="126">
        <v>1</v>
      </c>
      <c r="G399" s="246">
        <f t="shared" si="14"/>
        <v>19</v>
      </c>
      <c r="H399" s="254" t="s">
        <v>1615</v>
      </c>
      <c r="I399" s="371"/>
      <c r="J399" s="173"/>
      <c r="K399" s="173"/>
      <c r="L399" s="173"/>
      <c r="M399" s="173"/>
      <c r="N399" s="173"/>
      <c r="O399" s="173"/>
      <c r="P399" s="173"/>
      <c r="Q399" s="173"/>
      <c r="R399" s="161"/>
    </row>
    <row r="400" spans="1:18" ht="16.5" thickTop="1" thickBot="1" x14ac:dyDescent="0.3">
      <c r="A400" s="308" t="s">
        <v>378</v>
      </c>
      <c r="B400" s="152" t="s">
        <v>19</v>
      </c>
      <c r="C400" s="152">
        <v>1440</v>
      </c>
      <c r="D400" s="152">
        <v>420</v>
      </c>
      <c r="E400" s="152">
        <v>50</v>
      </c>
      <c r="F400" s="152">
        <f>1+1+1</f>
        <v>3</v>
      </c>
      <c r="G400" s="245">
        <f t="shared" si="14"/>
        <v>47</v>
      </c>
      <c r="H400" s="252" t="s">
        <v>1267</v>
      </c>
      <c r="I400" s="371" t="s">
        <v>379</v>
      </c>
      <c r="J400" s="173"/>
      <c r="K400" s="173"/>
      <c r="L400" s="173"/>
      <c r="M400" s="173"/>
      <c r="N400" s="173"/>
      <c r="O400" s="173"/>
      <c r="P400" s="173"/>
      <c r="Q400" s="173"/>
      <c r="R400" s="161"/>
    </row>
    <row r="401" spans="1:18" ht="16.5" thickTop="1" thickBot="1" x14ac:dyDescent="0.3">
      <c r="A401" s="308"/>
      <c r="B401" s="152" t="s">
        <v>0</v>
      </c>
      <c r="C401" s="152">
        <v>1440</v>
      </c>
      <c r="D401" s="152">
        <v>480</v>
      </c>
      <c r="E401" s="152">
        <v>50</v>
      </c>
      <c r="F401" s="152">
        <f>1+1+1+1+1+1+1</f>
        <v>7</v>
      </c>
      <c r="G401" s="245">
        <f t="shared" si="14"/>
        <v>43</v>
      </c>
      <c r="H401" s="253" t="s">
        <v>1268</v>
      </c>
      <c r="I401" s="371"/>
      <c r="J401" s="173"/>
      <c r="K401" s="173"/>
      <c r="L401" s="173"/>
      <c r="M401" s="173"/>
      <c r="N401" s="173"/>
      <c r="O401" s="173"/>
      <c r="P401" s="173"/>
      <c r="Q401" s="173"/>
      <c r="R401" s="161"/>
    </row>
    <row r="402" spans="1:18" ht="16.5" thickTop="1" thickBot="1" x14ac:dyDescent="0.3">
      <c r="A402" s="308"/>
      <c r="B402" s="152" t="s">
        <v>1</v>
      </c>
      <c r="C402" s="152">
        <v>1440</v>
      </c>
      <c r="D402" s="152">
        <v>735</v>
      </c>
      <c r="E402" s="152">
        <f>45+4</f>
        <v>49</v>
      </c>
      <c r="F402" s="152">
        <f>1+6+2+1+2+1+1+1</f>
        <v>15</v>
      </c>
      <c r="G402" s="245">
        <f t="shared" si="14"/>
        <v>34</v>
      </c>
      <c r="H402" s="253" t="s">
        <v>1269</v>
      </c>
      <c r="I402" s="371"/>
      <c r="J402" s="173"/>
      <c r="K402" s="173"/>
      <c r="L402" s="173"/>
      <c r="M402" s="173"/>
      <c r="N402" s="173"/>
      <c r="O402" s="173"/>
      <c r="P402" s="173"/>
      <c r="Q402" s="173"/>
      <c r="R402" s="161"/>
    </row>
    <row r="403" spans="1:18" ht="16.5" thickTop="1" thickBot="1" x14ac:dyDescent="0.3">
      <c r="A403" s="309"/>
      <c r="B403" s="126" t="s">
        <v>2</v>
      </c>
      <c r="C403" s="126">
        <v>288</v>
      </c>
      <c r="D403" s="126">
        <v>445</v>
      </c>
      <c r="E403" s="126">
        <v>49</v>
      </c>
      <c r="F403" s="126">
        <f>1+1+1+1</f>
        <v>4</v>
      </c>
      <c r="G403" s="246">
        <f t="shared" si="14"/>
        <v>45</v>
      </c>
      <c r="H403" s="254" t="s">
        <v>1270</v>
      </c>
      <c r="I403" s="371"/>
      <c r="J403" s="173"/>
      <c r="K403" s="173"/>
      <c r="L403" s="173"/>
      <c r="M403" s="173"/>
      <c r="N403" s="173"/>
      <c r="O403" s="173"/>
      <c r="P403" s="173"/>
      <c r="Q403" s="173"/>
      <c r="R403" s="161"/>
    </row>
    <row r="404" spans="1:18" ht="16.5" thickTop="1" thickBot="1" x14ac:dyDescent="0.3">
      <c r="A404" s="304" t="s">
        <v>178</v>
      </c>
      <c r="B404" s="153" t="s">
        <v>21</v>
      </c>
      <c r="C404" s="153">
        <v>1440</v>
      </c>
      <c r="D404" s="153">
        <v>215</v>
      </c>
      <c r="E404" s="160">
        <v>50</v>
      </c>
      <c r="F404" s="153"/>
      <c r="G404" s="244">
        <f t="shared" si="14"/>
        <v>50</v>
      </c>
      <c r="H404" s="252" t="s">
        <v>1616</v>
      </c>
      <c r="I404" s="371" t="s">
        <v>376</v>
      </c>
      <c r="J404" s="173"/>
      <c r="K404" s="173"/>
      <c r="L404" s="173"/>
      <c r="M404" s="173"/>
      <c r="N404" s="173"/>
      <c r="O404" s="173"/>
      <c r="P404" s="173"/>
      <c r="Q404" s="173"/>
      <c r="R404" s="161"/>
    </row>
    <row r="405" spans="1:18" ht="16.5" thickTop="1" thickBot="1" x14ac:dyDescent="0.3">
      <c r="A405" s="305"/>
      <c r="B405" s="152" t="s">
        <v>22</v>
      </c>
      <c r="C405" s="152">
        <v>1440</v>
      </c>
      <c r="D405" s="152">
        <v>253</v>
      </c>
      <c r="E405" s="83">
        <v>77</v>
      </c>
      <c r="F405" s="152"/>
      <c r="G405" s="245">
        <f t="shared" si="14"/>
        <v>77</v>
      </c>
      <c r="H405" s="253" t="s">
        <v>1617</v>
      </c>
      <c r="I405" s="371"/>
      <c r="J405" s="173"/>
      <c r="K405" s="173"/>
      <c r="L405" s="173"/>
      <c r="M405" s="173"/>
      <c r="N405" s="173"/>
      <c r="O405" s="173"/>
      <c r="P405" s="173"/>
      <c r="Q405" s="173"/>
      <c r="R405" s="161"/>
    </row>
    <row r="406" spans="1:18" ht="16.5" thickTop="1" thickBot="1" x14ac:dyDescent="0.3">
      <c r="A406" s="305"/>
      <c r="B406" s="152" t="s">
        <v>18</v>
      </c>
      <c r="C406" s="152">
        <v>1440</v>
      </c>
      <c r="D406" s="152">
        <v>281</v>
      </c>
      <c r="E406" s="83">
        <v>70</v>
      </c>
      <c r="F406" s="152"/>
      <c r="G406" s="245">
        <f t="shared" si="14"/>
        <v>70</v>
      </c>
      <c r="H406" s="253" t="s">
        <v>1618</v>
      </c>
      <c r="I406" s="371"/>
      <c r="J406" s="173"/>
      <c r="K406" s="173"/>
      <c r="L406" s="173"/>
      <c r="M406" s="173"/>
      <c r="N406" s="173"/>
      <c r="O406" s="173"/>
      <c r="P406" s="173"/>
      <c r="Q406" s="173"/>
      <c r="R406" s="161"/>
    </row>
    <row r="407" spans="1:18" ht="16.5" thickTop="1" thickBot="1" x14ac:dyDescent="0.3">
      <c r="A407" s="305"/>
      <c r="B407" s="152" t="s">
        <v>19</v>
      </c>
      <c r="C407" s="152">
        <v>1440</v>
      </c>
      <c r="D407" s="152">
        <v>347</v>
      </c>
      <c r="E407" s="83">
        <v>30</v>
      </c>
      <c r="F407" s="152"/>
      <c r="G407" s="245">
        <f t="shared" si="14"/>
        <v>30</v>
      </c>
      <c r="H407" s="253" t="s">
        <v>1619</v>
      </c>
      <c r="I407" s="371"/>
      <c r="J407" s="173"/>
      <c r="K407" s="173"/>
      <c r="L407" s="173"/>
      <c r="M407" s="173"/>
      <c r="N407" s="173"/>
      <c r="O407" s="173"/>
      <c r="P407" s="173"/>
      <c r="Q407" s="173"/>
      <c r="R407" s="161"/>
    </row>
    <row r="408" spans="1:18" ht="16.5" thickTop="1" thickBot="1" x14ac:dyDescent="0.3">
      <c r="A408" s="305"/>
      <c r="B408" s="154" t="s">
        <v>0</v>
      </c>
      <c r="C408" s="154">
        <v>1440</v>
      </c>
      <c r="D408" s="152">
        <v>428</v>
      </c>
      <c r="E408" s="83">
        <v>99</v>
      </c>
      <c r="F408" s="152">
        <f>1+1</f>
        <v>2</v>
      </c>
      <c r="G408" s="245">
        <f t="shared" si="14"/>
        <v>97</v>
      </c>
      <c r="H408" s="253" t="s">
        <v>1620</v>
      </c>
      <c r="I408" s="371"/>
      <c r="J408" s="173"/>
      <c r="K408" s="173"/>
      <c r="L408" s="173"/>
      <c r="M408" s="173"/>
      <c r="N408" s="173"/>
      <c r="O408" s="173"/>
      <c r="P408" s="173"/>
      <c r="Q408" s="173"/>
      <c r="R408" s="161"/>
    </row>
    <row r="409" spans="1:18" ht="16.5" thickTop="1" thickBot="1" x14ac:dyDescent="0.3">
      <c r="A409" s="306"/>
      <c r="B409" s="152" t="s">
        <v>1</v>
      </c>
      <c r="C409" s="152">
        <v>1440</v>
      </c>
      <c r="D409" s="126">
        <v>593</v>
      </c>
      <c r="E409" s="46">
        <v>75</v>
      </c>
      <c r="F409" s="126">
        <v>1</v>
      </c>
      <c r="G409" s="246">
        <f t="shared" si="14"/>
        <v>74</v>
      </c>
      <c r="H409" s="254" t="s">
        <v>1621</v>
      </c>
      <c r="I409" s="371"/>
      <c r="J409" s="173"/>
      <c r="K409" s="173"/>
      <c r="L409" s="173"/>
      <c r="M409" s="173"/>
      <c r="N409" s="173"/>
      <c r="O409" s="173"/>
      <c r="P409" s="173"/>
      <c r="Q409" s="173"/>
      <c r="R409" s="161"/>
    </row>
    <row r="410" spans="1:18" ht="16.5" thickTop="1" thickBot="1" x14ac:dyDescent="0.3">
      <c r="A410" s="310" t="s">
        <v>130</v>
      </c>
      <c r="B410" s="151" t="s">
        <v>90</v>
      </c>
      <c r="C410" s="151">
        <v>1440</v>
      </c>
      <c r="D410" s="151">
        <v>270</v>
      </c>
      <c r="E410" s="151">
        <v>47</v>
      </c>
      <c r="F410" s="151">
        <f>1+1+1</f>
        <v>3</v>
      </c>
      <c r="G410" s="243">
        <f t="shared" si="14"/>
        <v>44</v>
      </c>
      <c r="H410" s="252" t="s">
        <v>1271</v>
      </c>
      <c r="I410" s="371" t="s">
        <v>369</v>
      </c>
      <c r="J410" s="173"/>
      <c r="K410" s="173"/>
      <c r="L410" s="173"/>
      <c r="M410" s="173"/>
      <c r="N410" s="173"/>
      <c r="O410" s="173"/>
      <c r="P410" s="173"/>
      <c r="Q410" s="173"/>
      <c r="R410" s="161"/>
    </row>
    <row r="411" spans="1:18" ht="16.5" thickTop="1" thickBot="1" x14ac:dyDescent="0.3">
      <c r="A411" s="311"/>
      <c r="B411" s="152" t="s">
        <v>89</v>
      </c>
      <c r="C411" s="152">
        <v>1440</v>
      </c>
      <c r="D411" s="152">
        <v>270</v>
      </c>
      <c r="E411" s="152">
        <v>46</v>
      </c>
      <c r="F411" s="152"/>
      <c r="G411" s="245">
        <f t="shared" si="14"/>
        <v>46</v>
      </c>
      <c r="H411" s="253" t="s">
        <v>1622</v>
      </c>
      <c r="I411" s="371"/>
      <c r="J411" s="173"/>
      <c r="K411" s="173"/>
      <c r="L411" s="173"/>
      <c r="M411" s="173"/>
      <c r="N411" s="173"/>
      <c r="O411" s="173"/>
      <c r="P411" s="173"/>
      <c r="Q411" s="173"/>
      <c r="R411" s="161"/>
    </row>
    <row r="412" spans="1:18" ht="16.5" thickTop="1" thickBot="1" x14ac:dyDescent="0.3">
      <c r="A412" s="311"/>
      <c r="B412" s="152" t="s">
        <v>21</v>
      </c>
      <c r="C412" s="152">
        <v>1440</v>
      </c>
      <c r="D412" s="152">
        <v>293</v>
      </c>
      <c r="E412" s="152">
        <v>49</v>
      </c>
      <c r="F412" s="152">
        <f>2+1</f>
        <v>3</v>
      </c>
      <c r="G412" s="245">
        <f t="shared" si="14"/>
        <v>46</v>
      </c>
      <c r="H412" s="253" t="s">
        <v>1623</v>
      </c>
      <c r="I412" s="371"/>
      <c r="J412" s="173"/>
      <c r="K412" s="173"/>
      <c r="L412" s="173"/>
      <c r="M412" s="173"/>
      <c r="N412" s="173"/>
      <c r="O412" s="173"/>
      <c r="P412" s="173"/>
      <c r="Q412" s="173"/>
      <c r="R412" s="161"/>
    </row>
    <row r="413" spans="1:18" ht="16.5" thickTop="1" thickBot="1" x14ac:dyDescent="0.3">
      <c r="A413" s="311"/>
      <c r="B413" s="152" t="s">
        <v>22</v>
      </c>
      <c r="C413" s="152">
        <v>1440</v>
      </c>
      <c r="D413" s="152">
        <v>403</v>
      </c>
      <c r="E413" s="152">
        <v>40</v>
      </c>
      <c r="F413" s="152">
        <v>2</v>
      </c>
      <c r="G413" s="245">
        <f t="shared" si="14"/>
        <v>38</v>
      </c>
      <c r="H413" s="253" t="s">
        <v>1624</v>
      </c>
      <c r="I413" s="371"/>
      <c r="J413" s="173"/>
      <c r="K413" s="173"/>
      <c r="L413" s="173"/>
      <c r="M413" s="173"/>
      <c r="N413" s="173"/>
      <c r="O413" s="173"/>
      <c r="P413" s="173"/>
      <c r="Q413" s="173"/>
      <c r="R413" s="161"/>
    </row>
    <row r="414" spans="1:18" ht="16.5" thickTop="1" thickBot="1" x14ac:dyDescent="0.3">
      <c r="A414" s="311"/>
      <c r="B414" s="152" t="s">
        <v>18</v>
      </c>
      <c r="C414" s="152">
        <v>1440</v>
      </c>
      <c r="D414" s="152">
        <v>468</v>
      </c>
      <c r="E414" s="152">
        <v>34</v>
      </c>
      <c r="F414" s="152">
        <f>1+1+1+1+3+1</f>
        <v>8</v>
      </c>
      <c r="G414" s="245">
        <f t="shared" si="14"/>
        <v>26</v>
      </c>
      <c r="H414" s="253" t="s">
        <v>1625</v>
      </c>
      <c r="I414" s="371"/>
      <c r="J414" s="173"/>
      <c r="K414" s="173"/>
      <c r="L414" s="173"/>
      <c r="M414" s="173"/>
      <c r="N414" s="173"/>
      <c r="O414" s="173"/>
      <c r="P414" s="173"/>
      <c r="Q414" s="173"/>
      <c r="R414" s="161"/>
    </row>
    <row r="415" spans="1:18" ht="16.5" thickTop="1" thickBot="1" x14ac:dyDescent="0.3">
      <c r="A415" s="311"/>
      <c r="B415" s="152" t="s">
        <v>19</v>
      </c>
      <c r="C415" s="152">
        <v>1440</v>
      </c>
      <c r="D415" s="152">
        <v>622</v>
      </c>
      <c r="E415" s="152">
        <v>30</v>
      </c>
      <c r="F415" s="152">
        <v>1</v>
      </c>
      <c r="G415" s="245">
        <f t="shared" si="14"/>
        <v>29</v>
      </c>
      <c r="H415" s="253" t="s">
        <v>1627</v>
      </c>
      <c r="I415" s="371"/>
      <c r="J415" s="173"/>
      <c r="K415" s="173"/>
      <c r="L415" s="173"/>
      <c r="M415" s="173"/>
      <c r="N415" s="173"/>
      <c r="O415" s="173"/>
      <c r="P415" s="173"/>
      <c r="Q415" s="173"/>
      <c r="R415" s="161"/>
    </row>
    <row r="416" spans="1:18" ht="16.5" thickTop="1" thickBot="1" x14ac:dyDescent="0.3">
      <c r="A416" s="311"/>
      <c r="B416" s="152" t="s">
        <v>0</v>
      </c>
      <c r="C416" s="152">
        <v>1440</v>
      </c>
      <c r="D416" s="152">
        <v>831</v>
      </c>
      <c r="E416" s="152">
        <v>50</v>
      </c>
      <c r="F416" s="152">
        <f>1+1+1+1</f>
        <v>4</v>
      </c>
      <c r="G416" s="245">
        <f t="shared" si="14"/>
        <v>46</v>
      </c>
      <c r="H416" s="253" t="s">
        <v>1626</v>
      </c>
      <c r="I416" s="371"/>
      <c r="J416" s="173"/>
      <c r="K416" s="173"/>
      <c r="L416" s="173"/>
      <c r="M416" s="173"/>
      <c r="N416" s="173"/>
      <c r="O416" s="173"/>
      <c r="P416" s="173"/>
      <c r="Q416" s="173"/>
      <c r="R416" s="161"/>
    </row>
    <row r="417" spans="1:18" ht="16.5" thickTop="1" thickBot="1" x14ac:dyDescent="0.3">
      <c r="A417" s="311"/>
      <c r="B417" s="152" t="s">
        <v>1</v>
      </c>
      <c r="C417" s="152">
        <v>1440</v>
      </c>
      <c r="D417" s="152">
        <v>1603</v>
      </c>
      <c r="E417" s="152">
        <v>90</v>
      </c>
      <c r="F417" s="152">
        <f>1+1</f>
        <v>2</v>
      </c>
      <c r="G417" s="245">
        <f t="shared" si="14"/>
        <v>88</v>
      </c>
      <c r="H417" s="253" t="s">
        <v>1628</v>
      </c>
      <c r="I417" s="371"/>
      <c r="J417" s="173"/>
      <c r="K417" s="173"/>
      <c r="L417" s="173"/>
      <c r="M417" s="173"/>
      <c r="N417" s="173"/>
      <c r="O417" s="173"/>
      <c r="P417" s="173"/>
      <c r="Q417" s="173"/>
      <c r="R417" s="161"/>
    </row>
    <row r="418" spans="1:18" ht="16.5" thickTop="1" thickBot="1" x14ac:dyDescent="0.3">
      <c r="A418" s="312"/>
      <c r="B418" s="126" t="s">
        <v>2</v>
      </c>
      <c r="C418" s="126">
        <v>288</v>
      </c>
      <c r="D418" s="126">
        <v>801</v>
      </c>
      <c r="E418" s="126">
        <v>50</v>
      </c>
      <c r="F418" s="126">
        <v>1</v>
      </c>
      <c r="G418" s="246">
        <f t="shared" si="14"/>
        <v>49</v>
      </c>
      <c r="H418" s="254" t="s">
        <v>1629</v>
      </c>
      <c r="I418" s="371"/>
      <c r="J418" s="173"/>
      <c r="K418" s="173"/>
      <c r="L418" s="173"/>
      <c r="M418" s="173"/>
      <c r="N418" s="173"/>
      <c r="O418" s="173"/>
      <c r="P418" s="173"/>
      <c r="Q418" s="173"/>
      <c r="R418" s="161"/>
    </row>
    <row r="419" spans="1:18" ht="15.75" thickTop="1" x14ac:dyDescent="0.25">
      <c r="A419" s="310" t="s">
        <v>173</v>
      </c>
      <c r="B419" s="151" t="s">
        <v>90</v>
      </c>
      <c r="C419" s="151">
        <v>1440</v>
      </c>
      <c r="D419" s="151">
        <v>628</v>
      </c>
      <c r="E419" s="151">
        <v>20</v>
      </c>
      <c r="F419" s="151"/>
      <c r="G419" s="243">
        <f t="shared" si="14"/>
        <v>20</v>
      </c>
      <c r="H419" s="252" t="s">
        <v>1272</v>
      </c>
      <c r="I419" s="373" t="s">
        <v>370</v>
      </c>
      <c r="J419" s="173"/>
      <c r="K419" s="173"/>
      <c r="L419" s="173"/>
      <c r="M419" s="173"/>
      <c r="N419" s="173"/>
      <c r="O419" s="173"/>
      <c r="P419" s="173"/>
      <c r="Q419" s="173"/>
      <c r="R419" s="161"/>
    </row>
    <row r="420" spans="1:18" x14ac:dyDescent="0.25">
      <c r="A420" s="311"/>
      <c r="B420" s="152" t="s">
        <v>89</v>
      </c>
      <c r="C420" s="152">
        <v>1440</v>
      </c>
      <c r="D420" s="152">
        <v>628</v>
      </c>
      <c r="E420" s="152">
        <v>20</v>
      </c>
      <c r="F420" s="152"/>
      <c r="G420" s="245">
        <f t="shared" si="14"/>
        <v>20</v>
      </c>
      <c r="H420" s="253" t="s">
        <v>1630</v>
      </c>
      <c r="I420" s="374"/>
      <c r="J420" s="173"/>
      <c r="K420" s="173"/>
      <c r="L420" s="173"/>
      <c r="M420" s="173"/>
      <c r="N420" s="173"/>
      <c r="O420" s="173"/>
      <c r="P420" s="173"/>
      <c r="Q420" s="173"/>
      <c r="R420" s="161"/>
    </row>
    <row r="421" spans="1:18" x14ac:dyDescent="0.25">
      <c r="A421" s="311"/>
      <c r="B421" s="152" t="s">
        <v>21</v>
      </c>
      <c r="C421" s="152">
        <v>1440</v>
      </c>
      <c r="D421" s="152">
        <v>502</v>
      </c>
      <c r="E421" s="152">
        <v>20</v>
      </c>
      <c r="F421" s="152">
        <v>1</v>
      </c>
      <c r="G421" s="245">
        <f t="shared" si="14"/>
        <v>19</v>
      </c>
      <c r="H421" s="253" t="s">
        <v>1631</v>
      </c>
      <c r="I421" s="374"/>
      <c r="J421" s="173"/>
      <c r="K421" s="173"/>
      <c r="L421" s="173"/>
      <c r="M421" s="173"/>
      <c r="N421" s="173"/>
      <c r="O421" s="173"/>
      <c r="P421" s="173"/>
      <c r="Q421" s="173"/>
      <c r="R421" s="161"/>
    </row>
    <row r="422" spans="1:18" x14ac:dyDescent="0.25">
      <c r="A422" s="311"/>
      <c r="B422" s="152" t="s">
        <v>18</v>
      </c>
      <c r="C422" s="152">
        <v>1440</v>
      </c>
      <c r="D422" s="152">
        <v>623</v>
      </c>
      <c r="E422" s="152">
        <f>19+20</f>
        <v>39</v>
      </c>
      <c r="F422" s="152">
        <f>1+1+1</f>
        <v>3</v>
      </c>
      <c r="G422" s="245">
        <f t="shared" si="14"/>
        <v>36</v>
      </c>
      <c r="H422" s="253" t="s">
        <v>1632</v>
      </c>
      <c r="I422" s="374"/>
      <c r="J422" s="173"/>
      <c r="K422" s="173"/>
      <c r="L422" s="173"/>
      <c r="M422" s="173"/>
      <c r="N422" s="173"/>
      <c r="O422" s="173"/>
      <c r="P422" s="173"/>
      <c r="Q422" s="173"/>
      <c r="R422" s="161"/>
    </row>
    <row r="423" spans="1:18" x14ac:dyDescent="0.25">
      <c r="A423" s="311"/>
      <c r="B423" s="152" t="s">
        <v>0</v>
      </c>
      <c r="C423" s="152">
        <v>1440</v>
      </c>
      <c r="D423" s="152">
        <v>1188</v>
      </c>
      <c r="E423" s="152">
        <f>20+20</f>
        <v>40</v>
      </c>
      <c r="F423" s="152">
        <f>1+1+1+1+1+1</f>
        <v>6</v>
      </c>
      <c r="G423" s="245">
        <f t="shared" si="14"/>
        <v>34</v>
      </c>
      <c r="H423" s="253" t="s">
        <v>1633</v>
      </c>
      <c r="I423" s="374"/>
      <c r="J423" s="173"/>
      <c r="K423" s="173"/>
      <c r="L423" s="173"/>
      <c r="M423" s="173"/>
      <c r="N423" s="173"/>
      <c r="O423" s="173"/>
      <c r="P423" s="173"/>
      <c r="Q423" s="173"/>
      <c r="R423" s="161"/>
    </row>
    <row r="424" spans="1:18" x14ac:dyDescent="0.25">
      <c r="A424" s="311"/>
      <c r="B424" s="152" t="s">
        <v>1</v>
      </c>
      <c r="C424" s="152">
        <v>1440</v>
      </c>
      <c r="D424" s="152">
        <v>2071</v>
      </c>
      <c r="E424" s="152">
        <f>11+20</f>
        <v>31</v>
      </c>
      <c r="F424" s="152">
        <f>1+1+1+1+1</f>
        <v>5</v>
      </c>
      <c r="G424" s="245">
        <f t="shared" si="14"/>
        <v>26</v>
      </c>
      <c r="H424" s="253" t="s">
        <v>1634</v>
      </c>
      <c r="I424" s="374"/>
      <c r="J424" s="173"/>
      <c r="K424" s="173"/>
      <c r="L424" s="173"/>
      <c r="M424" s="173"/>
      <c r="N424" s="173"/>
      <c r="O424" s="173"/>
      <c r="P424" s="173"/>
      <c r="Q424" s="173"/>
      <c r="R424" s="161"/>
    </row>
    <row r="425" spans="1:18" ht="15.75" thickBot="1" x14ac:dyDescent="0.3">
      <c r="A425" s="312"/>
      <c r="B425" s="126" t="s">
        <v>2</v>
      </c>
      <c r="C425" s="126">
        <v>288</v>
      </c>
      <c r="D425" s="126">
        <v>1153</v>
      </c>
      <c r="E425" s="126">
        <v>20</v>
      </c>
      <c r="F425" s="126">
        <f>1+1+1</f>
        <v>3</v>
      </c>
      <c r="G425" s="246">
        <f>E425-F425</f>
        <v>17</v>
      </c>
      <c r="H425" s="254" t="s">
        <v>1635</v>
      </c>
      <c r="I425" s="372"/>
      <c r="J425" s="173"/>
      <c r="K425" s="173"/>
      <c r="L425" s="173"/>
      <c r="M425" s="173"/>
      <c r="N425" s="173"/>
      <c r="O425" s="173"/>
      <c r="P425" s="173"/>
      <c r="Q425" s="173"/>
      <c r="R425" s="161"/>
    </row>
    <row r="426" spans="1:18" ht="16.5" thickTop="1" thickBot="1" x14ac:dyDescent="0.3">
      <c r="A426" s="305" t="s">
        <v>174</v>
      </c>
      <c r="B426" s="153" t="s">
        <v>89</v>
      </c>
      <c r="C426" s="153">
        <v>1440</v>
      </c>
      <c r="D426" s="153">
        <v>628</v>
      </c>
      <c r="E426" s="153">
        <v>20</v>
      </c>
      <c r="F426" s="153">
        <v>1</v>
      </c>
      <c r="G426" s="244">
        <f t="shared" si="14"/>
        <v>19</v>
      </c>
      <c r="H426" s="252" t="s">
        <v>1636</v>
      </c>
      <c r="I426" s="372" t="s">
        <v>371</v>
      </c>
      <c r="J426" s="173"/>
      <c r="K426" s="173"/>
      <c r="L426" s="173"/>
      <c r="M426" s="173"/>
      <c r="N426" s="173"/>
      <c r="O426" s="173"/>
      <c r="P426" s="173"/>
      <c r="Q426" s="173"/>
      <c r="R426" s="161"/>
    </row>
    <row r="427" spans="1:18" ht="16.5" thickTop="1" thickBot="1" x14ac:dyDescent="0.3">
      <c r="A427" s="305"/>
      <c r="B427" s="153" t="s">
        <v>21</v>
      </c>
      <c r="C427" s="153">
        <v>1440</v>
      </c>
      <c r="D427" s="153">
        <v>502</v>
      </c>
      <c r="E427" s="153">
        <v>20</v>
      </c>
      <c r="F427" s="153">
        <v>1</v>
      </c>
      <c r="G427" s="244">
        <f t="shared" si="14"/>
        <v>19</v>
      </c>
      <c r="H427" s="253" t="s">
        <v>1637</v>
      </c>
      <c r="I427" s="371"/>
      <c r="J427" s="173"/>
      <c r="K427" s="173"/>
      <c r="L427" s="173"/>
      <c r="M427" s="173"/>
      <c r="N427" s="173"/>
      <c r="O427" s="173"/>
      <c r="P427" s="173"/>
      <c r="Q427" s="173"/>
      <c r="R427" s="161"/>
    </row>
    <row r="428" spans="1:18" ht="16.5" thickTop="1" thickBot="1" x14ac:dyDescent="0.3">
      <c r="A428" s="305"/>
      <c r="B428" s="152" t="s">
        <v>22</v>
      </c>
      <c r="C428" s="152">
        <v>1440</v>
      </c>
      <c r="D428" s="152">
        <v>568</v>
      </c>
      <c r="E428" s="152">
        <v>20</v>
      </c>
      <c r="F428" s="152"/>
      <c r="G428" s="245">
        <f t="shared" si="14"/>
        <v>20</v>
      </c>
      <c r="H428" s="253" t="s">
        <v>1638</v>
      </c>
      <c r="I428" s="371"/>
      <c r="J428" s="173"/>
      <c r="K428" s="173"/>
      <c r="L428" s="173"/>
      <c r="M428" s="173"/>
      <c r="N428" s="173"/>
      <c r="O428" s="173"/>
      <c r="P428" s="173"/>
      <c r="Q428" s="173"/>
      <c r="R428" s="161"/>
    </row>
    <row r="429" spans="1:18" ht="16.5" thickTop="1" thickBot="1" x14ac:dyDescent="0.3">
      <c r="A429" s="305"/>
      <c r="B429" s="152" t="s">
        <v>18</v>
      </c>
      <c r="C429" s="152">
        <v>1440</v>
      </c>
      <c r="D429" s="152">
        <v>623</v>
      </c>
      <c r="E429" s="152">
        <v>20</v>
      </c>
      <c r="F429" s="152"/>
      <c r="G429" s="245">
        <f t="shared" si="14"/>
        <v>20</v>
      </c>
      <c r="H429" s="253" t="s">
        <v>1639</v>
      </c>
      <c r="I429" s="371"/>
      <c r="J429" s="173"/>
      <c r="K429" s="173"/>
      <c r="L429" s="173"/>
      <c r="M429" s="173"/>
      <c r="N429" s="173"/>
      <c r="O429" s="173"/>
      <c r="P429" s="173"/>
      <c r="Q429" s="173"/>
      <c r="R429" s="161"/>
    </row>
    <row r="430" spans="1:18" ht="16.5" thickTop="1" thickBot="1" x14ac:dyDescent="0.3">
      <c r="A430" s="305"/>
      <c r="B430" s="152" t="s">
        <v>19</v>
      </c>
      <c r="C430" s="152">
        <v>1440</v>
      </c>
      <c r="D430" s="152">
        <v>898</v>
      </c>
      <c r="E430" s="152">
        <v>20</v>
      </c>
      <c r="F430" s="152"/>
      <c r="G430" s="245">
        <f t="shared" si="14"/>
        <v>20</v>
      </c>
      <c r="H430" s="253" t="s">
        <v>1640</v>
      </c>
      <c r="I430" s="371"/>
      <c r="J430" s="173"/>
      <c r="K430" s="173"/>
      <c r="L430" s="173"/>
      <c r="M430" s="173"/>
      <c r="N430" s="173"/>
      <c r="O430" s="173"/>
      <c r="P430" s="173"/>
      <c r="Q430" s="173"/>
      <c r="R430" s="161"/>
    </row>
    <row r="431" spans="1:18" ht="16.5" thickTop="1" thickBot="1" x14ac:dyDescent="0.3">
      <c r="A431" s="305"/>
      <c r="B431" s="152" t="s">
        <v>0</v>
      </c>
      <c r="C431" s="152">
        <v>1440</v>
      </c>
      <c r="D431" s="152">
        <v>1188</v>
      </c>
      <c r="E431" s="152">
        <v>20</v>
      </c>
      <c r="F431" s="152">
        <v>1</v>
      </c>
      <c r="G431" s="245">
        <f t="shared" si="14"/>
        <v>19</v>
      </c>
      <c r="H431" s="253" t="s">
        <v>1641</v>
      </c>
      <c r="I431" s="371"/>
      <c r="J431" s="173"/>
      <c r="K431" s="173"/>
      <c r="L431" s="173"/>
      <c r="M431" s="173"/>
      <c r="N431" s="173"/>
      <c r="O431" s="173"/>
      <c r="P431" s="173"/>
      <c r="Q431" s="173"/>
      <c r="R431" s="161"/>
    </row>
    <row r="432" spans="1:18" ht="16.5" thickTop="1" thickBot="1" x14ac:dyDescent="0.3">
      <c r="A432" s="306"/>
      <c r="B432" s="126" t="s">
        <v>1</v>
      </c>
      <c r="C432" s="126">
        <v>1440</v>
      </c>
      <c r="D432" s="126">
        <v>2071</v>
      </c>
      <c r="E432" s="126">
        <v>14</v>
      </c>
      <c r="F432" s="126">
        <f>1+1</f>
        <v>2</v>
      </c>
      <c r="G432" s="246">
        <f>E432-F432</f>
        <v>12</v>
      </c>
      <c r="H432" s="254" t="s">
        <v>1642</v>
      </c>
      <c r="I432" s="371"/>
      <c r="J432" s="173"/>
      <c r="K432" s="173"/>
      <c r="L432" s="173"/>
      <c r="M432" s="173"/>
      <c r="N432" s="173"/>
      <c r="O432" s="173"/>
      <c r="P432" s="173"/>
      <c r="Q432" s="173"/>
      <c r="R432" s="161"/>
    </row>
    <row r="433" spans="1:18" ht="16.5" thickTop="1" thickBot="1" x14ac:dyDescent="0.3">
      <c r="A433" s="304" t="s">
        <v>175</v>
      </c>
      <c r="B433" s="151" t="s">
        <v>90</v>
      </c>
      <c r="C433" s="151">
        <v>1440</v>
      </c>
      <c r="D433" s="151">
        <v>733</v>
      </c>
      <c r="E433" s="151">
        <v>20</v>
      </c>
      <c r="F433" s="151">
        <f>2</f>
        <v>2</v>
      </c>
      <c r="G433" s="243">
        <f>E433-F433</f>
        <v>18</v>
      </c>
      <c r="H433" s="252" t="s">
        <v>1273</v>
      </c>
      <c r="I433" s="371" t="s">
        <v>372</v>
      </c>
      <c r="J433" s="173"/>
      <c r="K433" s="173"/>
      <c r="L433" s="173"/>
      <c r="M433" s="173"/>
      <c r="N433" s="173"/>
      <c r="O433" s="173"/>
      <c r="P433" s="173"/>
      <c r="Q433" s="173"/>
      <c r="R433" s="161"/>
    </row>
    <row r="434" spans="1:18" ht="16.5" thickTop="1" thickBot="1" x14ac:dyDescent="0.3">
      <c r="A434" s="305"/>
      <c r="B434" s="152" t="s">
        <v>89</v>
      </c>
      <c r="C434" s="152">
        <v>1440</v>
      </c>
      <c r="D434" s="152">
        <v>733</v>
      </c>
      <c r="E434" s="152">
        <v>20</v>
      </c>
      <c r="F434" s="152"/>
      <c r="G434" s="245">
        <f>E434-F434</f>
        <v>20</v>
      </c>
      <c r="H434" s="253" t="s">
        <v>1643</v>
      </c>
      <c r="I434" s="371"/>
      <c r="J434" s="173"/>
      <c r="K434" s="173"/>
      <c r="L434" s="173"/>
      <c r="M434" s="173"/>
      <c r="N434" s="173"/>
      <c r="O434" s="173"/>
      <c r="P434" s="173"/>
      <c r="Q434" s="173"/>
      <c r="R434" s="161"/>
    </row>
    <row r="435" spans="1:18" ht="16.5" thickTop="1" thickBot="1" x14ac:dyDescent="0.3">
      <c r="A435" s="305"/>
      <c r="B435" s="153" t="s">
        <v>21</v>
      </c>
      <c r="C435" s="153">
        <v>1440</v>
      </c>
      <c r="D435" s="152">
        <v>585</v>
      </c>
      <c r="E435" s="152">
        <v>15</v>
      </c>
      <c r="F435" s="152">
        <v>1</v>
      </c>
      <c r="G435" s="245">
        <f t="shared" ref="G435:G449" si="17">E435-F435</f>
        <v>14</v>
      </c>
      <c r="H435" s="253" t="s">
        <v>1644</v>
      </c>
      <c r="I435" s="371"/>
      <c r="J435" s="173"/>
      <c r="K435" s="173"/>
      <c r="L435" s="173"/>
      <c r="M435" s="173"/>
      <c r="N435" s="173"/>
      <c r="O435" s="173"/>
      <c r="P435" s="173"/>
      <c r="Q435" s="173"/>
      <c r="R435" s="161"/>
    </row>
    <row r="436" spans="1:18" ht="16.5" thickTop="1" thickBot="1" x14ac:dyDescent="0.3">
      <c r="A436" s="305"/>
      <c r="B436" s="152" t="s">
        <v>22</v>
      </c>
      <c r="C436" s="152">
        <v>1440</v>
      </c>
      <c r="D436" s="152">
        <v>723</v>
      </c>
      <c r="E436" s="152">
        <v>20</v>
      </c>
      <c r="F436" s="152"/>
      <c r="G436" s="245">
        <f t="shared" si="17"/>
        <v>20</v>
      </c>
      <c r="H436" s="253" t="s">
        <v>1645</v>
      </c>
      <c r="I436" s="371"/>
      <c r="J436" s="173"/>
      <c r="K436" s="173"/>
      <c r="L436" s="173"/>
      <c r="M436" s="173"/>
      <c r="N436" s="173"/>
      <c r="O436" s="173"/>
      <c r="P436" s="173"/>
      <c r="Q436" s="173"/>
      <c r="R436" s="161"/>
    </row>
    <row r="437" spans="1:18" ht="16.5" thickTop="1" thickBot="1" x14ac:dyDescent="0.3">
      <c r="A437" s="305"/>
      <c r="B437" s="152" t="s">
        <v>18</v>
      </c>
      <c r="C437" s="152">
        <v>1440</v>
      </c>
      <c r="D437" s="152">
        <v>778</v>
      </c>
      <c r="E437" s="152">
        <v>18</v>
      </c>
      <c r="F437" s="152">
        <v>1</v>
      </c>
      <c r="G437" s="245">
        <f t="shared" si="17"/>
        <v>17</v>
      </c>
      <c r="H437" s="253" t="s">
        <v>1646</v>
      </c>
      <c r="I437" s="371"/>
      <c r="J437" s="173"/>
      <c r="K437" s="173"/>
      <c r="L437" s="173"/>
      <c r="M437" s="173"/>
      <c r="N437" s="173"/>
      <c r="O437" s="173"/>
      <c r="P437" s="173"/>
      <c r="Q437" s="173"/>
      <c r="R437" s="161"/>
    </row>
    <row r="438" spans="1:18" ht="16.5" thickTop="1" thickBot="1" x14ac:dyDescent="0.3">
      <c r="A438" s="305"/>
      <c r="B438" s="152" t="s">
        <v>19</v>
      </c>
      <c r="C438" s="152">
        <v>1440</v>
      </c>
      <c r="D438" s="152">
        <v>1163</v>
      </c>
      <c r="E438" s="152">
        <v>20</v>
      </c>
      <c r="F438" s="152"/>
      <c r="G438" s="245">
        <f t="shared" si="17"/>
        <v>20</v>
      </c>
      <c r="H438" s="253" t="s">
        <v>1647</v>
      </c>
      <c r="I438" s="371"/>
      <c r="J438" s="173"/>
      <c r="K438" s="173"/>
      <c r="L438" s="173"/>
      <c r="M438" s="173"/>
      <c r="N438" s="173"/>
      <c r="O438" s="173"/>
      <c r="P438" s="173"/>
      <c r="Q438" s="173"/>
      <c r="R438" s="161"/>
    </row>
    <row r="439" spans="1:18" ht="16.5" thickTop="1" thickBot="1" x14ac:dyDescent="0.3">
      <c r="A439" s="305"/>
      <c r="B439" s="152" t="s">
        <v>0</v>
      </c>
      <c r="C439" s="152">
        <v>1440</v>
      </c>
      <c r="D439" s="152">
        <v>1618</v>
      </c>
      <c r="E439" s="152">
        <v>19</v>
      </c>
      <c r="F439" s="152"/>
      <c r="G439" s="245">
        <f t="shared" si="17"/>
        <v>19</v>
      </c>
      <c r="H439" s="253" t="s">
        <v>1648</v>
      </c>
      <c r="I439" s="371"/>
      <c r="J439" s="173"/>
      <c r="K439" s="173"/>
      <c r="L439" s="173"/>
      <c r="M439" s="173"/>
      <c r="N439" s="173"/>
      <c r="O439" s="173"/>
      <c r="P439" s="173"/>
      <c r="Q439" s="173"/>
      <c r="R439" s="161"/>
    </row>
    <row r="440" spans="1:18" ht="16.5" thickTop="1" thickBot="1" x14ac:dyDescent="0.3">
      <c r="A440" s="306"/>
      <c r="B440" s="154" t="s">
        <v>1</v>
      </c>
      <c r="C440" s="154">
        <v>1440</v>
      </c>
      <c r="D440" s="154">
        <v>2321</v>
      </c>
      <c r="E440" s="154">
        <v>13</v>
      </c>
      <c r="F440" s="154"/>
      <c r="G440" s="246">
        <f t="shared" si="17"/>
        <v>13</v>
      </c>
      <c r="H440" s="254" t="s">
        <v>1649</v>
      </c>
      <c r="I440" s="371"/>
      <c r="J440" s="173"/>
      <c r="K440" s="173"/>
      <c r="L440" s="173"/>
      <c r="M440" s="173"/>
      <c r="N440" s="173"/>
      <c r="O440" s="173"/>
      <c r="P440" s="173"/>
      <c r="Q440" s="173"/>
      <c r="R440" s="161"/>
    </row>
    <row r="441" spans="1:18" ht="16.5" thickTop="1" thickBot="1" x14ac:dyDescent="0.3">
      <c r="A441" s="310" t="s">
        <v>176</v>
      </c>
      <c r="B441" s="151" t="s">
        <v>90</v>
      </c>
      <c r="C441" s="151">
        <v>1440</v>
      </c>
      <c r="D441" s="151">
        <v>201</v>
      </c>
      <c r="E441" s="151">
        <v>99</v>
      </c>
      <c r="F441" s="151">
        <f>1+1+1+1</f>
        <v>4</v>
      </c>
      <c r="G441" s="243">
        <f t="shared" si="17"/>
        <v>95</v>
      </c>
      <c r="H441" s="252" t="s">
        <v>1209</v>
      </c>
      <c r="I441" s="371" t="s">
        <v>381</v>
      </c>
      <c r="J441" s="173"/>
      <c r="K441" s="173"/>
      <c r="L441" s="173"/>
      <c r="M441" s="173"/>
      <c r="N441" s="173"/>
      <c r="O441" s="173"/>
      <c r="P441" s="173"/>
      <c r="Q441" s="173"/>
      <c r="R441" s="161"/>
    </row>
    <row r="442" spans="1:18" ht="16.5" thickTop="1" thickBot="1" x14ac:dyDescent="0.3">
      <c r="A442" s="311"/>
      <c r="B442" s="152" t="s">
        <v>89</v>
      </c>
      <c r="C442" s="152">
        <v>1440</v>
      </c>
      <c r="D442" s="152">
        <v>201</v>
      </c>
      <c r="E442" s="152">
        <v>100</v>
      </c>
      <c r="F442" s="152">
        <f>1+1+6+1+1+1+1</f>
        <v>12</v>
      </c>
      <c r="G442" s="245">
        <f t="shared" si="17"/>
        <v>88</v>
      </c>
      <c r="H442" s="253" t="s">
        <v>1650</v>
      </c>
      <c r="I442" s="371"/>
      <c r="J442" s="173"/>
      <c r="K442" s="173"/>
      <c r="L442" s="173"/>
      <c r="M442" s="173"/>
      <c r="N442" s="173"/>
      <c r="O442" s="173"/>
      <c r="P442" s="173"/>
      <c r="Q442" s="173"/>
      <c r="R442" s="161"/>
    </row>
    <row r="443" spans="1:18" ht="16.5" thickTop="1" thickBot="1" x14ac:dyDescent="0.3">
      <c r="A443" s="311"/>
      <c r="B443" s="152" t="s">
        <v>21</v>
      </c>
      <c r="C443" s="152">
        <v>1440</v>
      </c>
      <c r="D443" s="152">
        <v>201</v>
      </c>
      <c r="E443" s="83">
        <f>48+20</f>
        <v>68</v>
      </c>
      <c r="F443" s="152">
        <f>1+12+1+1+1+1+1+1</f>
        <v>19</v>
      </c>
      <c r="G443" s="245">
        <f t="shared" si="17"/>
        <v>49</v>
      </c>
      <c r="H443" s="253" t="s">
        <v>1651</v>
      </c>
      <c r="I443" s="371"/>
      <c r="J443" s="173"/>
      <c r="K443" s="173"/>
      <c r="L443" s="173"/>
      <c r="M443" s="173"/>
      <c r="N443" s="173"/>
      <c r="O443" s="173"/>
      <c r="P443" s="173"/>
      <c r="Q443" s="173"/>
      <c r="R443" s="161"/>
    </row>
    <row r="444" spans="1:18" ht="16.5" thickTop="1" thickBot="1" x14ac:dyDescent="0.3">
      <c r="A444" s="311"/>
      <c r="B444" s="152" t="s">
        <v>22</v>
      </c>
      <c r="C444" s="152">
        <v>1440</v>
      </c>
      <c r="D444" s="152">
        <v>260</v>
      </c>
      <c r="E444" s="83">
        <v>80</v>
      </c>
      <c r="F444" s="152">
        <f>1+1+1+1</f>
        <v>4</v>
      </c>
      <c r="G444" s="245">
        <f t="shared" si="17"/>
        <v>76</v>
      </c>
      <c r="H444" s="253" t="s">
        <v>1652</v>
      </c>
      <c r="I444" s="371"/>
      <c r="J444" s="173"/>
      <c r="K444" s="173"/>
      <c r="L444" s="173"/>
      <c r="M444" s="173"/>
      <c r="N444" s="173"/>
      <c r="O444" s="173"/>
      <c r="P444" s="173"/>
      <c r="Q444" s="173"/>
      <c r="R444" s="161"/>
    </row>
    <row r="445" spans="1:18" ht="16.5" thickTop="1" thickBot="1" x14ac:dyDescent="0.3">
      <c r="A445" s="311"/>
      <c r="B445" s="152" t="s">
        <v>18</v>
      </c>
      <c r="C445" s="152">
        <v>1440</v>
      </c>
      <c r="D445" s="152">
        <v>283</v>
      </c>
      <c r="E445" s="83">
        <v>70</v>
      </c>
      <c r="F445" s="152">
        <f>1+1+1+1+1+1</f>
        <v>6</v>
      </c>
      <c r="G445" s="245">
        <f t="shared" si="17"/>
        <v>64</v>
      </c>
      <c r="H445" s="253" t="s">
        <v>1653</v>
      </c>
      <c r="I445" s="371"/>
      <c r="J445" s="173"/>
      <c r="K445" s="173"/>
      <c r="L445" s="173"/>
      <c r="M445" s="173"/>
      <c r="N445" s="173"/>
      <c r="O445" s="173"/>
      <c r="P445" s="173"/>
      <c r="Q445" s="173"/>
      <c r="R445" s="161"/>
    </row>
    <row r="446" spans="1:18" ht="16.5" thickTop="1" thickBot="1" x14ac:dyDescent="0.3">
      <c r="A446" s="311"/>
      <c r="B446" s="152" t="s">
        <v>19</v>
      </c>
      <c r="C446" s="152">
        <v>1440</v>
      </c>
      <c r="D446" s="152">
        <v>343</v>
      </c>
      <c r="E446" s="83">
        <v>30</v>
      </c>
      <c r="F446" s="152">
        <f>1+1+1</f>
        <v>3</v>
      </c>
      <c r="G446" s="245">
        <f t="shared" si="17"/>
        <v>27</v>
      </c>
      <c r="H446" s="253" t="s">
        <v>1654</v>
      </c>
      <c r="I446" s="371"/>
      <c r="J446" s="173"/>
      <c r="K446" s="173"/>
      <c r="L446" s="173"/>
      <c r="M446" s="173"/>
      <c r="N446" s="173"/>
      <c r="O446" s="173"/>
      <c r="P446" s="173"/>
      <c r="Q446" s="173"/>
      <c r="R446" s="161"/>
    </row>
    <row r="447" spans="1:18" ht="16.5" thickTop="1" thickBot="1" x14ac:dyDescent="0.3">
      <c r="A447" s="311"/>
      <c r="B447" s="152" t="s">
        <v>0</v>
      </c>
      <c r="C447" s="152">
        <v>1440</v>
      </c>
      <c r="D447" s="152">
        <v>378</v>
      </c>
      <c r="E447" s="83">
        <v>98</v>
      </c>
      <c r="F447" s="152">
        <f>1+1+1+1+1+1</f>
        <v>6</v>
      </c>
      <c r="G447" s="245">
        <f t="shared" si="17"/>
        <v>92</v>
      </c>
      <c r="H447" s="253" t="s">
        <v>1655</v>
      </c>
      <c r="I447" s="371"/>
      <c r="J447" s="173"/>
      <c r="K447" s="173"/>
      <c r="L447" s="173"/>
      <c r="M447" s="173"/>
      <c r="N447" s="173"/>
      <c r="O447" s="173"/>
      <c r="P447" s="173"/>
      <c r="Q447" s="173"/>
      <c r="R447" s="161"/>
    </row>
    <row r="448" spans="1:18" ht="16.5" thickTop="1" thickBot="1" x14ac:dyDescent="0.3">
      <c r="A448" s="311"/>
      <c r="B448" s="152" t="s">
        <v>1</v>
      </c>
      <c r="C448" s="152">
        <v>1440</v>
      </c>
      <c r="D448" s="114">
        <v>706</v>
      </c>
      <c r="E448" s="114">
        <f>3*15</f>
        <v>45</v>
      </c>
      <c r="F448" s="152">
        <f>2+1+1</f>
        <v>4</v>
      </c>
      <c r="G448" s="245">
        <f t="shared" si="17"/>
        <v>41</v>
      </c>
      <c r="H448" s="253" t="s">
        <v>1656</v>
      </c>
      <c r="I448" s="371"/>
      <c r="J448" s="173"/>
      <c r="K448" s="173"/>
      <c r="L448" s="173"/>
      <c r="M448" s="173"/>
      <c r="N448" s="173"/>
      <c r="O448" s="173"/>
      <c r="P448" s="173"/>
      <c r="Q448" s="173"/>
      <c r="R448" s="161"/>
    </row>
    <row r="449" spans="1:18" ht="16.5" thickTop="1" thickBot="1" x14ac:dyDescent="0.3">
      <c r="A449" s="312"/>
      <c r="B449" s="126" t="s">
        <v>2</v>
      </c>
      <c r="C449" s="126">
        <v>288</v>
      </c>
      <c r="D449" s="116">
        <v>378</v>
      </c>
      <c r="E449" s="116">
        <f>2*25</f>
        <v>50</v>
      </c>
      <c r="F449" s="126">
        <v>1</v>
      </c>
      <c r="G449" s="246">
        <f t="shared" si="17"/>
        <v>49</v>
      </c>
      <c r="H449" s="254" t="s">
        <v>1657</v>
      </c>
      <c r="I449" s="371"/>
      <c r="J449" s="173"/>
      <c r="K449" s="173"/>
      <c r="L449" s="173"/>
      <c r="M449" s="173"/>
      <c r="N449" s="173"/>
      <c r="O449" s="173"/>
      <c r="P449" s="173"/>
      <c r="Q449" s="173"/>
      <c r="R449" s="161"/>
    </row>
    <row r="450" spans="1:18" ht="16.5" thickTop="1" thickBot="1" x14ac:dyDescent="0.3">
      <c r="A450" s="307" t="s">
        <v>435</v>
      </c>
      <c r="B450" s="151" t="s">
        <v>21</v>
      </c>
      <c r="C450" s="151">
        <v>1440</v>
      </c>
      <c r="D450" s="151">
        <v>253</v>
      </c>
      <c r="E450" s="151">
        <v>97</v>
      </c>
      <c r="F450" s="151">
        <f>1+1</f>
        <v>2</v>
      </c>
      <c r="G450" s="243">
        <f t="shared" ref="G450:G490" si="18">E450-F450</f>
        <v>95</v>
      </c>
      <c r="H450" s="252" t="s">
        <v>1658</v>
      </c>
      <c r="I450" s="371" t="s">
        <v>380</v>
      </c>
      <c r="J450" s="173"/>
      <c r="K450" s="173"/>
      <c r="L450" s="173"/>
      <c r="M450" s="173"/>
      <c r="N450" s="173"/>
      <c r="O450" s="173"/>
      <c r="P450" s="173"/>
      <c r="Q450" s="173"/>
      <c r="R450" s="161"/>
    </row>
    <row r="451" spans="1:18" ht="16.5" thickTop="1" thickBot="1" x14ac:dyDescent="0.3">
      <c r="A451" s="308"/>
      <c r="B451" s="152" t="s">
        <v>0</v>
      </c>
      <c r="C451" s="152">
        <v>1440</v>
      </c>
      <c r="D451" s="152">
        <v>461</v>
      </c>
      <c r="E451" s="152">
        <v>100</v>
      </c>
      <c r="F451" s="152">
        <f>1+1+1+1+1+1</f>
        <v>6</v>
      </c>
      <c r="G451" s="245">
        <f t="shared" si="18"/>
        <v>94</v>
      </c>
      <c r="H451" s="253" t="s">
        <v>1659</v>
      </c>
      <c r="I451" s="371"/>
      <c r="J451" s="173"/>
      <c r="K451" s="173"/>
      <c r="L451" s="173"/>
      <c r="M451" s="173"/>
      <c r="N451" s="173"/>
      <c r="O451" s="173"/>
      <c r="P451" s="173"/>
      <c r="Q451" s="173"/>
      <c r="R451" s="161"/>
    </row>
    <row r="452" spans="1:18" ht="16.5" thickTop="1" thickBot="1" x14ac:dyDescent="0.3">
      <c r="A452" s="308"/>
      <c r="B452" s="152" t="s">
        <v>1</v>
      </c>
      <c r="C452" s="152">
        <v>1440</v>
      </c>
      <c r="D452" s="154">
        <v>727</v>
      </c>
      <c r="E452" s="152">
        <v>150</v>
      </c>
      <c r="F452" s="152">
        <f>1+1+1+1+1+3+3+2+2</f>
        <v>15</v>
      </c>
      <c r="G452" s="245">
        <f t="shared" si="18"/>
        <v>135</v>
      </c>
      <c r="H452" s="254" t="s">
        <v>1660</v>
      </c>
      <c r="I452" s="371"/>
      <c r="J452" s="173"/>
      <c r="K452" s="173"/>
      <c r="L452" s="173"/>
      <c r="M452" s="173"/>
      <c r="N452" s="173"/>
      <c r="O452" s="173"/>
      <c r="P452" s="173"/>
      <c r="Q452" s="173"/>
      <c r="R452" s="161"/>
    </row>
    <row r="453" spans="1:18" ht="16.5" thickTop="1" thickBot="1" x14ac:dyDescent="0.3">
      <c r="A453" s="313" t="s">
        <v>1274</v>
      </c>
      <c r="B453" s="151" t="s">
        <v>22</v>
      </c>
      <c r="C453" s="151">
        <v>1440</v>
      </c>
      <c r="D453" s="151">
        <v>292</v>
      </c>
      <c r="E453" s="151">
        <v>1</v>
      </c>
      <c r="F453" s="151">
        <v>1</v>
      </c>
      <c r="G453" s="243">
        <f t="shared" si="18"/>
        <v>0</v>
      </c>
      <c r="H453" s="252" t="s">
        <v>1661</v>
      </c>
      <c r="I453" s="371" t="s">
        <v>436</v>
      </c>
      <c r="J453" s="173"/>
      <c r="K453" s="173"/>
      <c r="L453" s="173"/>
      <c r="M453" s="173"/>
      <c r="N453" s="173"/>
      <c r="O453" s="173"/>
      <c r="P453" s="173"/>
      <c r="Q453" s="173"/>
      <c r="R453" s="161"/>
    </row>
    <row r="454" spans="1:18" ht="16.5" thickTop="1" thickBot="1" x14ac:dyDescent="0.3">
      <c r="A454" s="314"/>
      <c r="B454" s="152" t="s">
        <v>18</v>
      </c>
      <c r="C454" s="152">
        <v>1440</v>
      </c>
      <c r="D454" s="152">
        <v>313</v>
      </c>
      <c r="E454" s="152">
        <f>20+1</f>
        <v>21</v>
      </c>
      <c r="F454" s="152">
        <v>1</v>
      </c>
      <c r="G454" s="245">
        <f t="shared" si="18"/>
        <v>20</v>
      </c>
      <c r="H454" s="253" t="s">
        <v>1662</v>
      </c>
      <c r="I454" s="371"/>
      <c r="J454" s="173"/>
      <c r="K454" s="173"/>
      <c r="L454" s="173"/>
      <c r="M454" s="173"/>
      <c r="N454" s="173"/>
      <c r="O454" s="173"/>
      <c r="P454" s="173"/>
      <c r="Q454" s="173"/>
      <c r="R454" s="161"/>
    </row>
    <row r="455" spans="1:18" ht="16.5" thickTop="1" thickBot="1" x14ac:dyDescent="0.3">
      <c r="A455" s="314"/>
      <c r="B455" s="152" t="s">
        <v>19</v>
      </c>
      <c r="C455" s="152">
        <v>1440</v>
      </c>
      <c r="D455" s="152">
        <v>363</v>
      </c>
      <c r="E455" s="152">
        <f>20+1</f>
        <v>21</v>
      </c>
      <c r="F455" s="152"/>
      <c r="G455" s="245">
        <f t="shared" si="18"/>
        <v>21</v>
      </c>
      <c r="H455" s="253" t="s">
        <v>1663</v>
      </c>
      <c r="I455" s="371"/>
      <c r="J455" s="173"/>
      <c r="K455" s="173"/>
      <c r="L455" s="173"/>
      <c r="M455" s="173"/>
      <c r="N455" s="173"/>
      <c r="O455" s="173"/>
      <c r="P455" s="173"/>
      <c r="Q455" s="173"/>
      <c r="R455" s="161"/>
    </row>
    <row r="456" spans="1:18" ht="16.5" thickTop="1" thickBot="1" x14ac:dyDescent="0.3">
      <c r="A456" s="314"/>
      <c r="B456" s="152" t="s">
        <v>0</v>
      </c>
      <c r="C456" s="152">
        <v>1440</v>
      </c>
      <c r="D456" s="152">
        <v>412</v>
      </c>
      <c r="E456" s="152">
        <v>20</v>
      </c>
      <c r="F456" s="152">
        <v>1</v>
      </c>
      <c r="G456" s="245">
        <f t="shared" si="18"/>
        <v>19</v>
      </c>
      <c r="H456" s="253" t="s">
        <v>1664</v>
      </c>
      <c r="I456" s="371"/>
      <c r="J456" s="173"/>
      <c r="K456" s="173"/>
      <c r="L456" s="173"/>
      <c r="M456" s="173"/>
      <c r="N456" s="173"/>
      <c r="O456" s="173"/>
      <c r="P456" s="173"/>
      <c r="Q456" s="173"/>
      <c r="R456" s="161"/>
    </row>
    <row r="457" spans="1:18" ht="16.5" thickTop="1" thickBot="1" x14ac:dyDescent="0.3">
      <c r="A457" s="315"/>
      <c r="B457" s="126" t="s">
        <v>1</v>
      </c>
      <c r="C457" s="126">
        <v>1440</v>
      </c>
      <c r="D457" s="126">
        <v>625</v>
      </c>
      <c r="E457" s="126">
        <v>20</v>
      </c>
      <c r="F457" s="126"/>
      <c r="G457" s="246">
        <f t="shared" si="18"/>
        <v>20</v>
      </c>
      <c r="H457" s="254" t="s">
        <v>1665</v>
      </c>
      <c r="I457" s="371"/>
      <c r="J457" s="173"/>
      <c r="K457" s="173"/>
      <c r="L457" s="173"/>
      <c r="M457" s="173"/>
      <c r="N457" s="173"/>
      <c r="O457" s="173"/>
      <c r="P457" s="173"/>
      <c r="Q457" s="173"/>
      <c r="R457" s="161"/>
    </row>
    <row r="458" spans="1:18" ht="16.5" thickTop="1" thickBot="1" x14ac:dyDescent="0.3">
      <c r="A458" s="313" t="s">
        <v>437</v>
      </c>
      <c r="B458" s="151" t="s">
        <v>21</v>
      </c>
      <c r="C458" s="151">
        <v>1440</v>
      </c>
      <c r="D458" s="151">
        <v>309</v>
      </c>
      <c r="E458" s="151">
        <v>102</v>
      </c>
      <c r="F458" s="151">
        <f>1+1+1</f>
        <v>3</v>
      </c>
      <c r="G458" s="243">
        <f t="shared" si="18"/>
        <v>99</v>
      </c>
      <c r="H458" s="252" t="s">
        <v>1666</v>
      </c>
      <c r="I458" s="371" t="s">
        <v>382</v>
      </c>
      <c r="J458" s="173"/>
      <c r="K458" s="173"/>
      <c r="L458" s="173"/>
      <c r="M458" s="173"/>
      <c r="N458" s="173"/>
      <c r="O458" s="173"/>
      <c r="P458" s="173"/>
      <c r="Q458" s="173"/>
      <c r="R458" s="161"/>
    </row>
    <row r="459" spans="1:18" ht="16.5" thickTop="1" thickBot="1" x14ac:dyDescent="0.3">
      <c r="A459" s="314"/>
      <c r="B459" s="152" t="s">
        <v>18</v>
      </c>
      <c r="C459" s="152">
        <v>1440</v>
      </c>
      <c r="D459" s="152">
        <v>419</v>
      </c>
      <c r="E459" s="152">
        <v>69</v>
      </c>
      <c r="F459" s="152">
        <f>1+1+1+1</f>
        <v>4</v>
      </c>
      <c r="G459" s="245">
        <f t="shared" si="18"/>
        <v>65</v>
      </c>
      <c r="H459" s="253" t="s">
        <v>1667</v>
      </c>
      <c r="I459" s="371"/>
      <c r="J459" s="173"/>
      <c r="K459" s="173"/>
      <c r="L459" s="173"/>
      <c r="M459" s="173"/>
      <c r="N459" s="173"/>
      <c r="O459" s="173"/>
      <c r="P459" s="173"/>
      <c r="Q459" s="173"/>
      <c r="R459" s="161"/>
    </row>
    <row r="460" spans="1:18" ht="16.5" thickTop="1" thickBot="1" x14ac:dyDescent="0.3">
      <c r="A460" s="314"/>
      <c r="B460" s="152" t="s">
        <v>19</v>
      </c>
      <c r="C460" s="152">
        <v>1440</v>
      </c>
      <c r="D460" s="152">
        <v>529</v>
      </c>
      <c r="E460" s="152">
        <v>28</v>
      </c>
      <c r="F460" s="152">
        <v>1</v>
      </c>
      <c r="G460" s="245">
        <f t="shared" si="18"/>
        <v>27</v>
      </c>
      <c r="H460" s="253" t="s">
        <v>1668</v>
      </c>
      <c r="I460" s="371"/>
      <c r="J460" s="173"/>
      <c r="K460" s="173"/>
      <c r="L460" s="173"/>
      <c r="M460" s="173"/>
      <c r="N460" s="173"/>
      <c r="O460" s="173"/>
      <c r="P460" s="173"/>
      <c r="Q460" s="173"/>
      <c r="R460" s="161"/>
    </row>
    <row r="461" spans="1:18" ht="16.5" thickTop="1" thickBot="1" x14ac:dyDescent="0.3">
      <c r="A461" s="314"/>
      <c r="B461" s="152" t="s">
        <v>0</v>
      </c>
      <c r="C461" s="152">
        <v>1440</v>
      </c>
      <c r="D461" s="152">
        <v>681</v>
      </c>
      <c r="E461" s="152">
        <v>97</v>
      </c>
      <c r="F461" s="152">
        <f>1+1+1+1</f>
        <v>4</v>
      </c>
      <c r="G461" s="245">
        <f t="shared" si="18"/>
        <v>93</v>
      </c>
      <c r="H461" s="253" t="s">
        <v>1669</v>
      </c>
      <c r="I461" s="371"/>
      <c r="J461" s="173"/>
      <c r="K461" s="173"/>
      <c r="L461" s="173"/>
      <c r="M461" s="173"/>
      <c r="N461" s="173"/>
      <c r="O461" s="173"/>
      <c r="P461" s="173"/>
      <c r="Q461" s="173"/>
      <c r="R461" s="161"/>
    </row>
    <row r="462" spans="1:18" ht="16.5" thickTop="1" thickBot="1" x14ac:dyDescent="0.3">
      <c r="A462" s="314"/>
      <c r="B462" s="152" t="s">
        <v>1</v>
      </c>
      <c r="C462" s="152">
        <v>1440</v>
      </c>
      <c r="D462" s="118">
        <v>958</v>
      </c>
      <c r="E462" s="118">
        <f>4*15+11</f>
        <v>71</v>
      </c>
      <c r="F462" s="152">
        <f>2+5+1</f>
        <v>8</v>
      </c>
      <c r="G462" s="245">
        <f t="shared" si="18"/>
        <v>63</v>
      </c>
      <c r="H462" s="253" t="s">
        <v>1670</v>
      </c>
      <c r="I462" s="371"/>
      <c r="J462" s="173"/>
      <c r="K462" s="173"/>
      <c r="L462" s="173"/>
      <c r="M462" s="173"/>
      <c r="N462" s="173"/>
      <c r="O462" s="173"/>
      <c r="P462" s="173"/>
      <c r="Q462" s="173"/>
      <c r="R462" s="161"/>
    </row>
    <row r="463" spans="1:18" ht="16.5" thickTop="1" thickBot="1" x14ac:dyDescent="0.3">
      <c r="A463" s="314"/>
      <c r="B463" s="152" t="s">
        <v>2</v>
      </c>
      <c r="C463" s="152">
        <v>288</v>
      </c>
      <c r="D463" s="152">
        <v>653</v>
      </c>
      <c r="E463" s="152">
        <f>29+1</f>
        <v>30</v>
      </c>
      <c r="F463" s="152">
        <f>1+3+1</f>
        <v>5</v>
      </c>
      <c r="G463" s="245">
        <f t="shared" si="18"/>
        <v>25</v>
      </c>
      <c r="H463" s="253" t="s">
        <v>1671</v>
      </c>
      <c r="I463" s="371"/>
      <c r="J463" s="173"/>
      <c r="K463" s="173"/>
      <c r="L463" s="173"/>
      <c r="M463" s="173"/>
      <c r="N463" s="173"/>
      <c r="O463" s="173"/>
      <c r="P463" s="173"/>
      <c r="Q463" s="173"/>
      <c r="R463" s="161"/>
    </row>
    <row r="464" spans="1:18" ht="16.5" thickTop="1" thickBot="1" x14ac:dyDescent="0.3">
      <c r="A464" s="315"/>
      <c r="B464" s="126" t="s">
        <v>20</v>
      </c>
      <c r="C464" s="126">
        <v>144</v>
      </c>
      <c r="D464" s="126">
        <v>791</v>
      </c>
      <c r="E464" s="126">
        <v>19</v>
      </c>
      <c r="F464" s="126">
        <f>1+1+1+1</f>
        <v>4</v>
      </c>
      <c r="G464" s="246">
        <f t="shared" si="18"/>
        <v>15</v>
      </c>
      <c r="H464" s="254" t="s">
        <v>1672</v>
      </c>
      <c r="I464" s="371"/>
      <c r="J464" s="173"/>
      <c r="K464" s="173"/>
      <c r="L464" s="173"/>
      <c r="M464" s="173"/>
      <c r="N464" s="173"/>
      <c r="O464" s="173"/>
      <c r="P464" s="173"/>
      <c r="Q464" s="173"/>
      <c r="R464" s="161"/>
    </row>
    <row r="465" spans="1:18" ht="16.5" thickTop="1" thickBot="1" x14ac:dyDescent="0.3">
      <c r="A465" s="307" t="s">
        <v>438</v>
      </c>
      <c r="B465" s="151" t="s">
        <v>90</v>
      </c>
      <c r="C465" s="151">
        <v>1440</v>
      </c>
      <c r="D465" s="151">
        <v>226</v>
      </c>
      <c r="E465" s="45">
        <v>98</v>
      </c>
      <c r="F465" s="151"/>
      <c r="G465" s="243">
        <f t="shared" si="18"/>
        <v>98</v>
      </c>
      <c r="H465" s="252" t="s">
        <v>1275</v>
      </c>
      <c r="I465" s="371" t="s">
        <v>383</v>
      </c>
      <c r="J465" s="173"/>
      <c r="K465" s="173"/>
      <c r="L465" s="173"/>
      <c r="M465" s="173"/>
      <c r="N465" s="173"/>
      <c r="O465" s="173"/>
      <c r="P465" s="173"/>
      <c r="Q465" s="173"/>
      <c r="R465" s="161"/>
    </row>
    <row r="466" spans="1:18" ht="16.5" thickTop="1" thickBot="1" x14ac:dyDescent="0.3">
      <c r="A466" s="308"/>
      <c r="B466" s="152" t="s">
        <v>21</v>
      </c>
      <c r="C466" s="152">
        <v>1440</v>
      </c>
      <c r="D466" s="152">
        <v>226</v>
      </c>
      <c r="E466" s="83">
        <v>100</v>
      </c>
      <c r="F466" s="152">
        <v>1</v>
      </c>
      <c r="G466" s="245">
        <f t="shared" si="18"/>
        <v>99</v>
      </c>
      <c r="H466" s="253" t="s">
        <v>1673</v>
      </c>
      <c r="I466" s="371"/>
      <c r="J466" s="173"/>
      <c r="K466" s="173"/>
      <c r="L466" s="173"/>
      <c r="M466" s="173"/>
      <c r="N466" s="173"/>
      <c r="O466" s="173"/>
      <c r="P466" s="173"/>
      <c r="Q466" s="173"/>
      <c r="R466" s="161"/>
    </row>
    <row r="467" spans="1:18" ht="16.5" thickTop="1" thickBot="1" x14ac:dyDescent="0.3">
      <c r="A467" s="308"/>
      <c r="B467" s="153" t="s">
        <v>18</v>
      </c>
      <c r="C467" s="153">
        <v>1440</v>
      </c>
      <c r="D467" s="153">
        <v>313</v>
      </c>
      <c r="E467" s="153">
        <v>67</v>
      </c>
      <c r="F467" s="153">
        <v>1</v>
      </c>
      <c r="G467" s="244">
        <f t="shared" si="18"/>
        <v>66</v>
      </c>
      <c r="H467" s="253" t="s">
        <v>1674</v>
      </c>
      <c r="I467" s="371"/>
      <c r="J467" s="173"/>
      <c r="K467" s="173"/>
      <c r="L467" s="173"/>
      <c r="M467" s="173"/>
      <c r="N467" s="173"/>
      <c r="O467" s="173"/>
      <c r="P467" s="173"/>
      <c r="Q467" s="173"/>
      <c r="R467" s="161"/>
    </row>
    <row r="468" spans="1:18" ht="16.5" thickTop="1" thickBot="1" x14ac:dyDescent="0.3">
      <c r="A468" s="308"/>
      <c r="B468" s="152" t="s">
        <v>19</v>
      </c>
      <c r="C468" s="152">
        <v>1440</v>
      </c>
      <c r="D468" s="152">
        <v>363</v>
      </c>
      <c r="E468" s="152">
        <v>30</v>
      </c>
      <c r="F468" s="152">
        <v>1</v>
      </c>
      <c r="G468" s="245">
        <f t="shared" si="18"/>
        <v>29</v>
      </c>
      <c r="H468" s="253" t="s">
        <v>1675</v>
      </c>
      <c r="I468" s="371"/>
      <c r="J468" s="173"/>
      <c r="K468" s="173"/>
      <c r="L468" s="173"/>
      <c r="M468" s="173"/>
      <c r="N468" s="173"/>
      <c r="O468" s="173"/>
      <c r="P468" s="173"/>
      <c r="Q468" s="173"/>
      <c r="R468" s="161"/>
    </row>
    <row r="469" spans="1:18" ht="16.5" thickTop="1" thickBot="1" x14ac:dyDescent="0.3">
      <c r="A469" s="308"/>
      <c r="B469" s="152" t="s">
        <v>0</v>
      </c>
      <c r="C469" s="152">
        <v>1440</v>
      </c>
      <c r="D469" s="152">
        <v>417</v>
      </c>
      <c r="E469" s="152">
        <v>100</v>
      </c>
      <c r="F469" s="152">
        <f>1+1+1+1+1</f>
        <v>5</v>
      </c>
      <c r="G469" s="245">
        <f t="shared" si="18"/>
        <v>95</v>
      </c>
      <c r="H469" s="253" t="s">
        <v>1676</v>
      </c>
      <c r="I469" s="371"/>
      <c r="J469" s="173"/>
      <c r="K469" s="173"/>
      <c r="L469" s="173"/>
      <c r="M469" s="173"/>
      <c r="N469" s="173"/>
      <c r="O469" s="173"/>
      <c r="P469" s="173"/>
      <c r="Q469" s="173"/>
      <c r="R469" s="161"/>
    </row>
    <row r="470" spans="1:18" ht="16.5" thickTop="1" thickBot="1" x14ac:dyDescent="0.3">
      <c r="A470" s="309"/>
      <c r="B470" s="126" t="s">
        <v>1</v>
      </c>
      <c r="C470" s="126">
        <v>1440</v>
      </c>
      <c r="D470" s="126">
        <v>626</v>
      </c>
      <c r="E470" s="126">
        <v>133</v>
      </c>
      <c r="F470" s="126">
        <f>1+1+2+1+1+1+1+1+1+2+1+3+1+1</f>
        <v>18</v>
      </c>
      <c r="G470" s="246">
        <f t="shared" si="18"/>
        <v>115</v>
      </c>
      <c r="H470" s="254" t="s">
        <v>1677</v>
      </c>
      <c r="I470" s="371"/>
      <c r="J470" s="173"/>
      <c r="K470" s="173"/>
      <c r="L470" s="173"/>
      <c r="M470" s="173"/>
      <c r="N470" s="173"/>
      <c r="O470" s="173"/>
      <c r="P470" s="173"/>
      <c r="Q470" s="173"/>
      <c r="R470" s="161"/>
    </row>
    <row r="471" spans="1:18" ht="16.5" thickTop="1" thickBot="1" x14ac:dyDescent="0.3">
      <c r="A471" s="307" t="s">
        <v>439</v>
      </c>
      <c r="B471" s="151" t="s">
        <v>21</v>
      </c>
      <c r="C471" s="151">
        <v>1440</v>
      </c>
      <c r="D471" s="151">
        <v>253</v>
      </c>
      <c r="E471" s="151">
        <v>1</v>
      </c>
      <c r="F471" s="151">
        <v>1</v>
      </c>
      <c r="G471" s="243">
        <f t="shared" si="18"/>
        <v>0</v>
      </c>
      <c r="H471" s="252" t="s">
        <v>1678</v>
      </c>
      <c r="I471" s="371" t="s">
        <v>440</v>
      </c>
      <c r="J471" s="173"/>
      <c r="K471" s="173"/>
      <c r="L471" s="173"/>
      <c r="M471" s="173"/>
      <c r="N471" s="173"/>
      <c r="O471" s="173"/>
      <c r="P471" s="173"/>
      <c r="Q471" s="173"/>
      <c r="R471" s="161"/>
    </row>
    <row r="472" spans="1:18" ht="16.5" thickTop="1" thickBot="1" x14ac:dyDescent="0.3">
      <c r="A472" s="308"/>
      <c r="B472" s="152" t="s">
        <v>18</v>
      </c>
      <c r="C472" s="152">
        <v>1440</v>
      </c>
      <c r="D472" s="152">
        <v>313</v>
      </c>
      <c r="E472" s="152">
        <v>1</v>
      </c>
      <c r="F472" s="152">
        <v>1</v>
      </c>
      <c r="G472" s="245">
        <f t="shared" si="18"/>
        <v>0</v>
      </c>
      <c r="H472" s="253" t="s">
        <v>1679</v>
      </c>
      <c r="I472" s="371"/>
      <c r="J472" s="173"/>
      <c r="K472" s="173"/>
      <c r="L472" s="173"/>
      <c r="M472" s="173"/>
      <c r="N472" s="173"/>
      <c r="O472" s="173"/>
      <c r="P472" s="173"/>
      <c r="Q472" s="173"/>
      <c r="R472" s="161"/>
    </row>
    <row r="473" spans="1:18" ht="16.5" thickTop="1" thickBot="1" x14ac:dyDescent="0.3">
      <c r="A473" s="308"/>
      <c r="B473" s="152" t="s">
        <v>19</v>
      </c>
      <c r="C473" s="152">
        <v>1440</v>
      </c>
      <c r="D473" s="152">
        <v>363</v>
      </c>
      <c r="E473" s="152">
        <v>1</v>
      </c>
      <c r="F473" s="152">
        <v>1</v>
      </c>
      <c r="G473" s="245">
        <f t="shared" si="18"/>
        <v>0</v>
      </c>
      <c r="H473" s="253" t="s">
        <v>1680</v>
      </c>
      <c r="I473" s="371"/>
      <c r="J473" s="173"/>
      <c r="K473" s="173"/>
      <c r="L473" s="173"/>
      <c r="M473" s="173"/>
      <c r="N473" s="173"/>
      <c r="O473" s="173"/>
      <c r="P473" s="173"/>
      <c r="Q473" s="173"/>
      <c r="R473" s="161"/>
    </row>
    <row r="474" spans="1:18" ht="16.5" thickTop="1" thickBot="1" x14ac:dyDescent="0.3">
      <c r="A474" s="308"/>
      <c r="B474" s="152" t="s">
        <v>0</v>
      </c>
      <c r="C474" s="152">
        <v>1440</v>
      </c>
      <c r="D474" s="152">
        <v>412</v>
      </c>
      <c r="E474" s="152">
        <v>19</v>
      </c>
      <c r="F474" s="153">
        <f>1+1+1</f>
        <v>3</v>
      </c>
      <c r="G474" s="245">
        <f t="shared" si="18"/>
        <v>16</v>
      </c>
      <c r="H474" s="253" t="s">
        <v>1681</v>
      </c>
      <c r="I474" s="371"/>
      <c r="J474" s="173"/>
      <c r="K474" s="173"/>
      <c r="L474" s="173"/>
      <c r="M474" s="173"/>
      <c r="N474" s="173"/>
      <c r="O474" s="173"/>
      <c r="P474" s="173"/>
      <c r="Q474" s="173"/>
      <c r="R474" s="161"/>
    </row>
    <row r="475" spans="1:18" ht="16.5" thickTop="1" thickBot="1" x14ac:dyDescent="0.3">
      <c r="A475" s="309"/>
      <c r="B475" s="126" t="s">
        <v>1</v>
      </c>
      <c r="C475" s="126">
        <v>1440</v>
      </c>
      <c r="D475" s="152">
        <v>625</v>
      </c>
      <c r="E475" s="152">
        <f>5+15</f>
        <v>20</v>
      </c>
      <c r="F475" s="153">
        <f>1+1</f>
        <v>2</v>
      </c>
      <c r="G475" s="245">
        <f t="shared" si="18"/>
        <v>18</v>
      </c>
      <c r="H475" s="254" t="s">
        <v>1682</v>
      </c>
      <c r="I475" s="371"/>
      <c r="J475" s="173"/>
      <c r="K475" s="173"/>
      <c r="L475" s="173"/>
      <c r="M475" s="173"/>
      <c r="N475" s="173"/>
      <c r="O475" s="173"/>
      <c r="P475" s="173"/>
      <c r="Q475" s="173"/>
      <c r="R475" s="161"/>
    </row>
    <row r="476" spans="1:18" ht="16.5" thickTop="1" thickBot="1" x14ac:dyDescent="0.3">
      <c r="A476" s="304" t="s">
        <v>179</v>
      </c>
      <c r="B476" s="151" t="s">
        <v>89</v>
      </c>
      <c r="C476" s="151">
        <v>1440</v>
      </c>
      <c r="D476" s="151">
        <v>319</v>
      </c>
      <c r="E476" s="151">
        <v>18</v>
      </c>
      <c r="F476" s="151">
        <f>1+1+1+1+1</f>
        <v>5</v>
      </c>
      <c r="G476" s="243">
        <f t="shared" si="18"/>
        <v>13</v>
      </c>
      <c r="H476" s="252" t="s">
        <v>1683</v>
      </c>
      <c r="I476" s="371" t="s">
        <v>441</v>
      </c>
      <c r="J476" s="173"/>
      <c r="K476" s="173"/>
      <c r="L476" s="173"/>
      <c r="M476" s="173"/>
      <c r="N476" s="173"/>
      <c r="O476" s="173"/>
      <c r="P476" s="173"/>
      <c r="Q476" s="173"/>
      <c r="R476" s="161"/>
    </row>
    <row r="477" spans="1:18" ht="16.5" thickTop="1" thickBot="1" x14ac:dyDescent="0.3">
      <c r="A477" s="305"/>
      <c r="B477" s="152" t="s">
        <v>22</v>
      </c>
      <c r="C477" s="152">
        <v>1440</v>
      </c>
      <c r="D477" s="152">
        <v>403</v>
      </c>
      <c r="E477" s="83">
        <f>10+19</f>
        <v>29</v>
      </c>
      <c r="F477" s="152">
        <f>1+1+1+1+1</f>
        <v>5</v>
      </c>
      <c r="G477" s="245">
        <f t="shared" si="18"/>
        <v>24</v>
      </c>
      <c r="H477" s="253" t="s">
        <v>1684</v>
      </c>
      <c r="I477" s="371"/>
      <c r="J477" s="173"/>
      <c r="K477" s="173"/>
      <c r="L477" s="173"/>
      <c r="M477" s="173"/>
      <c r="N477" s="173"/>
      <c r="O477" s="173"/>
      <c r="P477" s="173"/>
      <c r="Q477" s="173"/>
      <c r="R477" s="161"/>
    </row>
    <row r="478" spans="1:18" ht="16.5" thickTop="1" thickBot="1" x14ac:dyDescent="0.3">
      <c r="A478" s="305"/>
      <c r="B478" s="152" t="s">
        <v>18</v>
      </c>
      <c r="C478" s="152">
        <v>1440</v>
      </c>
      <c r="D478" s="152">
        <v>457</v>
      </c>
      <c r="E478" s="83">
        <f>10+19</f>
        <v>29</v>
      </c>
      <c r="F478" s="152">
        <f>1+1+1+1+1</f>
        <v>5</v>
      </c>
      <c r="G478" s="245">
        <f t="shared" si="18"/>
        <v>24</v>
      </c>
      <c r="H478" s="253" t="s">
        <v>1685</v>
      </c>
      <c r="I478" s="371"/>
      <c r="J478" s="173"/>
      <c r="K478" s="173"/>
      <c r="L478" s="173"/>
      <c r="M478" s="173"/>
      <c r="N478" s="173"/>
      <c r="O478" s="173"/>
      <c r="P478" s="173"/>
      <c r="Q478" s="173"/>
      <c r="R478" s="161"/>
    </row>
    <row r="479" spans="1:18" ht="16.5" thickTop="1" thickBot="1" x14ac:dyDescent="0.3">
      <c r="A479" s="305"/>
      <c r="B479" s="152" t="s">
        <v>19</v>
      </c>
      <c r="C479" s="152">
        <v>1440</v>
      </c>
      <c r="D479" s="152">
        <v>534</v>
      </c>
      <c r="E479" s="83">
        <v>4</v>
      </c>
      <c r="F479" s="152">
        <f>1+1+1</f>
        <v>3</v>
      </c>
      <c r="G479" s="245">
        <f t="shared" si="18"/>
        <v>1</v>
      </c>
      <c r="H479" s="253" t="s">
        <v>1686</v>
      </c>
      <c r="I479" s="371"/>
      <c r="J479" s="173"/>
      <c r="K479" s="173"/>
      <c r="L479" s="173"/>
      <c r="M479" s="173"/>
      <c r="N479" s="173"/>
      <c r="O479" s="173"/>
      <c r="P479" s="173"/>
      <c r="Q479" s="173"/>
      <c r="R479" s="161"/>
    </row>
    <row r="480" spans="1:18" ht="16.5" thickTop="1" thickBot="1" x14ac:dyDescent="0.3">
      <c r="A480" s="305"/>
      <c r="B480" s="152" t="s">
        <v>0</v>
      </c>
      <c r="C480" s="152">
        <v>1440</v>
      </c>
      <c r="D480" s="152">
        <v>748</v>
      </c>
      <c r="E480" s="83">
        <f>16+19</f>
        <v>35</v>
      </c>
      <c r="F480" s="152">
        <f>1+1+1+1</f>
        <v>4</v>
      </c>
      <c r="G480" s="245">
        <f t="shared" si="18"/>
        <v>31</v>
      </c>
      <c r="H480" s="253" t="s">
        <v>1687</v>
      </c>
      <c r="I480" s="371"/>
      <c r="J480" s="173"/>
      <c r="K480" s="173"/>
      <c r="L480" s="173"/>
      <c r="M480" s="173"/>
      <c r="N480" s="173"/>
      <c r="O480" s="173"/>
      <c r="P480" s="173"/>
      <c r="Q480" s="173"/>
      <c r="R480" s="161"/>
    </row>
    <row r="481" spans="1:18" ht="16.5" thickTop="1" thickBot="1" x14ac:dyDescent="0.3">
      <c r="A481" s="305"/>
      <c r="B481" s="152" t="s">
        <v>1</v>
      </c>
      <c r="C481" s="152">
        <v>1440</v>
      </c>
      <c r="D481" s="152">
        <v>968</v>
      </c>
      <c r="E481" s="83">
        <f>10+13</f>
        <v>23</v>
      </c>
      <c r="F481" s="152">
        <f>1+1+1</f>
        <v>3</v>
      </c>
      <c r="G481" s="245">
        <f t="shared" si="18"/>
        <v>20</v>
      </c>
      <c r="H481" s="253" t="s">
        <v>1688</v>
      </c>
      <c r="I481" s="371"/>
      <c r="J481" s="173"/>
      <c r="K481" s="173"/>
      <c r="L481" s="173"/>
      <c r="M481" s="173"/>
      <c r="N481" s="173"/>
      <c r="O481" s="173"/>
      <c r="P481" s="173"/>
      <c r="Q481" s="173"/>
      <c r="R481" s="161"/>
    </row>
    <row r="482" spans="1:18" ht="16.5" thickTop="1" thickBot="1" x14ac:dyDescent="0.3">
      <c r="A482" s="306"/>
      <c r="B482" s="126" t="s">
        <v>2</v>
      </c>
      <c r="C482" s="126">
        <v>288</v>
      </c>
      <c r="D482" s="126">
        <v>718</v>
      </c>
      <c r="E482" s="46">
        <f>10+21</f>
        <v>31</v>
      </c>
      <c r="F482" s="126">
        <f>1+1</f>
        <v>2</v>
      </c>
      <c r="G482" s="246">
        <f t="shared" si="18"/>
        <v>29</v>
      </c>
      <c r="H482" s="254" t="s">
        <v>1689</v>
      </c>
      <c r="I482" s="371"/>
      <c r="J482" s="173"/>
      <c r="K482" s="173"/>
      <c r="L482" s="173"/>
      <c r="M482" s="173"/>
      <c r="N482" s="173"/>
      <c r="O482" s="173"/>
      <c r="P482" s="173"/>
      <c r="Q482" s="173"/>
      <c r="R482" s="161"/>
    </row>
    <row r="483" spans="1:18" ht="16.5" thickTop="1" thickBot="1" x14ac:dyDescent="0.3">
      <c r="A483" s="304" t="s">
        <v>442</v>
      </c>
      <c r="B483" s="151" t="s">
        <v>89</v>
      </c>
      <c r="C483" s="151">
        <v>1440</v>
      </c>
      <c r="D483" s="151">
        <v>319</v>
      </c>
      <c r="E483" s="45">
        <v>12</v>
      </c>
      <c r="F483" s="151">
        <f>1+1</f>
        <v>2</v>
      </c>
      <c r="G483" s="243">
        <f t="shared" si="18"/>
        <v>10</v>
      </c>
      <c r="H483" s="252" t="s">
        <v>1690</v>
      </c>
      <c r="I483" s="371" t="s">
        <v>443</v>
      </c>
      <c r="J483" s="173"/>
      <c r="K483" s="173"/>
      <c r="L483" s="173"/>
      <c r="M483" s="173"/>
      <c r="N483" s="173"/>
      <c r="O483" s="173"/>
      <c r="P483" s="173"/>
      <c r="Q483" s="173"/>
      <c r="R483" s="161"/>
    </row>
    <row r="484" spans="1:18" ht="16.5" thickTop="1" thickBot="1" x14ac:dyDescent="0.3">
      <c r="A484" s="305"/>
      <c r="B484" s="153" t="s">
        <v>21</v>
      </c>
      <c r="C484" s="153">
        <v>1440</v>
      </c>
      <c r="D484" s="153">
        <v>319</v>
      </c>
      <c r="E484" s="160">
        <v>49</v>
      </c>
      <c r="F484" s="153">
        <f>1+1</f>
        <v>2</v>
      </c>
      <c r="G484" s="244">
        <f t="shared" si="18"/>
        <v>47</v>
      </c>
      <c r="H484" s="253" t="s">
        <v>1691</v>
      </c>
      <c r="I484" s="371"/>
      <c r="J484" s="173"/>
      <c r="K484" s="173"/>
      <c r="L484" s="173"/>
      <c r="M484" s="173"/>
      <c r="N484" s="173"/>
      <c r="O484" s="173"/>
      <c r="P484" s="173"/>
      <c r="Q484" s="173"/>
      <c r="R484" s="161"/>
    </row>
    <row r="485" spans="1:18" ht="16.5" thickTop="1" thickBot="1" x14ac:dyDescent="0.3">
      <c r="A485" s="305"/>
      <c r="B485" s="152" t="s">
        <v>22</v>
      </c>
      <c r="C485" s="152">
        <v>1440</v>
      </c>
      <c r="D485" s="152">
        <v>403</v>
      </c>
      <c r="E485" s="83">
        <v>40</v>
      </c>
      <c r="F485" s="152">
        <f>1+1+1</f>
        <v>3</v>
      </c>
      <c r="G485" s="245">
        <f t="shared" si="18"/>
        <v>37</v>
      </c>
      <c r="H485" s="253" t="s">
        <v>1692</v>
      </c>
      <c r="I485" s="371"/>
      <c r="J485" s="173"/>
      <c r="K485" s="173"/>
      <c r="L485" s="173"/>
      <c r="M485" s="173"/>
      <c r="N485" s="173"/>
      <c r="O485" s="173"/>
      <c r="P485" s="173"/>
      <c r="Q485" s="173"/>
      <c r="R485" s="161"/>
    </row>
    <row r="486" spans="1:18" ht="16.5" thickTop="1" thickBot="1" x14ac:dyDescent="0.3">
      <c r="A486" s="305"/>
      <c r="B486" s="152" t="s">
        <v>18</v>
      </c>
      <c r="C486" s="152">
        <v>1440</v>
      </c>
      <c r="D486" s="152">
        <v>457</v>
      </c>
      <c r="E486" s="83">
        <v>35</v>
      </c>
      <c r="F486" s="152">
        <f>1+1+1</f>
        <v>3</v>
      </c>
      <c r="G486" s="245">
        <f t="shared" si="18"/>
        <v>32</v>
      </c>
      <c r="H486" s="253" t="s">
        <v>1693</v>
      </c>
      <c r="I486" s="371"/>
      <c r="J486" s="173"/>
      <c r="K486" s="173"/>
      <c r="L486" s="173"/>
      <c r="M486" s="173"/>
      <c r="N486" s="173"/>
      <c r="O486" s="173"/>
      <c r="P486" s="173"/>
      <c r="Q486" s="173"/>
      <c r="R486" s="161"/>
    </row>
    <row r="487" spans="1:18" ht="16.5" thickTop="1" thickBot="1" x14ac:dyDescent="0.3">
      <c r="A487" s="305"/>
      <c r="B487" s="152" t="s">
        <v>19</v>
      </c>
      <c r="C487" s="152">
        <v>1440</v>
      </c>
      <c r="D487" s="152">
        <v>534</v>
      </c>
      <c r="E487" s="83">
        <v>29</v>
      </c>
      <c r="F487" s="152">
        <v>1</v>
      </c>
      <c r="G487" s="245">
        <f t="shared" si="18"/>
        <v>28</v>
      </c>
      <c r="H487" s="253" t="s">
        <v>1694</v>
      </c>
      <c r="I487" s="371"/>
      <c r="J487" s="173"/>
      <c r="K487" s="173"/>
      <c r="L487" s="173"/>
      <c r="M487" s="173"/>
      <c r="N487" s="173"/>
      <c r="O487" s="173"/>
      <c r="P487" s="173"/>
      <c r="Q487" s="173"/>
      <c r="R487" s="161"/>
    </row>
    <row r="488" spans="1:18" ht="16.5" thickTop="1" thickBot="1" x14ac:dyDescent="0.3">
      <c r="A488" s="305"/>
      <c r="B488" s="152" t="s">
        <v>0</v>
      </c>
      <c r="C488" s="152">
        <v>1440</v>
      </c>
      <c r="D488" s="152">
        <v>748</v>
      </c>
      <c r="E488" s="152">
        <v>47</v>
      </c>
      <c r="F488" s="152">
        <f>1+1+1+1+1</f>
        <v>5</v>
      </c>
      <c r="G488" s="245">
        <f t="shared" si="18"/>
        <v>42</v>
      </c>
      <c r="H488" s="253" t="s">
        <v>1695</v>
      </c>
      <c r="I488" s="371"/>
      <c r="J488" s="173"/>
      <c r="K488" s="173"/>
      <c r="L488" s="173"/>
      <c r="M488" s="173"/>
      <c r="N488" s="173"/>
      <c r="O488" s="173"/>
      <c r="P488" s="173"/>
      <c r="Q488" s="173"/>
      <c r="R488" s="161"/>
    </row>
    <row r="489" spans="1:18" ht="16.5" thickTop="1" thickBot="1" x14ac:dyDescent="0.3">
      <c r="A489" s="305"/>
      <c r="B489" s="152" t="s">
        <v>1</v>
      </c>
      <c r="C489" s="152">
        <v>1440</v>
      </c>
      <c r="D489" s="152">
        <v>968</v>
      </c>
      <c r="E489" s="83">
        <v>89</v>
      </c>
      <c r="F489" s="152">
        <f>1+1+1+1+1</f>
        <v>5</v>
      </c>
      <c r="G489" s="245">
        <f t="shared" si="18"/>
        <v>84</v>
      </c>
      <c r="H489" s="253" t="s">
        <v>1696</v>
      </c>
      <c r="I489" s="371"/>
      <c r="J489" s="173"/>
      <c r="K489" s="173"/>
      <c r="L489" s="173"/>
      <c r="M489" s="173"/>
      <c r="N489" s="173"/>
      <c r="O489" s="173"/>
      <c r="P489" s="173"/>
      <c r="Q489" s="173"/>
      <c r="R489" s="161"/>
    </row>
    <row r="490" spans="1:18" ht="16.5" thickTop="1" thickBot="1" x14ac:dyDescent="0.3">
      <c r="A490" s="306"/>
      <c r="B490" s="126" t="s">
        <v>2</v>
      </c>
      <c r="C490" s="126">
        <v>288</v>
      </c>
      <c r="D490" s="126">
        <v>718</v>
      </c>
      <c r="E490" s="126">
        <v>49</v>
      </c>
      <c r="F490" s="126">
        <v>1</v>
      </c>
      <c r="G490" s="246">
        <f t="shared" si="18"/>
        <v>48</v>
      </c>
      <c r="H490" s="254" t="s">
        <v>1697</v>
      </c>
      <c r="I490" s="371"/>
      <c r="J490" s="173"/>
      <c r="K490" s="173"/>
      <c r="L490" s="173"/>
      <c r="M490" s="173"/>
      <c r="N490" s="173"/>
      <c r="O490" s="173"/>
      <c r="P490" s="173"/>
      <c r="Q490" s="173"/>
      <c r="R490" s="161"/>
    </row>
    <row r="491" spans="1:18" ht="16.5" thickTop="1" thickBot="1" x14ac:dyDescent="0.3">
      <c r="A491" s="313" t="s">
        <v>117</v>
      </c>
      <c r="B491" s="151" t="s">
        <v>89</v>
      </c>
      <c r="C491" s="151">
        <v>1440</v>
      </c>
      <c r="D491" s="151">
        <v>319</v>
      </c>
      <c r="E491" s="151">
        <v>40</v>
      </c>
      <c r="F491" s="151"/>
      <c r="G491" s="243">
        <f>E491-F491</f>
        <v>40</v>
      </c>
      <c r="H491" s="252" t="s">
        <v>1698</v>
      </c>
      <c r="I491" s="371" t="s">
        <v>444</v>
      </c>
      <c r="J491" s="173"/>
      <c r="K491" s="173"/>
      <c r="L491" s="173"/>
      <c r="M491" s="173"/>
      <c r="N491" s="173"/>
      <c r="O491" s="173"/>
      <c r="P491" s="173"/>
      <c r="Q491" s="173"/>
      <c r="R491" s="161"/>
    </row>
    <row r="492" spans="1:18" ht="16.5" thickTop="1" thickBot="1" x14ac:dyDescent="0.3">
      <c r="A492" s="314"/>
      <c r="B492" s="152" t="s">
        <v>21</v>
      </c>
      <c r="C492" s="152">
        <v>1440</v>
      </c>
      <c r="D492" s="152">
        <v>319</v>
      </c>
      <c r="E492" s="152">
        <v>49</v>
      </c>
      <c r="F492" s="152">
        <f>1+1</f>
        <v>2</v>
      </c>
      <c r="G492" s="245">
        <f t="shared" ref="G492:G550" si="19">E492-F492</f>
        <v>47</v>
      </c>
      <c r="H492" s="253" t="s">
        <v>1699</v>
      </c>
      <c r="I492" s="371"/>
      <c r="J492" s="173"/>
      <c r="K492" s="173"/>
      <c r="L492" s="173"/>
      <c r="M492" s="173"/>
      <c r="N492" s="173"/>
      <c r="O492" s="173"/>
      <c r="P492" s="173"/>
      <c r="Q492" s="173"/>
      <c r="R492" s="161"/>
    </row>
    <row r="493" spans="1:18" ht="16.5" thickTop="1" thickBot="1" x14ac:dyDescent="0.3">
      <c r="A493" s="314"/>
      <c r="B493" s="152" t="s">
        <v>22</v>
      </c>
      <c r="C493" s="152">
        <v>1440</v>
      </c>
      <c r="D493" s="152">
        <v>403</v>
      </c>
      <c r="E493" s="152">
        <v>39</v>
      </c>
      <c r="F493" s="152">
        <v>1</v>
      </c>
      <c r="G493" s="245">
        <f t="shared" si="19"/>
        <v>38</v>
      </c>
      <c r="H493" s="253" t="s">
        <v>1700</v>
      </c>
      <c r="I493" s="371"/>
      <c r="J493" s="173"/>
      <c r="K493" s="173"/>
      <c r="L493" s="173"/>
      <c r="M493" s="173"/>
      <c r="N493" s="173"/>
      <c r="O493" s="173"/>
      <c r="P493" s="173"/>
      <c r="Q493" s="173"/>
      <c r="R493" s="161"/>
    </row>
    <row r="494" spans="1:18" ht="16.5" thickTop="1" thickBot="1" x14ac:dyDescent="0.3">
      <c r="A494" s="314"/>
      <c r="B494" s="152" t="s">
        <v>18</v>
      </c>
      <c r="C494" s="152">
        <v>1440</v>
      </c>
      <c r="D494" s="152">
        <v>458</v>
      </c>
      <c r="E494" s="152">
        <v>34</v>
      </c>
      <c r="F494" s="152">
        <f>1+1+1+1+1</f>
        <v>5</v>
      </c>
      <c r="G494" s="245">
        <f t="shared" si="19"/>
        <v>29</v>
      </c>
      <c r="H494" s="253" t="s">
        <v>1701</v>
      </c>
      <c r="I494" s="371"/>
      <c r="J494" s="173"/>
      <c r="K494" s="173"/>
      <c r="L494" s="173"/>
      <c r="M494" s="173"/>
      <c r="N494" s="173"/>
      <c r="O494" s="173"/>
      <c r="P494" s="173"/>
      <c r="Q494" s="173"/>
      <c r="R494" s="161"/>
    </row>
    <row r="495" spans="1:18" ht="16.5" thickTop="1" thickBot="1" x14ac:dyDescent="0.3">
      <c r="A495" s="314"/>
      <c r="B495" s="152" t="s">
        <v>19</v>
      </c>
      <c r="C495" s="152">
        <v>1440</v>
      </c>
      <c r="D495" s="152">
        <v>534</v>
      </c>
      <c r="E495" s="152">
        <v>29</v>
      </c>
      <c r="F495" s="152"/>
      <c r="G495" s="245">
        <f t="shared" si="19"/>
        <v>29</v>
      </c>
      <c r="H495" s="253" t="s">
        <v>1702</v>
      </c>
      <c r="I495" s="371"/>
      <c r="J495" s="173"/>
      <c r="K495" s="173"/>
      <c r="L495" s="173"/>
      <c r="M495" s="173"/>
      <c r="N495" s="173"/>
      <c r="O495" s="173"/>
      <c r="P495" s="173"/>
      <c r="Q495" s="173"/>
      <c r="R495" s="161"/>
    </row>
    <row r="496" spans="1:18" ht="16.5" thickTop="1" thickBot="1" x14ac:dyDescent="0.3">
      <c r="A496" s="314"/>
      <c r="B496" s="152" t="s">
        <v>0</v>
      </c>
      <c r="C496" s="152">
        <v>1440</v>
      </c>
      <c r="D496" s="152">
        <v>748</v>
      </c>
      <c r="E496" s="152">
        <v>38</v>
      </c>
      <c r="F496" s="152">
        <f>1+1+1+1+1</f>
        <v>5</v>
      </c>
      <c r="G496" s="245">
        <f t="shared" si="19"/>
        <v>33</v>
      </c>
      <c r="H496" s="253" t="s">
        <v>1703</v>
      </c>
      <c r="I496" s="371"/>
      <c r="J496" s="173"/>
      <c r="K496" s="173"/>
      <c r="L496" s="173"/>
      <c r="M496" s="173"/>
      <c r="N496" s="173"/>
      <c r="O496" s="173"/>
      <c r="P496" s="173"/>
      <c r="Q496" s="173"/>
      <c r="R496" s="161"/>
    </row>
    <row r="497" spans="1:18" ht="16.5" thickTop="1" thickBot="1" x14ac:dyDescent="0.3">
      <c r="A497" s="314"/>
      <c r="B497" s="152" t="s">
        <v>1</v>
      </c>
      <c r="C497" s="152">
        <v>1440</v>
      </c>
      <c r="D497" s="152">
        <v>969</v>
      </c>
      <c r="E497" s="152">
        <v>88</v>
      </c>
      <c r="F497" s="152">
        <f>1+1+1+1+1</f>
        <v>5</v>
      </c>
      <c r="G497" s="245">
        <f t="shared" si="19"/>
        <v>83</v>
      </c>
      <c r="H497" s="253" t="s">
        <v>1704</v>
      </c>
      <c r="I497" s="371"/>
      <c r="J497" s="173"/>
      <c r="K497" s="173"/>
      <c r="L497" s="173"/>
      <c r="M497" s="173"/>
      <c r="N497" s="173"/>
      <c r="O497" s="173"/>
      <c r="P497" s="173"/>
      <c r="Q497" s="173"/>
      <c r="R497" s="161"/>
    </row>
    <row r="498" spans="1:18" ht="16.5" thickTop="1" thickBot="1" x14ac:dyDescent="0.3">
      <c r="A498" s="315"/>
      <c r="B498" s="126" t="s">
        <v>2</v>
      </c>
      <c r="C498" s="126">
        <v>288</v>
      </c>
      <c r="D498" s="126">
        <v>718</v>
      </c>
      <c r="E498" s="126">
        <v>36</v>
      </c>
      <c r="F498" s="126">
        <f>1+1+1+1+1+1</f>
        <v>6</v>
      </c>
      <c r="G498" s="246">
        <f t="shared" si="19"/>
        <v>30</v>
      </c>
      <c r="H498" s="254" t="s">
        <v>1705</v>
      </c>
      <c r="I498" s="371"/>
      <c r="J498" s="173"/>
      <c r="K498" s="173"/>
      <c r="L498" s="173"/>
      <c r="M498" s="173"/>
      <c r="N498" s="173"/>
      <c r="O498" s="173"/>
      <c r="P498" s="173"/>
      <c r="Q498" s="173"/>
      <c r="R498" s="161"/>
    </row>
    <row r="499" spans="1:18" ht="16.5" thickTop="1" thickBot="1" x14ac:dyDescent="0.3">
      <c r="A499" s="313" t="s">
        <v>314</v>
      </c>
      <c r="B499" s="151" t="s">
        <v>21</v>
      </c>
      <c r="C499" s="112">
        <v>1440</v>
      </c>
      <c r="D499" s="112">
        <v>319</v>
      </c>
      <c r="E499" s="112">
        <f>13+16</f>
        <v>29</v>
      </c>
      <c r="F499" s="151"/>
      <c r="G499" s="243">
        <f t="shared" si="19"/>
        <v>29</v>
      </c>
      <c r="H499" s="252" t="s">
        <v>1706</v>
      </c>
      <c r="I499" s="371" t="s">
        <v>445</v>
      </c>
      <c r="J499" s="173"/>
      <c r="K499" s="173"/>
      <c r="L499" s="173"/>
      <c r="M499" s="173"/>
      <c r="N499" s="173"/>
      <c r="O499" s="173"/>
      <c r="P499" s="173"/>
      <c r="Q499" s="173"/>
      <c r="R499" s="161"/>
    </row>
    <row r="500" spans="1:18" ht="16.5" thickTop="1" thickBot="1" x14ac:dyDescent="0.3">
      <c r="A500" s="314"/>
      <c r="B500" s="152" t="s">
        <v>22</v>
      </c>
      <c r="C500" s="114">
        <v>1440</v>
      </c>
      <c r="D500" s="114">
        <v>403</v>
      </c>
      <c r="E500" s="114">
        <v>29</v>
      </c>
      <c r="F500" s="152"/>
      <c r="G500" s="245">
        <f t="shared" si="19"/>
        <v>29</v>
      </c>
      <c r="H500" s="253" t="s">
        <v>1707</v>
      </c>
      <c r="I500" s="371"/>
      <c r="J500" s="173"/>
      <c r="K500" s="173"/>
      <c r="L500" s="173"/>
      <c r="M500" s="173"/>
      <c r="N500" s="173"/>
      <c r="O500" s="173"/>
      <c r="P500" s="173"/>
      <c r="Q500" s="173"/>
      <c r="R500" s="161"/>
    </row>
    <row r="501" spans="1:18" ht="16.5" thickTop="1" thickBot="1" x14ac:dyDescent="0.3">
      <c r="A501" s="314"/>
      <c r="B501" s="152" t="s">
        <v>18</v>
      </c>
      <c r="C501" s="114">
        <v>1440</v>
      </c>
      <c r="D501" s="114">
        <v>457</v>
      </c>
      <c r="E501" s="114">
        <f>29</f>
        <v>29</v>
      </c>
      <c r="F501" s="152"/>
      <c r="G501" s="245">
        <f t="shared" si="19"/>
        <v>29</v>
      </c>
      <c r="H501" s="253" t="s">
        <v>1708</v>
      </c>
      <c r="I501" s="371"/>
      <c r="J501" s="173"/>
      <c r="K501" s="173"/>
      <c r="L501" s="173"/>
      <c r="M501" s="173"/>
      <c r="N501" s="173"/>
      <c r="O501" s="173"/>
      <c r="P501" s="173"/>
      <c r="Q501" s="173"/>
      <c r="R501" s="161"/>
    </row>
    <row r="502" spans="1:18" ht="16.5" thickTop="1" thickBot="1" x14ac:dyDescent="0.3">
      <c r="A502" s="314"/>
      <c r="B502" s="152" t="s">
        <v>19</v>
      </c>
      <c r="C502" s="114">
        <v>1440</v>
      </c>
      <c r="D502" s="114">
        <v>534</v>
      </c>
      <c r="E502" s="114">
        <v>29</v>
      </c>
      <c r="F502" s="152"/>
      <c r="G502" s="245">
        <f t="shared" si="19"/>
        <v>29</v>
      </c>
      <c r="H502" s="253" t="s">
        <v>1709</v>
      </c>
      <c r="I502" s="371"/>
      <c r="J502" s="173"/>
      <c r="K502" s="173"/>
      <c r="L502" s="173"/>
      <c r="M502" s="173"/>
      <c r="N502" s="173"/>
      <c r="O502" s="173"/>
      <c r="P502" s="173"/>
      <c r="Q502" s="173"/>
      <c r="R502" s="161"/>
    </row>
    <row r="503" spans="1:18" ht="16.5" thickTop="1" thickBot="1" x14ac:dyDescent="0.3">
      <c r="A503" s="314"/>
      <c r="B503" s="152" t="s">
        <v>0</v>
      </c>
      <c r="C503" s="114">
        <v>1440</v>
      </c>
      <c r="D503" s="114">
        <v>748</v>
      </c>
      <c r="E503" s="114">
        <v>25</v>
      </c>
      <c r="F503" s="152">
        <v>1</v>
      </c>
      <c r="G503" s="245">
        <f t="shared" si="19"/>
        <v>24</v>
      </c>
      <c r="H503" s="253" t="s">
        <v>1710</v>
      </c>
      <c r="I503" s="371"/>
      <c r="J503" s="173"/>
      <c r="K503" s="173"/>
      <c r="L503" s="173"/>
      <c r="M503" s="173"/>
      <c r="N503" s="173"/>
      <c r="O503" s="173"/>
      <c r="P503" s="173"/>
      <c r="Q503" s="173"/>
      <c r="R503" s="161"/>
    </row>
    <row r="504" spans="1:18" ht="16.5" thickTop="1" thickBot="1" x14ac:dyDescent="0.3">
      <c r="A504" s="315"/>
      <c r="B504" s="126" t="s">
        <v>2</v>
      </c>
      <c r="C504" s="116">
        <v>288</v>
      </c>
      <c r="D504" s="116">
        <v>718</v>
      </c>
      <c r="E504" s="116">
        <v>25</v>
      </c>
      <c r="F504" s="126"/>
      <c r="G504" s="246">
        <f t="shared" si="19"/>
        <v>25</v>
      </c>
      <c r="H504" s="254" t="s">
        <v>1711</v>
      </c>
      <c r="I504" s="371"/>
      <c r="J504" s="173"/>
      <c r="K504" s="173"/>
      <c r="L504" s="173"/>
      <c r="M504" s="173"/>
      <c r="N504" s="173"/>
      <c r="O504" s="173"/>
      <c r="P504" s="173"/>
      <c r="Q504" s="173"/>
      <c r="R504" s="161"/>
    </row>
    <row r="505" spans="1:18" ht="16.5" thickTop="1" thickBot="1" x14ac:dyDescent="0.3">
      <c r="A505" s="307" t="s">
        <v>1276</v>
      </c>
      <c r="B505" s="151" t="s">
        <v>89</v>
      </c>
      <c r="C505" s="151">
        <v>1440</v>
      </c>
      <c r="D505" s="151">
        <v>319</v>
      </c>
      <c r="E505" s="151">
        <f>5+43+50</f>
        <v>98</v>
      </c>
      <c r="F505" s="151">
        <f>1+1+1+1+1+1</f>
        <v>6</v>
      </c>
      <c r="G505" s="243">
        <f t="shared" si="19"/>
        <v>92</v>
      </c>
      <c r="H505" s="252" t="s">
        <v>1716</v>
      </c>
      <c r="I505" s="371" t="s">
        <v>446</v>
      </c>
      <c r="J505" s="173"/>
      <c r="K505" s="173"/>
      <c r="L505" s="173"/>
      <c r="M505" s="173"/>
      <c r="N505" s="173"/>
      <c r="O505" s="173"/>
      <c r="P505" s="173"/>
      <c r="Q505" s="173"/>
      <c r="R505" s="161"/>
    </row>
    <row r="506" spans="1:18" ht="16.5" thickTop="1" thickBot="1" x14ac:dyDescent="0.3">
      <c r="A506" s="308"/>
      <c r="B506" s="152" t="s">
        <v>21</v>
      </c>
      <c r="C506" s="152">
        <v>1440</v>
      </c>
      <c r="D506" s="152">
        <v>319</v>
      </c>
      <c r="E506" s="152">
        <f>4+34+50</f>
        <v>88</v>
      </c>
      <c r="F506" s="152">
        <f>1+1+1</f>
        <v>3</v>
      </c>
      <c r="G506" s="245">
        <f t="shared" si="19"/>
        <v>85</v>
      </c>
      <c r="H506" s="253" t="s">
        <v>1717</v>
      </c>
      <c r="I506" s="371"/>
      <c r="J506" s="173"/>
      <c r="K506" s="173"/>
      <c r="L506" s="173"/>
      <c r="M506" s="173"/>
      <c r="N506" s="173"/>
      <c r="O506" s="173"/>
      <c r="P506" s="173"/>
      <c r="Q506" s="173"/>
      <c r="R506" s="161"/>
    </row>
    <row r="507" spans="1:18" ht="16.5" thickTop="1" thickBot="1" x14ac:dyDescent="0.3">
      <c r="A507" s="308"/>
      <c r="B507" s="152" t="s">
        <v>22</v>
      </c>
      <c r="C507" s="152">
        <v>1440</v>
      </c>
      <c r="D507" s="152">
        <v>403</v>
      </c>
      <c r="E507" s="152">
        <f>10+35+40</f>
        <v>85</v>
      </c>
      <c r="F507" s="152">
        <f>1+1+1</f>
        <v>3</v>
      </c>
      <c r="G507" s="245">
        <f t="shared" si="19"/>
        <v>82</v>
      </c>
      <c r="H507" s="253" t="s">
        <v>1718</v>
      </c>
      <c r="I507" s="371"/>
      <c r="J507" s="173"/>
      <c r="K507" s="173"/>
      <c r="L507" s="173"/>
      <c r="M507" s="173"/>
      <c r="N507" s="173"/>
      <c r="O507" s="173"/>
      <c r="P507" s="173"/>
      <c r="Q507" s="173"/>
      <c r="R507" s="161"/>
    </row>
    <row r="508" spans="1:18" ht="16.5" thickTop="1" thickBot="1" x14ac:dyDescent="0.3">
      <c r="A508" s="308"/>
      <c r="B508" s="152" t="s">
        <v>18</v>
      </c>
      <c r="C508" s="152">
        <v>1440</v>
      </c>
      <c r="D508" s="152">
        <v>458</v>
      </c>
      <c r="E508" s="152">
        <f>16+31+50</f>
        <v>97</v>
      </c>
      <c r="F508" s="152">
        <f>1+1+1</f>
        <v>3</v>
      </c>
      <c r="G508" s="245">
        <f t="shared" si="19"/>
        <v>94</v>
      </c>
      <c r="H508" s="253" t="s">
        <v>1719</v>
      </c>
      <c r="I508" s="371"/>
      <c r="J508" s="173"/>
      <c r="K508" s="173"/>
      <c r="L508" s="173"/>
      <c r="M508" s="173"/>
      <c r="N508" s="173"/>
      <c r="O508" s="173"/>
      <c r="P508" s="173"/>
      <c r="Q508" s="173"/>
      <c r="R508" s="161"/>
    </row>
    <row r="509" spans="1:18" ht="16.5" thickTop="1" thickBot="1" x14ac:dyDescent="0.3">
      <c r="A509" s="308"/>
      <c r="B509" s="152" t="s">
        <v>19</v>
      </c>
      <c r="C509" s="152">
        <v>1440</v>
      </c>
      <c r="D509" s="152">
        <v>534</v>
      </c>
      <c r="E509" s="152">
        <f>3+23+50</f>
        <v>76</v>
      </c>
      <c r="F509" s="152">
        <f>1+1+1+1</f>
        <v>4</v>
      </c>
      <c r="G509" s="245">
        <f t="shared" si="19"/>
        <v>72</v>
      </c>
      <c r="H509" s="253" t="s">
        <v>1720</v>
      </c>
      <c r="I509" s="371"/>
      <c r="J509" s="173"/>
      <c r="K509" s="173"/>
      <c r="L509" s="173"/>
      <c r="M509" s="173"/>
      <c r="N509" s="173"/>
      <c r="O509" s="173"/>
      <c r="P509" s="173"/>
      <c r="Q509" s="173"/>
      <c r="R509" s="161"/>
    </row>
    <row r="510" spans="1:18" ht="16.5" thickTop="1" thickBot="1" x14ac:dyDescent="0.3">
      <c r="A510" s="308"/>
      <c r="B510" s="152" t="s">
        <v>0</v>
      </c>
      <c r="C510" s="152">
        <v>1440</v>
      </c>
      <c r="D510" s="152">
        <v>748</v>
      </c>
      <c r="E510" s="152">
        <f>10+31+50</f>
        <v>91</v>
      </c>
      <c r="F510" s="152">
        <v>1</v>
      </c>
      <c r="G510" s="245">
        <f t="shared" si="19"/>
        <v>90</v>
      </c>
      <c r="H510" s="253" t="s">
        <v>1721</v>
      </c>
      <c r="I510" s="371"/>
      <c r="J510" s="173"/>
      <c r="K510" s="173"/>
      <c r="L510" s="173"/>
      <c r="M510" s="173"/>
      <c r="N510" s="173"/>
      <c r="O510" s="173"/>
      <c r="P510" s="173"/>
      <c r="Q510" s="173"/>
      <c r="R510" s="161"/>
    </row>
    <row r="511" spans="1:18" ht="16.5" thickTop="1" thickBot="1" x14ac:dyDescent="0.3">
      <c r="A511" s="308"/>
      <c r="B511" s="154" t="s">
        <v>1</v>
      </c>
      <c r="C511" s="154">
        <v>1440</v>
      </c>
      <c r="D511" s="152">
        <v>969</v>
      </c>
      <c r="E511" s="152">
        <f>86+45</f>
        <v>131</v>
      </c>
      <c r="F511" s="152">
        <f>1+1+1</f>
        <v>3</v>
      </c>
      <c r="G511" s="245">
        <f t="shared" si="19"/>
        <v>128</v>
      </c>
      <c r="H511" s="253" t="s">
        <v>1722</v>
      </c>
      <c r="I511" s="371"/>
      <c r="J511" s="173"/>
      <c r="K511" s="173"/>
      <c r="L511" s="173"/>
      <c r="M511" s="173"/>
      <c r="N511" s="173"/>
      <c r="O511" s="173"/>
      <c r="P511" s="173"/>
      <c r="Q511" s="173"/>
      <c r="R511" s="161"/>
    </row>
    <row r="512" spans="1:18" ht="16.5" thickTop="1" thickBot="1" x14ac:dyDescent="0.3">
      <c r="A512" s="309"/>
      <c r="B512" s="126" t="s">
        <v>2</v>
      </c>
      <c r="C512" s="126">
        <v>288</v>
      </c>
      <c r="D512" s="149">
        <v>718</v>
      </c>
      <c r="E512" s="126">
        <v>6</v>
      </c>
      <c r="F512" s="126">
        <f>1+1+1</f>
        <v>3</v>
      </c>
      <c r="G512" s="245">
        <f t="shared" si="19"/>
        <v>3</v>
      </c>
      <c r="H512" s="254" t="s">
        <v>1723</v>
      </c>
      <c r="I512" s="371"/>
      <c r="J512" s="173"/>
      <c r="K512" s="173"/>
      <c r="L512" s="173"/>
      <c r="M512" s="173"/>
      <c r="N512" s="173"/>
      <c r="O512" s="173"/>
      <c r="P512" s="173"/>
      <c r="Q512" s="173"/>
      <c r="R512" s="161"/>
    </row>
    <row r="513" spans="1:18" ht="16.5" thickTop="1" thickBot="1" x14ac:dyDescent="0.3">
      <c r="A513" s="313" t="s">
        <v>447</v>
      </c>
      <c r="B513" s="151" t="s">
        <v>21</v>
      </c>
      <c r="C513" s="151">
        <v>1440</v>
      </c>
      <c r="D513" s="151">
        <v>319</v>
      </c>
      <c r="E513" s="151">
        <v>20</v>
      </c>
      <c r="F513" s="151">
        <v>1</v>
      </c>
      <c r="G513" s="243">
        <f t="shared" si="19"/>
        <v>19</v>
      </c>
      <c r="H513" s="252" t="s">
        <v>1724</v>
      </c>
      <c r="I513" s="371" t="s">
        <v>448</v>
      </c>
      <c r="J513" s="173"/>
      <c r="K513" s="173"/>
      <c r="L513" s="173"/>
      <c r="M513" s="173"/>
      <c r="N513" s="173"/>
      <c r="O513" s="173"/>
      <c r="P513" s="173"/>
      <c r="Q513" s="173"/>
      <c r="R513" s="161"/>
    </row>
    <row r="514" spans="1:18" ht="16.5" thickTop="1" thickBot="1" x14ac:dyDescent="0.3">
      <c r="A514" s="314"/>
      <c r="B514" s="152" t="s">
        <v>22</v>
      </c>
      <c r="C514" s="152">
        <v>1440</v>
      </c>
      <c r="D514" s="152">
        <v>403</v>
      </c>
      <c r="E514" s="152">
        <v>20</v>
      </c>
      <c r="F514" s="152">
        <f>1+1</f>
        <v>2</v>
      </c>
      <c r="G514" s="245">
        <f t="shared" si="19"/>
        <v>18</v>
      </c>
      <c r="H514" s="253" t="s">
        <v>1725</v>
      </c>
      <c r="I514" s="371"/>
      <c r="J514" s="173"/>
      <c r="K514" s="173"/>
      <c r="L514" s="173"/>
      <c r="M514" s="173"/>
      <c r="N514" s="173"/>
      <c r="O514" s="173"/>
      <c r="P514" s="173"/>
      <c r="Q514" s="173"/>
      <c r="R514" s="161"/>
    </row>
    <row r="515" spans="1:18" ht="16.5" thickTop="1" thickBot="1" x14ac:dyDescent="0.3">
      <c r="A515" s="314"/>
      <c r="B515" s="152" t="s">
        <v>18</v>
      </c>
      <c r="C515" s="152">
        <v>1440</v>
      </c>
      <c r="D515" s="152">
        <v>457</v>
      </c>
      <c r="E515" s="152">
        <v>20</v>
      </c>
      <c r="F515" s="152">
        <f>1+1+1+1</f>
        <v>4</v>
      </c>
      <c r="G515" s="245">
        <f t="shared" si="19"/>
        <v>16</v>
      </c>
      <c r="H515" s="253" t="s">
        <v>1726</v>
      </c>
      <c r="I515" s="371"/>
      <c r="J515" s="173"/>
      <c r="K515" s="173"/>
      <c r="L515" s="173"/>
      <c r="M515" s="173"/>
      <c r="N515" s="173"/>
      <c r="O515" s="173"/>
      <c r="P515" s="173"/>
      <c r="Q515" s="173"/>
      <c r="R515" s="161"/>
    </row>
    <row r="516" spans="1:18" ht="16.5" thickTop="1" thickBot="1" x14ac:dyDescent="0.3">
      <c r="A516" s="314"/>
      <c r="B516" s="152" t="s">
        <v>19</v>
      </c>
      <c r="C516" s="152">
        <v>1440</v>
      </c>
      <c r="D516" s="152">
        <v>534</v>
      </c>
      <c r="E516" s="152">
        <v>20</v>
      </c>
      <c r="F516" s="152">
        <f>1+1+1</f>
        <v>3</v>
      </c>
      <c r="G516" s="245">
        <f t="shared" si="19"/>
        <v>17</v>
      </c>
      <c r="H516" s="253" t="s">
        <v>1727</v>
      </c>
      <c r="I516" s="371"/>
      <c r="J516" s="173"/>
      <c r="K516" s="173"/>
      <c r="L516" s="173"/>
      <c r="M516" s="173"/>
      <c r="N516" s="173"/>
      <c r="O516" s="173"/>
      <c r="P516" s="173"/>
      <c r="Q516" s="173"/>
      <c r="R516" s="161"/>
    </row>
    <row r="517" spans="1:18" ht="16.5" thickTop="1" thickBot="1" x14ac:dyDescent="0.3">
      <c r="A517" s="314"/>
      <c r="B517" s="152" t="s">
        <v>0</v>
      </c>
      <c r="C517" s="152">
        <v>1440</v>
      </c>
      <c r="D517" s="152">
        <v>748</v>
      </c>
      <c r="E517" s="152">
        <v>20</v>
      </c>
      <c r="F517" s="152">
        <f>1+1</f>
        <v>2</v>
      </c>
      <c r="G517" s="245">
        <f t="shared" si="19"/>
        <v>18</v>
      </c>
      <c r="H517" s="253" t="s">
        <v>1728</v>
      </c>
      <c r="I517" s="371"/>
      <c r="J517" s="173"/>
      <c r="K517" s="173"/>
      <c r="L517" s="173"/>
      <c r="M517" s="173"/>
      <c r="N517" s="173"/>
      <c r="O517" s="173"/>
      <c r="P517" s="173"/>
      <c r="Q517" s="173"/>
      <c r="R517" s="161"/>
    </row>
    <row r="518" spans="1:18" ht="16.5" thickTop="1" thickBot="1" x14ac:dyDescent="0.3">
      <c r="A518" s="314"/>
      <c r="B518" s="152" t="s">
        <v>1</v>
      </c>
      <c r="C518" s="152">
        <v>1440</v>
      </c>
      <c r="D518" s="152">
        <v>968</v>
      </c>
      <c r="E518" s="152">
        <v>13</v>
      </c>
      <c r="F518" s="152">
        <f>1+1+1+1</f>
        <v>4</v>
      </c>
      <c r="G518" s="245">
        <f t="shared" si="19"/>
        <v>9</v>
      </c>
      <c r="H518" s="253" t="s">
        <v>1729</v>
      </c>
      <c r="I518" s="371"/>
      <c r="J518" s="173"/>
      <c r="K518" s="173"/>
      <c r="L518" s="173"/>
      <c r="M518" s="173"/>
      <c r="N518" s="173"/>
      <c r="O518" s="173"/>
      <c r="P518" s="173"/>
      <c r="Q518" s="173"/>
      <c r="R518" s="161"/>
    </row>
    <row r="519" spans="1:18" ht="16.5" thickTop="1" thickBot="1" x14ac:dyDescent="0.3">
      <c r="A519" s="315"/>
      <c r="B519" s="126" t="s">
        <v>2</v>
      </c>
      <c r="C519" s="126">
        <v>288</v>
      </c>
      <c r="D519" s="126">
        <v>718</v>
      </c>
      <c r="E519" s="126">
        <v>1</v>
      </c>
      <c r="F519" s="126">
        <v>1</v>
      </c>
      <c r="G519" s="246">
        <f t="shared" si="19"/>
        <v>0</v>
      </c>
      <c r="H519" s="254" t="s">
        <v>1730</v>
      </c>
      <c r="I519" s="371"/>
      <c r="J519" s="173"/>
      <c r="K519" s="173"/>
      <c r="L519" s="173"/>
      <c r="M519" s="173"/>
      <c r="N519" s="173"/>
      <c r="O519" s="173"/>
      <c r="P519" s="173"/>
      <c r="Q519" s="173"/>
      <c r="R519" s="161"/>
    </row>
    <row r="520" spans="1:18" ht="16.5" thickTop="1" thickBot="1" x14ac:dyDescent="0.3">
      <c r="A520" s="304" t="s">
        <v>180</v>
      </c>
      <c r="B520" s="151" t="s">
        <v>89</v>
      </c>
      <c r="C520" s="151">
        <v>1440</v>
      </c>
      <c r="D520" s="151">
        <v>319</v>
      </c>
      <c r="E520" s="151">
        <v>20</v>
      </c>
      <c r="F520" s="151"/>
      <c r="G520" s="243">
        <f t="shared" si="19"/>
        <v>20</v>
      </c>
      <c r="H520" s="252" t="s">
        <v>1731</v>
      </c>
      <c r="I520" s="371" t="s">
        <v>449</v>
      </c>
      <c r="J520" s="173"/>
      <c r="K520" s="173"/>
      <c r="L520" s="173"/>
      <c r="M520" s="173"/>
      <c r="N520" s="173"/>
      <c r="O520" s="173"/>
      <c r="P520" s="173"/>
      <c r="Q520" s="173"/>
      <c r="R520" s="161"/>
    </row>
    <row r="521" spans="1:18" ht="16.5" thickTop="1" thickBot="1" x14ac:dyDescent="0.3">
      <c r="A521" s="305"/>
      <c r="B521" s="153" t="s">
        <v>21</v>
      </c>
      <c r="C521" s="153">
        <v>1440</v>
      </c>
      <c r="D521" s="153">
        <v>319</v>
      </c>
      <c r="E521" s="153">
        <v>20</v>
      </c>
      <c r="F521" s="153">
        <v>1</v>
      </c>
      <c r="G521" s="244">
        <f t="shared" si="19"/>
        <v>19</v>
      </c>
      <c r="H521" s="253" t="s">
        <v>1732</v>
      </c>
      <c r="I521" s="371"/>
      <c r="J521" s="161"/>
      <c r="K521" s="161"/>
      <c r="L521" s="161"/>
      <c r="M521" s="161"/>
      <c r="N521" s="161"/>
      <c r="O521" s="161"/>
      <c r="P521" s="161"/>
      <c r="Q521" s="161"/>
      <c r="R521" s="161"/>
    </row>
    <row r="522" spans="1:18" ht="16.5" thickTop="1" thickBot="1" x14ac:dyDescent="0.3">
      <c r="A522" s="305"/>
      <c r="B522" s="152" t="s">
        <v>22</v>
      </c>
      <c r="C522" s="152">
        <v>1440</v>
      </c>
      <c r="D522" s="152">
        <v>403</v>
      </c>
      <c r="E522" s="152">
        <v>20</v>
      </c>
      <c r="F522" s="152"/>
      <c r="G522" s="245">
        <f t="shared" si="19"/>
        <v>20</v>
      </c>
      <c r="H522" s="253" t="s">
        <v>1733</v>
      </c>
      <c r="I522" s="371"/>
      <c r="J522" s="161"/>
      <c r="K522" s="161"/>
      <c r="L522" s="161"/>
      <c r="M522" s="161"/>
      <c r="N522" s="161"/>
      <c r="O522" s="161"/>
      <c r="P522" s="161"/>
      <c r="Q522" s="161"/>
      <c r="R522" s="161"/>
    </row>
    <row r="523" spans="1:18" ht="16.5" thickTop="1" thickBot="1" x14ac:dyDescent="0.3">
      <c r="A523" s="305"/>
      <c r="B523" s="152" t="s">
        <v>18</v>
      </c>
      <c r="C523" s="152">
        <v>1440</v>
      </c>
      <c r="D523" s="152">
        <v>457</v>
      </c>
      <c r="E523" s="152">
        <v>20</v>
      </c>
      <c r="F523" s="152">
        <v>1</v>
      </c>
      <c r="G523" s="245">
        <f t="shared" si="19"/>
        <v>19</v>
      </c>
      <c r="H523" s="253" t="s">
        <v>1734</v>
      </c>
      <c r="I523" s="371"/>
      <c r="J523" s="161"/>
      <c r="K523" s="161"/>
      <c r="L523" s="161"/>
      <c r="M523" s="161"/>
      <c r="N523" s="161"/>
      <c r="O523" s="161"/>
      <c r="P523" s="161"/>
      <c r="Q523" s="161"/>
      <c r="R523" s="161"/>
    </row>
    <row r="524" spans="1:18" ht="16.5" thickTop="1" thickBot="1" x14ac:dyDescent="0.3">
      <c r="A524" s="305"/>
      <c r="B524" s="152" t="s">
        <v>19</v>
      </c>
      <c r="C524" s="152">
        <v>1440</v>
      </c>
      <c r="D524" s="152">
        <v>534</v>
      </c>
      <c r="E524" s="152">
        <v>20</v>
      </c>
      <c r="F524" s="152">
        <v>1</v>
      </c>
      <c r="G524" s="245">
        <f t="shared" si="19"/>
        <v>19</v>
      </c>
      <c r="H524" s="253" t="s">
        <v>1735</v>
      </c>
      <c r="I524" s="371"/>
      <c r="J524" s="161"/>
      <c r="K524" s="161"/>
      <c r="L524" s="161"/>
      <c r="M524" s="161"/>
      <c r="N524" s="161"/>
      <c r="O524" s="161"/>
      <c r="P524" s="161"/>
      <c r="Q524" s="161"/>
      <c r="R524" s="161"/>
    </row>
    <row r="525" spans="1:18" ht="16.5" thickTop="1" thickBot="1" x14ac:dyDescent="0.3">
      <c r="A525" s="305"/>
      <c r="B525" s="152" t="s">
        <v>0</v>
      </c>
      <c r="C525" s="152">
        <v>1440</v>
      </c>
      <c r="D525" s="152">
        <v>748</v>
      </c>
      <c r="E525" s="152">
        <f>18+39</f>
        <v>57</v>
      </c>
      <c r="F525" s="152">
        <f>1+1+1+1+1+1</f>
        <v>6</v>
      </c>
      <c r="G525" s="245">
        <f t="shared" si="19"/>
        <v>51</v>
      </c>
      <c r="H525" s="253" t="s">
        <v>1736</v>
      </c>
      <c r="I525" s="371"/>
      <c r="J525" s="161"/>
      <c r="K525" s="161"/>
      <c r="L525" s="161"/>
      <c r="M525" s="161"/>
      <c r="N525" s="161"/>
      <c r="O525" s="161"/>
      <c r="P525" s="161"/>
      <c r="Q525" s="161"/>
      <c r="R525" s="161"/>
    </row>
    <row r="526" spans="1:18" ht="16.5" thickTop="1" thickBot="1" x14ac:dyDescent="0.3">
      <c r="A526" s="305"/>
      <c r="B526" s="152" t="s">
        <v>1</v>
      </c>
      <c r="C526" s="152">
        <v>1440</v>
      </c>
      <c r="D526" s="152">
        <v>968</v>
      </c>
      <c r="E526" s="152">
        <f>9+38</f>
        <v>47</v>
      </c>
      <c r="F526" s="152">
        <f>1+1+1+1+1</f>
        <v>5</v>
      </c>
      <c r="G526" s="245">
        <f t="shared" si="19"/>
        <v>42</v>
      </c>
      <c r="H526" s="253" t="s">
        <v>1737</v>
      </c>
      <c r="I526" s="371"/>
      <c r="J526" s="161"/>
      <c r="K526" s="161"/>
      <c r="L526" s="161"/>
      <c r="M526" s="161"/>
      <c r="N526" s="161"/>
      <c r="O526" s="161"/>
      <c r="P526" s="161"/>
      <c r="Q526" s="161"/>
      <c r="R526" s="161"/>
    </row>
    <row r="527" spans="1:18" ht="16.5" thickTop="1" thickBot="1" x14ac:dyDescent="0.3">
      <c r="A527" s="306"/>
      <c r="B527" s="126" t="s">
        <v>2</v>
      </c>
      <c r="C527" s="126">
        <v>288</v>
      </c>
      <c r="D527" s="126">
        <v>718</v>
      </c>
      <c r="E527" s="126">
        <f>19+39</f>
        <v>58</v>
      </c>
      <c r="F527" s="126">
        <f>1+1+1+1+1</f>
        <v>5</v>
      </c>
      <c r="G527" s="246">
        <f t="shared" si="19"/>
        <v>53</v>
      </c>
      <c r="H527" s="254" t="s">
        <v>1738</v>
      </c>
      <c r="I527" s="371"/>
      <c r="J527" s="161"/>
      <c r="K527" s="161"/>
      <c r="L527" s="161"/>
      <c r="M527" s="161"/>
      <c r="N527" s="161"/>
      <c r="O527" s="161"/>
      <c r="P527" s="161"/>
      <c r="Q527" s="161"/>
      <c r="R527" s="161"/>
    </row>
    <row r="528" spans="1:18" ht="15.75" thickTop="1" x14ac:dyDescent="0.25">
      <c r="A528" s="310" t="s">
        <v>181</v>
      </c>
      <c r="B528" s="151" t="s">
        <v>89</v>
      </c>
      <c r="C528" s="151">
        <v>1440</v>
      </c>
      <c r="D528" s="151">
        <v>303</v>
      </c>
      <c r="E528" s="151">
        <v>20</v>
      </c>
      <c r="F528" s="151">
        <v>1</v>
      </c>
      <c r="G528" s="243">
        <f>E528-F528</f>
        <v>19</v>
      </c>
      <c r="H528" s="252" t="s">
        <v>1739</v>
      </c>
      <c r="I528" s="373" t="s">
        <v>450</v>
      </c>
      <c r="J528" s="161"/>
      <c r="K528" s="161"/>
      <c r="L528" s="161"/>
      <c r="M528" s="161"/>
      <c r="N528" s="161"/>
      <c r="O528" s="161"/>
      <c r="P528" s="161"/>
      <c r="Q528" s="161"/>
      <c r="R528" s="161"/>
    </row>
    <row r="529" spans="1:18" x14ac:dyDescent="0.25">
      <c r="A529" s="311"/>
      <c r="B529" s="152" t="s">
        <v>22</v>
      </c>
      <c r="C529" s="152">
        <v>1440</v>
      </c>
      <c r="D529" s="152">
        <v>403</v>
      </c>
      <c r="E529" s="152">
        <v>20</v>
      </c>
      <c r="F529" s="152"/>
      <c r="G529" s="245">
        <f t="shared" si="19"/>
        <v>20</v>
      </c>
      <c r="H529" s="253" t="s">
        <v>1740</v>
      </c>
      <c r="I529" s="374"/>
      <c r="J529" s="161"/>
      <c r="K529" s="161"/>
      <c r="L529" s="161"/>
      <c r="M529" s="161"/>
      <c r="N529" s="161"/>
      <c r="O529" s="161"/>
      <c r="P529" s="161"/>
      <c r="Q529" s="161"/>
      <c r="R529" s="161"/>
    </row>
    <row r="530" spans="1:18" x14ac:dyDescent="0.25">
      <c r="A530" s="311"/>
      <c r="B530" s="152" t="s">
        <v>18</v>
      </c>
      <c r="C530" s="152">
        <v>1440</v>
      </c>
      <c r="D530" s="152">
        <v>457</v>
      </c>
      <c r="E530" s="152">
        <v>20</v>
      </c>
      <c r="F530" s="152"/>
      <c r="G530" s="245">
        <f t="shared" si="19"/>
        <v>20</v>
      </c>
      <c r="H530" s="253" t="s">
        <v>1741</v>
      </c>
      <c r="I530" s="374"/>
      <c r="J530" s="161"/>
      <c r="K530" s="161"/>
      <c r="L530" s="161"/>
      <c r="M530" s="161"/>
      <c r="N530" s="161"/>
      <c r="O530" s="161"/>
      <c r="P530" s="161"/>
      <c r="Q530" s="161"/>
      <c r="R530" s="161"/>
    </row>
    <row r="531" spans="1:18" x14ac:dyDescent="0.25">
      <c r="A531" s="311"/>
      <c r="B531" s="152" t="s">
        <v>19</v>
      </c>
      <c r="C531" s="152">
        <v>1440</v>
      </c>
      <c r="D531" s="152">
        <v>534</v>
      </c>
      <c r="E531" s="152">
        <v>20</v>
      </c>
      <c r="F531" s="152"/>
      <c r="G531" s="245">
        <f t="shared" si="19"/>
        <v>20</v>
      </c>
      <c r="H531" s="253" t="s">
        <v>1742</v>
      </c>
      <c r="I531" s="374"/>
      <c r="J531" s="161"/>
      <c r="K531" s="161"/>
      <c r="L531" s="161"/>
      <c r="M531" s="161"/>
      <c r="N531" s="161"/>
      <c r="O531" s="161"/>
      <c r="P531" s="161"/>
      <c r="Q531" s="161"/>
      <c r="R531" s="161"/>
    </row>
    <row r="532" spans="1:18" x14ac:dyDescent="0.25">
      <c r="A532" s="311"/>
      <c r="B532" s="152" t="s">
        <v>0</v>
      </c>
      <c r="C532" s="152">
        <v>1440</v>
      </c>
      <c r="D532" s="152">
        <v>748</v>
      </c>
      <c r="E532" s="152">
        <f>20+19+1</f>
        <v>40</v>
      </c>
      <c r="F532" s="152">
        <f>1+1+1+1+1</f>
        <v>5</v>
      </c>
      <c r="G532" s="245">
        <f t="shared" si="19"/>
        <v>35</v>
      </c>
      <c r="H532" s="253" t="s">
        <v>1743</v>
      </c>
      <c r="I532" s="374"/>
      <c r="J532" s="161"/>
      <c r="K532" s="161"/>
      <c r="L532" s="161"/>
      <c r="M532" s="161"/>
      <c r="N532" s="161"/>
      <c r="O532" s="161"/>
      <c r="P532" s="161"/>
      <c r="Q532" s="161"/>
      <c r="R532" s="161"/>
    </row>
    <row r="533" spans="1:18" x14ac:dyDescent="0.25">
      <c r="A533" s="311"/>
      <c r="B533" s="152" t="s">
        <v>1</v>
      </c>
      <c r="C533" s="152">
        <v>1440</v>
      </c>
      <c r="D533" s="152">
        <v>968</v>
      </c>
      <c r="E533" s="152">
        <f>20+10+2</f>
        <v>32</v>
      </c>
      <c r="F533" s="152">
        <f>1+1+2+1</f>
        <v>5</v>
      </c>
      <c r="G533" s="245">
        <f t="shared" si="19"/>
        <v>27</v>
      </c>
      <c r="H533" s="253" t="s">
        <v>1744</v>
      </c>
      <c r="I533" s="374"/>
      <c r="J533" s="161"/>
      <c r="K533" s="161"/>
      <c r="L533" s="161"/>
      <c r="M533" s="161"/>
      <c r="N533" s="161"/>
      <c r="O533" s="161"/>
      <c r="P533" s="161"/>
      <c r="Q533" s="161"/>
      <c r="R533" s="161"/>
    </row>
    <row r="534" spans="1:18" ht="15.75" thickBot="1" x14ac:dyDescent="0.3">
      <c r="A534" s="312"/>
      <c r="B534" s="126" t="s">
        <v>2</v>
      </c>
      <c r="C534" s="126">
        <v>288</v>
      </c>
      <c r="D534" s="126">
        <v>718</v>
      </c>
      <c r="E534" s="126">
        <v>20</v>
      </c>
      <c r="F534" s="126"/>
      <c r="G534" s="246">
        <f>E534-F534</f>
        <v>20</v>
      </c>
      <c r="H534" s="254" t="s">
        <v>1745</v>
      </c>
      <c r="I534" s="372"/>
      <c r="J534" s="161"/>
      <c r="K534" s="161"/>
      <c r="L534" s="161"/>
      <c r="M534" s="161"/>
      <c r="N534" s="161"/>
      <c r="O534" s="161"/>
      <c r="P534" s="161"/>
      <c r="Q534" s="161"/>
      <c r="R534" s="161"/>
    </row>
    <row r="535" spans="1:18" ht="16.5" thickTop="1" thickBot="1" x14ac:dyDescent="0.3">
      <c r="A535" s="310" t="s">
        <v>182</v>
      </c>
      <c r="B535" s="151" t="s">
        <v>89</v>
      </c>
      <c r="C535" s="151">
        <v>1440</v>
      </c>
      <c r="D535" s="151">
        <v>319</v>
      </c>
      <c r="E535" s="151">
        <v>50</v>
      </c>
      <c r="F535" s="151"/>
      <c r="G535" s="243">
        <f t="shared" si="19"/>
        <v>50</v>
      </c>
      <c r="H535" s="252" t="s">
        <v>1746</v>
      </c>
      <c r="I535" s="371" t="s">
        <v>451</v>
      </c>
      <c r="J535" s="161"/>
      <c r="K535" s="161"/>
      <c r="L535" s="161"/>
      <c r="M535" s="161"/>
      <c r="N535" s="161"/>
      <c r="O535" s="161"/>
      <c r="P535" s="161"/>
      <c r="Q535" s="161"/>
      <c r="R535" s="161"/>
    </row>
    <row r="536" spans="1:18" ht="16.5" thickTop="1" thickBot="1" x14ac:dyDescent="0.3">
      <c r="A536" s="311"/>
      <c r="B536" s="152" t="s">
        <v>21</v>
      </c>
      <c r="C536" s="152">
        <v>1440</v>
      </c>
      <c r="D536" s="152">
        <v>319</v>
      </c>
      <c r="E536" s="152">
        <v>49</v>
      </c>
      <c r="F536" s="152"/>
      <c r="G536" s="245">
        <f t="shared" si="19"/>
        <v>49</v>
      </c>
      <c r="H536" s="253" t="s">
        <v>1747</v>
      </c>
      <c r="I536" s="371"/>
      <c r="J536" s="161"/>
      <c r="K536" s="161"/>
      <c r="L536" s="161"/>
      <c r="M536" s="161"/>
      <c r="N536" s="161"/>
      <c r="O536" s="161"/>
      <c r="P536" s="161"/>
      <c r="Q536" s="161"/>
      <c r="R536" s="161"/>
    </row>
    <row r="537" spans="1:18" ht="16.5" thickTop="1" thickBot="1" x14ac:dyDescent="0.3">
      <c r="A537" s="311"/>
      <c r="B537" s="152" t="s">
        <v>22</v>
      </c>
      <c r="C537" s="152">
        <v>1440</v>
      </c>
      <c r="D537" s="152">
        <v>403</v>
      </c>
      <c r="E537" s="152">
        <v>40</v>
      </c>
      <c r="F537" s="152">
        <f>1+1</f>
        <v>2</v>
      </c>
      <c r="G537" s="245">
        <f t="shared" si="19"/>
        <v>38</v>
      </c>
      <c r="H537" s="253" t="s">
        <v>1748</v>
      </c>
      <c r="I537" s="371"/>
      <c r="J537" s="161"/>
      <c r="K537" s="161"/>
      <c r="L537" s="161"/>
      <c r="M537" s="161"/>
      <c r="N537" s="161"/>
      <c r="O537" s="161"/>
      <c r="P537" s="161"/>
      <c r="Q537" s="161"/>
      <c r="R537" s="161"/>
    </row>
    <row r="538" spans="1:18" ht="16.5" thickTop="1" thickBot="1" x14ac:dyDescent="0.3">
      <c r="A538" s="311"/>
      <c r="B538" s="152" t="s">
        <v>18</v>
      </c>
      <c r="C538" s="152">
        <v>1440</v>
      </c>
      <c r="D538" s="152">
        <v>458</v>
      </c>
      <c r="E538" s="152">
        <v>34</v>
      </c>
      <c r="F538" s="152">
        <v>1</v>
      </c>
      <c r="G538" s="245">
        <f t="shared" si="19"/>
        <v>33</v>
      </c>
      <c r="H538" s="253" t="s">
        <v>1749</v>
      </c>
      <c r="I538" s="371"/>
      <c r="J538" s="161"/>
      <c r="K538" s="161"/>
      <c r="L538" s="161"/>
      <c r="M538" s="161"/>
      <c r="N538" s="161"/>
      <c r="O538" s="161"/>
      <c r="P538" s="161"/>
      <c r="Q538" s="161"/>
      <c r="R538" s="161"/>
    </row>
    <row r="539" spans="1:18" ht="16.5" thickTop="1" thickBot="1" x14ac:dyDescent="0.3">
      <c r="A539" s="311"/>
      <c r="B539" s="152" t="s">
        <v>19</v>
      </c>
      <c r="C539" s="152">
        <v>1440</v>
      </c>
      <c r="D539" s="152">
        <v>534</v>
      </c>
      <c r="E539" s="152">
        <v>30</v>
      </c>
      <c r="F539" s="152">
        <v>1</v>
      </c>
      <c r="G539" s="245">
        <f t="shared" si="19"/>
        <v>29</v>
      </c>
      <c r="H539" s="253" t="s">
        <v>1750</v>
      </c>
      <c r="I539" s="371"/>
      <c r="J539" s="161"/>
      <c r="K539" s="161"/>
      <c r="L539" s="161"/>
      <c r="M539" s="161"/>
      <c r="N539" s="161"/>
      <c r="O539" s="161"/>
      <c r="P539" s="161"/>
      <c r="Q539" s="161"/>
      <c r="R539" s="161"/>
    </row>
    <row r="540" spans="1:18" ht="16.5" thickTop="1" thickBot="1" x14ac:dyDescent="0.3">
      <c r="A540" s="311"/>
      <c r="B540" s="152" t="s">
        <v>0</v>
      </c>
      <c r="C540" s="152">
        <v>1440</v>
      </c>
      <c r="D540" s="152">
        <v>748</v>
      </c>
      <c r="E540" s="152">
        <v>45</v>
      </c>
      <c r="F540" s="152">
        <v>1</v>
      </c>
      <c r="G540" s="245">
        <f t="shared" si="19"/>
        <v>44</v>
      </c>
      <c r="H540" s="253" t="s">
        <v>1751</v>
      </c>
      <c r="I540" s="371"/>
      <c r="J540" s="161"/>
      <c r="K540" s="161"/>
      <c r="L540" s="161"/>
      <c r="M540" s="161"/>
      <c r="N540" s="161"/>
      <c r="O540" s="161"/>
      <c r="P540" s="161"/>
      <c r="Q540" s="161"/>
      <c r="R540" s="161"/>
    </row>
    <row r="541" spans="1:18" ht="16.5" thickTop="1" thickBot="1" x14ac:dyDescent="0.3">
      <c r="A541" s="311"/>
      <c r="B541" s="152" t="s">
        <v>1</v>
      </c>
      <c r="C541" s="152">
        <v>1440</v>
      </c>
      <c r="D541" s="152">
        <v>969</v>
      </c>
      <c r="E541" s="152">
        <v>90</v>
      </c>
      <c r="F541" s="152">
        <v>1</v>
      </c>
      <c r="G541" s="245">
        <f t="shared" si="19"/>
        <v>89</v>
      </c>
      <c r="H541" s="253" t="s">
        <v>1752</v>
      </c>
      <c r="I541" s="371"/>
      <c r="J541" s="161"/>
      <c r="K541" s="161"/>
      <c r="L541" s="161"/>
      <c r="M541" s="161"/>
      <c r="N541" s="161"/>
      <c r="O541" s="161"/>
      <c r="P541" s="161"/>
      <c r="Q541" s="161"/>
      <c r="R541" s="161"/>
    </row>
    <row r="542" spans="1:18" ht="16.5" thickTop="1" thickBot="1" x14ac:dyDescent="0.3">
      <c r="A542" s="312"/>
      <c r="B542" s="126" t="s">
        <v>2</v>
      </c>
      <c r="C542" s="126">
        <v>288</v>
      </c>
      <c r="D542" s="126">
        <v>718</v>
      </c>
      <c r="E542" s="126">
        <v>50</v>
      </c>
      <c r="F542" s="126">
        <v>1</v>
      </c>
      <c r="G542" s="246">
        <f t="shared" si="19"/>
        <v>49</v>
      </c>
      <c r="H542" s="254" t="s">
        <v>1753</v>
      </c>
      <c r="I542" s="371"/>
      <c r="J542" s="161"/>
      <c r="K542" s="161"/>
      <c r="L542" s="161"/>
      <c r="M542" s="161"/>
      <c r="N542" s="161"/>
      <c r="O542" s="161"/>
      <c r="P542" s="161"/>
      <c r="Q542" s="161"/>
      <c r="R542" s="161"/>
    </row>
    <row r="543" spans="1:18" ht="16.5" thickTop="1" thickBot="1" x14ac:dyDescent="0.3">
      <c r="A543" s="310" t="s">
        <v>83</v>
      </c>
      <c r="B543" s="151" t="s">
        <v>89</v>
      </c>
      <c r="C543" s="151">
        <v>1440</v>
      </c>
      <c r="D543" s="151">
        <v>319</v>
      </c>
      <c r="E543" s="151">
        <v>20</v>
      </c>
      <c r="F543" s="151">
        <v>1</v>
      </c>
      <c r="G543" s="243">
        <f t="shared" si="19"/>
        <v>19</v>
      </c>
      <c r="H543" s="252" t="s">
        <v>1754</v>
      </c>
      <c r="I543" s="371" t="s">
        <v>389</v>
      </c>
      <c r="J543" s="161"/>
      <c r="K543" s="161"/>
      <c r="L543" s="161"/>
      <c r="M543" s="161"/>
      <c r="N543" s="161"/>
      <c r="O543" s="161"/>
      <c r="P543" s="161"/>
      <c r="Q543" s="161"/>
      <c r="R543" s="161"/>
    </row>
    <row r="544" spans="1:18" ht="16.5" thickTop="1" thickBot="1" x14ac:dyDescent="0.3">
      <c r="A544" s="311"/>
      <c r="B544" s="152" t="s">
        <v>21</v>
      </c>
      <c r="C544" s="114">
        <v>1440</v>
      </c>
      <c r="D544" s="114">
        <v>236</v>
      </c>
      <c r="E544" s="114">
        <v>20</v>
      </c>
      <c r="F544" s="152"/>
      <c r="G544" s="245">
        <f t="shared" si="19"/>
        <v>20</v>
      </c>
      <c r="H544" s="253" t="s">
        <v>1755</v>
      </c>
      <c r="I544" s="371"/>
      <c r="J544" s="161"/>
      <c r="K544" s="161"/>
      <c r="L544" s="161"/>
      <c r="M544" s="161"/>
      <c r="N544" s="161"/>
      <c r="O544" s="161"/>
      <c r="P544" s="161"/>
      <c r="Q544" s="161"/>
      <c r="R544" s="161"/>
    </row>
    <row r="545" spans="1:18" ht="16.5" thickTop="1" thickBot="1" x14ac:dyDescent="0.3">
      <c r="A545" s="311"/>
      <c r="B545" s="152" t="s">
        <v>22</v>
      </c>
      <c r="C545" s="114">
        <v>1440</v>
      </c>
      <c r="D545" s="114">
        <v>325</v>
      </c>
      <c r="E545" s="114">
        <v>20</v>
      </c>
      <c r="F545" s="152"/>
      <c r="G545" s="245">
        <f t="shared" si="19"/>
        <v>20</v>
      </c>
      <c r="H545" s="253" t="s">
        <v>1756</v>
      </c>
      <c r="I545" s="371"/>
      <c r="J545" s="161"/>
      <c r="K545" s="161"/>
      <c r="L545" s="161"/>
      <c r="M545" s="161"/>
      <c r="N545" s="161"/>
      <c r="O545" s="161"/>
      <c r="P545" s="161"/>
      <c r="Q545" s="161"/>
      <c r="R545" s="161"/>
    </row>
    <row r="546" spans="1:18" ht="16.5" thickTop="1" thickBot="1" x14ac:dyDescent="0.3">
      <c r="A546" s="311"/>
      <c r="B546" s="152" t="s">
        <v>18</v>
      </c>
      <c r="C546" s="114">
        <v>1440</v>
      </c>
      <c r="D546" s="114">
        <v>380</v>
      </c>
      <c r="E546" s="114">
        <v>20</v>
      </c>
      <c r="F546" s="152"/>
      <c r="G546" s="245">
        <f t="shared" si="19"/>
        <v>20</v>
      </c>
      <c r="H546" s="253" t="s">
        <v>1757</v>
      </c>
      <c r="I546" s="371"/>
      <c r="J546" s="161"/>
      <c r="K546" s="161"/>
      <c r="L546" s="161"/>
      <c r="M546" s="161"/>
      <c r="N546" s="161"/>
      <c r="O546" s="161"/>
      <c r="P546" s="161"/>
      <c r="Q546" s="161"/>
      <c r="R546" s="161"/>
    </row>
    <row r="547" spans="1:18" ht="16.5" thickTop="1" thickBot="1" x14ac:dyDescent="0.3">
      <c r="A547" s="311"/>
      <c r="B547" s="152" t="s">
        <v>19</v>
      </c>
      <c r="C547" s="114">
        <v>1440</v>
      </c>
      <c r="D547" s="114">
        <v>457</v>
      </c>
      <c r="E547" s="114">
        <v>20</v>
      </c>
      <c r="F547" s="152">
        <v>1</v>
      </c>
      <c r="G547" s="245">
        <f t="shared" si="19"/>
        <v>19</v>
      </c>
      <c r="H547" s="253" t="s">
        <v>1758</v>
      </c>
      <c r="I547" s="371"/>
      <c r="J547" s="161"/>
      <c r="K547" s="161"/>
      <c r="L547" s="161"/>
      <c r="M547" s="161"/>
      <c r="N547" s="161"/>
      <c r="O547" s="161"/>
      <c r="P547" s="161"/>
      <c r="Q547" s="161"/>
      <c r="R547" s="161"/>
    </row>
    <row r="548" spans="1:18" ht="16.5" thickTop="1" thickBot="1" x14ac:dyDescent="0.3">
      <c r="A548" s="311"/>
      <c r="B548" s="152" t="s">
        <v>0</v>
      </c>
      <c r="C548" s="114">
        <v>1440</v>
      </c>
      <c r="D548" s="114">
        <v>555</v>
      </c>
      <c r="E548" s="114">
        <v>20</v>
      </c>
      <c r="F548" s="152">
        <f>1+1</f>
        <v>2</v>
      </c>
      <c r="G548" s="245">
        <f t="shared" si="19"/>
        <v>18</v>
      </c>
      <c r="H548" s="253" t="s">
        <v>1759</v>
      </c>
      <c r="I548" s="371"/>
      <c r="J548" s="161"/>
      <c r="K548" s="161"/>
      <c r="L548" s="161"/>
      <c r="M548" s="161"/>
      <c r="N548" s="161"/>
      <c r="O548" s="161"/>
      <c r="P548" s="161"/>
      <c r="Q548" s="161"/>
      <c r="R548" s="161"/>
    </row>
    <row r="549" spans="1:18" ht="16.5" thickTop="1" thickBot="1" x14ac:dyDescent="0.3">
      <c r="A549" s="311"/>
      <c r="B549" s="152" t="s">
        <v>1</v>
      </c>
      <c r="C549" s="114">
        <v>1440</v>
      </c>
      <c r="D549" s="114">
        <v>858</v>
      </c>
      <c r="E549" s="114">
        <f>5+15</f>
        <v>20</v>
      </c>
      <c r="F549" s="152">
        <f>1+1</f>
        <v>2</v>
      </c>
      <c r="G549" s="245">
        <f t="shared" si="19"/>
        <v>18</v>
      </c>
      <c r="H549" s="253" t="s">
        <v>1760</v>
      </c>
      <c r="I549" s="371"/>
      <c r="J549" s="161"/>
      <c r="K549" s="161"/>
      <c r="L549" s="161"/>
      <c r="M549" s="161"/>
      <c r="N549" s="161"/>
      <c r="O549" s="161"/>
      <c r="P549" s="161"/>
      <c r="Q549" s="161"/>
      <c r="R549" s="161"/>
    </row>
    <row r="550" spans="1:18" ht="16.5" thickTop="1" thickBot="1" x14ac:dyDescent="0.3">
      <c r="A550" s="312"/>
      <c r="B550" s="126" t="s">
        <v>2</v>
      </c>
      <c r="C550" s="116">
        <v>288</v>
      </c>
      <c r="D550" s="116">
        <v>526</v>
      </c>
      <c r="E550" s="116">
        <v>20</v>
      </c>
      <c r="F550" s="126">
        <f>1+1</f>
        <v>2</v>
      </c>
      <c r="G550" s="246">
        <f t="shared" si="19"/>
        <v>18</v>
      </c>
      <c r="H550" s="254" t="s">
        <v>1761</v>
      </c>
      <c r="I550" s="375"/>
      <c r="J550" s="161"/>
      <c r="K550" s="161"/>
      <c r="L550" s="161"/>
      <c r="M550" s="161"/>
      <c r="N550" s="161"/>
      <c r="O550" s="161"/>
      <c r="P550" s="161"/>
      <c r="Q550" s="161"/>
      <c r="R550" s="161"/>
    </row>
    <row r="551" spans="1:18" ht="15.75" thickTop="1" x14ac:dyDescent="0.25">
      <c r="A551" s="161"/>
      <c r="B551" s="161"/>
      <c r="C551" s="161"/>
      <c r="D551" s="161"/>
      <c r="E551" s="161"/>
      <c r="F551" s="161"/>
      <c r="G551" s="161"/>
      <c r="H551" s="24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</row>
  </sheetData>
  <mergeCells count="135">
    <mergeCell ref="A419:A425"/>
    <mergeCell ref="A528:A534"/>
    <mergeCell ref="I528:I534"/>
    <mergeCell ref="I419:I425"/>
    <mergeCell ref="I535:I542"/>
    <mergeCell ref="I543:I550"/>
    <mergeCell ref="A1:D1"/>
    <mergeCell ref="I499:I504"/>
    <mergeCell ref="I505:I512"/>
    <mergeCell ref="I513:I519"/>
    <mergeCell ref="I520:I527"/>
    <mergeCell ref="I465:I470"/>
    <mergeCell ref="I471:I475"/>
    <mergeCell ref="I476:I482"/>
    <mergeCell ref="I483:I490"/>
    <mergeCell ref="I491:I498"/>
    <mergeCell ref="I433:I440"/>
    <mergeCell ref="I441:I449"/>
    <mergeCell ref="I450:I452"/>
    <mergeCell ref="I453:I457"/>
    <mergeCell ref="I458:I464"/>
    <mergeCell ref="I400:I403"/>
    <mergeCell ref="I404:I409"/>
    <mergeCell ref="I410:I418"/>
    <mergeCell ref="I426:I432"/>
    <mergeCell ref="I361:I368"/>
    <mergeCell ref="I369:I373"/>
    <mergeCell ref="I374:I381"/>
    <mergeCell ref="I383:I391"/>
    <mergeCell ref="I392:I399"/>
    <mergeCell ref="I319:I328"/>
    <mergeCell ref="I329:I336"/>
    <mergeCell ref="I337:I346"/>
    <mergeCell ref="I347:I352"/>
    <mergeCell ref="I353:I360"/>
    <mergeCell ref="I282:I291"/>
    <mergeCell ref="I292:I298"/>
    <mergeCell ref="I299:I308"/>
    <mergeCell ref="I309:I318"/>
    <mergeCell ref="I229:I238"/>
    <mergeCell ref="I239:I245"/>
    <mergeCell ref="I246:I254"/>
    <mergeCell ref="I255:I264"/>
    <mergeCell ref="I265:I271"/>
    <mergeCell ref="I218:I228"/>
    <mergeCell ref="I146:I155"/>
    <mergeCell ref="I156:I163"/>
    <mergeCell ref="I164:I170"/>
    <mergeCell ref="I171:I180"/>
    <mergeCell ref="I181:I184"/>
    <mergeCell ref="I272:I281"/>
    <mergeCell ref="A146:A155"/>
    <mergeCell ref="A156:A163"/>
    <mergeCell ref="I54:I64"/>
    <mergeCell ref="I65:I72"/>
    <mergeCell ref="I73:I82"/>
    <mergeCell ref="I83:I92"/>
    <mergeCell ref="I93:I102"/>
    <mergeCell ref="I185:I190"/>
    <mergeCell ref="I191:I199"/>
    <mergeCell ref="I200:I208"/>
    <mergeCell ref="I209:I217"/>
    <mergeCell ref="A543:A550"/>
    <mergeCell ref="A499:A504"/>
    <mergeCell ref="A453:A457"/>
    <mergeCell ref="A441:A449"/>
    <mergeCell ref="A471:A475"/>
    <mergeCell ref="A535:A542"/>
    <mergeCell ref="A513:A519"/>
    <mergeCell ref="A465:A470"/>
    <mergeCell ref="A491:A498"/>
    <mergeCell ref="A505:A512"/>
    <mergeCell ref="A520:A527"/>
    <mergeCell ref="A476:A482"/>
    <mergeCell ref="A483:A490"/>
    <mergeCell ref="A458:A464"/>
    <mergeCell ref="A450:A452"/>
    <mergeCell ref="I3:I13"/>
    <mergeCell ref="I14:I22"/>
    <mergeCell ref="I23:I33"/>
    <mergeCell ref="I34:I44"/>
    <mergeCell ref="I45:I53"/>
    <mergeCell ref="A209:A217"/>
    <mergeCell ref="A229:A238"/>
    <mergeCell ref="A255:A264"/>
    <mergeCell ref="A3:A13"/>
    <mergeCell ref="A135:A145"/>
    <mergeCell ref="A54:A64"/>
    <mergeCell ref="A73:A82"/>
    <mergeCell ref="A83:A92"/>
    <mergeCell ref="A93:A102"/>
    <mergeCell ref="A103:A112"/>
    <mergeCell ref="A116:A124"/>
    <mergeCell ref="A113:A115"/>
    <mergeCell ref="A45:A53"/>
    <mergeCell ref="A65:A72"/>
    <mergeCell ref="I103:I112"/>
    <mergeCell ref="I113:I115"/>
    <mergeCell ref="I116:I124"/>
    <mergeCell ref="I125:I134"/>
    <mergeCell ref="I135:I145"/>
    <mergeCell ref="A353:A360"/>
    <mergeCell ref="A374:A381"/>
    <mergeCell ref="A369:A373"/>
    <mergeCell ref="A246:A254"/>
    <mergeCell ref="A181:A184"/>
    <mergeCell ref="A200:A208"/>
    <mergeCell ref="A191:A199"/>
    <mergeCell ref="A218:A228"/>
    <mergeCell ref="A265:A271"/>
    <mergeCell ref="A272:A281"/>
    <mergeCell ref="A14:A22"/>
    <mergeCell ref="A23:A33"/>
    <mergeCell ref="A34:A44"/>
    <mergeCell ref="A125:A134"/>
    <mergeCell ref="A282:A291"/>
    <mergeCell ref="A239:A245"/>
    <mergeCell ref="A164:A170"/>
    <mergeCell ref="A433:A440"/>
    <mergeCell ref="A383:A391"/>
    <mergeCell ref="A171:A180"/>
    <mergeCell ref="A185:A190"/>
    <mergeCell ref="A392:A399"/>
    <mergeCell ref="A400:A403"/>
    <mergeCell ref="A299:A308"/>
    <mergeCell ref="A309:A318"/>
    <mergeCell ref="A337:A346"/>
    <mergeCell ref="A410:A418"/>
    <mergeCell ref="A426:A432"/>
    <mergeCell ref="A329:A336"/>
    <mergeCell ref="A292:A298"/>
    <mergeCell ref="A404:A409"/>
    <mergeCell ref="A361:A368"/>
    <mergeCell ref="A319:A328"/>
    <mergeCell ref="A347:A352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93" fitToHeight="1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BB19-8855-47B6-813A-5425283E1F87}">
  <dimension ref="A1:I31"/>
  <sheetViews>
    <sheetView workbookViewId="0">
      <selection activeCell="L28" sqref="L28"/>
    </sheetView>
  </sheetViews>
  <sheetFormatPr defaultRowHeight="15" x14ac:dyDescent="0.25"/>
  <cols>
    <col min="9" max="9" width="35.7109375" bestFit="1" customWidth="1"/>
  </cols>
  <sheetData>
    <row r="1" spans="1:9" ht="42.75" x14ac:dyDescent="0.25">
      <c r="A1" s="38" t="s">
        <v>16</v>
      </c>
      <c r="B1" s="38" t="s">
        <v>17</v>
      </c>
      <c r="C1" s="38" t="s">
        <v>101</v>
      </c>
      <c r="D1" s="38" t="s">
        <v>100</v>
      </c>
      <c r="E1" s="38" t="s">
        <v>106</v>
      </c>
      <c r="F1" s="38" t="s">
        <v>87</v>
      </c>
      <c r="G1" s="38" t="s">
        <v>88</v>
      </c>
      <c r="H1" s="38" t="s">
        <v>329</v>
      </c>
      <c r="I1" s="38" t="s">
        <v>1096</v>
      </c>
    </row>
    <row r="2" spans="1:9" ht="30" x14ac:dyDescent="0.25">
      <c r="A2" s="114" t="s">
        <v>62</v>
      </c>
      <c r="B2" s="114" t="s">
        <v>93</v>
      </c>
      <c r="C2" s="114" t="s">
        <v>108</v>
      </c>
      <c r="D2" s="114">
        <v>700</v>
      </c>
      <c r="E2" s="114">
        <v>17</v>
      </c>
      <c r="F2" s="114">
        <v>1</v>
      </c>
      <c r="G2" s="114">
        <f t="shared" ref="G2:G31" si="0">E2-F2</f>
        <v>16</v>
      </c>
      <c r="H2" s="147">
        <v>112</v>
      </c>
      <c r="I2" s="3" t="s">
        <v>1168</v>
      </c>
    </row>
    <row r="3" spans="1:9" x14ac:dyDescent="0.25">
      <c r="A3" s="152" t="s">
        <v>429</v>
      </c>
      <c r="B3" s="152" t="s">
        <v>93</v>
      </c>
      <c r="C3" s="152" t="s">
        <v>108</v>
      </c>
      <c r="D3" s="152">
        <v>300</v>
      </c>
      <c r="E3" s="152">
        <f>14+6</f>
        <v>20</v>
      </c>
      <c r="F3" s="152">
        <f>1+1+1</f>
        <v>3</v>
      </c>
      <c r="G3" s="152">
        <f t="shared" si="0"/>
        <v>17</v>
      </c>
      <c r="H3" s="147" t="s">
        <v>360</v>
      </c>
      <c r="I3" s="3" t="s">
        <v>1169</v>
      </c>
    </row>
    <row r="4" spans="1:9" x14ac:dyDescent="0.25">
      <c r="A4" s="152" t="s">
        <v>259</v>
      </c>
      <c r="B4" s="152" t="s">
        <v>93</v>
      </c>
      <c r="C4" s="152" t="s">
        <v>108</v>
      </c>
      <c r="D4" s="152">
        <v>300</v>
      </c>
      <c r="E4" s="152">
        <v>7</v>
      </c>
      <c r="F4" s="152">
        <f>1+1</f>
        <v>2</v>
      </c>
      <c r="G4" s="152">
        <f t="shared" si="0"/>
        <v>5</v>
      </c>
      <c r="H4" s="147" t="s">
        <v>359</v>
      </c>
      <c r="I4" s="3" t="s">
        <v>1170</v>
      </c>
    </row>
    <row r="5" spans="1:9" x14ac:dyDescent="0.25">
      <c r="A5" s="152" t="s">
        <v>260</v>
      </c>
      <c r="B5" s="152" t="s">
        <v>93</v>
      </c>
      <c r="C5" s="152" t="s">
        <v>108</v>
      </c>
      <c r="D5" s="152">
        <v>300</v>
      </c>
      <c r="E5" s="152">
        <v>9</v>
      </c>
      <c r="F5" s="152">
        <v>1</v>
      </c>
      <c r="G5" s="152">
        <f t="shared" si="0"/>
        <v>8</v>
      </c>
      <c r="H5" s="147" t="s">
        <v>361</v>
      </c>
      <c r="I5" s="3" t="s">
        <v>1171</v>
      </c>
    </row>
    <row r="6" spans="1:9" x14ac:dyDescent="0.25">
      <c r="A6" s="152" t="s">
        <v>128</v>
      </c>
      <c r="B6" s="152" t="s">
        <v>93</v>
      </c>
      <c r="C6" s="152" t="s">
        <v>108</v>
      </c>
      <c r="D6" s="152">
        <v>400</v>
      </c>
      <c r="E6" s="152">
        <f>5+7</f>
        <v>12</v>
      </c>
      <c r="F6" s="152">
        <v>2</v>
      </c>
      <c r="G6" s="152">
        <f t="shared" si="0"/>
        <v>10</v>
      </c>
      <c r="H6" s="147" t="s">
        <v>363</v>
      </c>
      <c r="I6" s="3" t="s">
        <v>1176</v>
      </c>
    </row>
    <row r="7" spans="1:9" x14ac:dyDescent="0.25">
      <c r="A7" s="152" t="s">
        <v>378</v>
      </c>
      <c r="B7" s="152" t="s">
        <v>93</v>
      </c>
      <c r="C7" s="152" t="s">
        <v>108</v>
      </c>
      <c r="D7" s="152">
        <v>300</v>
      </c>
      <c r="E7" s="152">
        <v>2</v>
      </c>
      <c r="F7" s="152">
        <v>1</v>
      </c>
      <c r="G7" s="152">
        <f t="shared" si="0"/>
        <v>1</v>
      </c>
      <c r="H7" s="147" t="s">
        <v>379</v>
      </c>
      <c r="I7" s="3" t="s">
        <v>1187</v>
      </c>
    </row>
    <row r="8" spans="1:9" x14ac:dyDescent="0.25">
      <c r="A8" s="152" t="s">
        <v>609</v>
      </c>
      <c r="B8" s="152" t="s">
        <v>93</v>
      </c>
      <c r="C8" s="152" t="s">
        <v>108</v>
      </c>
      <c r="D8" s="152">
        <v>350</v>
      </c>
      <c r="E8" s="152">
        <f>11+2+9</f>
        <v>22</v>
      </c>
      <c r="F8" s="152">
        <f>1+1</f>
        <v>2</v>
      </c>
      <c r="G8" s="152">
        <f t="shared" si="0"/>
        <v>20</v>
      </c>
      <c r="H8" s="147" t="s">
        <v>333</v>
      </c>
      <c r="I8" s="3" t="s">
        <v>1189</v>
      </c>
    </row>
    <row r="9" spans="1:9" x14ac:dyDescent="0.25">
      <c r="A9" s="152" t="s">
        <v>148</v>
      </c>
      <c r="B9" s="152" t="s">
        <v>93</v>
      </c>
      <c r="C9" s="152" t="s">
        <v>108</v>
      </c>
      <c r="D9" s="152">
        <v>400</v>
      </c>
      <c r="E9" s="152">
        <f>7+1</f>
        <v>8</v>
      </c>
      <c r="F9" s="152">
        <v>2</v>
      </c>
      <c r="G9" s="152">
        <f t="shared" si="0"/>
        <v>6</v>
      </c>
      <c r="H9" s="147" t="s">
        <v>348</v>
      </c>
      <c r="I9" s="3" t="s">
        <v>1177</v>
      </c>
    </row>
    <row r="10" spans="1:9" x14ac:dyDescent="0.25">
      <c r="A10" s="152" t="s">
        <v>76</v>
      </c>
      <c r="B10" s="152" t="s">
        <v>93</v>
      </c>
      <c r="C10" s="152" t="s">
        <v>108</v>
      </c>
      <c r="D10" s="152">
        <v>400</v>
      </c>
      <c r="E10" s="152">
        <f>3+11</f>
        <v>14</v>
      </c>
      <c r="F10" s="152">
        <v>1</v>
      </c>
      <c r="G10" s="152">
        <f t="shared" si="0"/>
        <v>13</v>
      </c>
      <c r="H10" s="147" t="s">
        <v>344</v>
      </c>
      <c r="I10" s="3" t="s">
        <v>1178</v>
      </c>
    </row>
    <row r="11" spans="1:9" x14ac:dyDescent="0.25">
      <c r="A11" s="152" t="s">
        <v>1192</v>
      </c>
      <c r="B11" s="152" t="s">
        <v>93</v>
      </c>
      <c r="C11" s="152" t="s">
        <v>108</v>
      </c>
      <c r="D11" s="152">
        <v>400</v>
      </c>
      <c r="E11" s="152">
        <f>7+4</f>
        <v>11</v>
      </c>
      <c r="F11" s="152">
        <f>1+2</f>
        <v>3</v>
      </c>
      <c r="G11" s="152">
        <f t="shared" si="0"/>
        <v>8</v>
      </c>
      <c r="H11" s="147" t="s">
        <v>343</v>
      </c>
      <c r="I11" s="3" t="s">
        <v>1194</v>
      </c>
    </row>
    <row r="12" spans="1:9" x14ac:dyDescent="0.25">
      <c r="A12" s="152" t="s">
        <v>262</v>
      </c>
      <c r="B12" s="152" t="s">
        <v>93</v>
      </c>
      <c r="C12" s="152" t="s">
        <v>108</v>
      </c>
      <c r="D12" s="152">
        <v>400</v>
      </c>
      <c r="E12" s="152">
        <v>1</v>
      </c>
      <c r="F12" s="152"/>
      <c r="G12" s="152">
        <f t="shared" si="0"/>
        <v>1</v>
      </c>
      <c r="H12" s="147" t="s">
        <v>349</v>
      </c>
      <c r="I12" s="3" t="s">
        <v>1172</v>
      </c>
    </row>
    <row r="13" spans="1:9" x14ac:dyDescent="0.25">
      <c r="A13" s="152" t="s">
        <v>9</v>
      </c>
      <c r="B13" s="152" t="s">
        <v>93</v>
      </c>
      <c r="C13" s="152" t="s">
        <v>108</v>
      </c>
      <c r="D13" s="152">
        <v>400</v>
      </c>
      <c r="E13" s="152">
        <v>10</v>
      </c>
      <c r="F13" s="152">
        <f>2+1</f>
        <v>3</v>
      </c>
      <c r="G13" s="152">
        <f t="shared" si="0"/>
        <v>7</v>
      </c>
      <c r="H13" s="147" t="s">
        <v>346</v>
      </c>
      <c r="I13" s="3" t="s">
        <v>1179</v>
      </c>
    </row>
    <row r="14" spans="1:9" ht="30" x14ac:dyDescent="0.25">
      <c r="A14" s="174" t="s">
        <v>309</v>
      </c>
      <c r="B14" s="114" t="s">
        <v>93</v>
      </c>
      <c r="C14" s="114" t="s">
        <v>108</v>
      </c>
      <c r="D14" s="152">
        <v>400</v>
      </c>
      <c r="E14" s="152">
        <v>8</v>
      </c>
      <c r="F14" s="152">
        <v>1</v>
      </c>
      <c r="G14" s="152">
        <f t="shared" si="0"/>
        <v>7</v>
      </c>
      <c r="H14" s="147" t="s">
        <v>357</v>
      </c>
      <c r="I14" s="3" t="s">
        <v>1173</v>
      </c>
    </row>
    <row r="15" spans="1:9" x14ac:dyDescent="0.25">
      <c r="A15" s="152" t="s">
        <v>117</v>
      </c>
      <c r="B15" s="152" t="s">
        <v>93</v>
      </c>
      <c r="C15" s="152" t="s">
        <v>108</v>
      </c>
      <c r="D15" s="152">
        <v>600</v>
      </c>
      <c r="E15" s="152">
        <v>6</v>
      </c>
      <c r="F15" s="152"/>
      <c r="G15" s="152">
        <f t="shared" si="0"/>
        <v>6</v>
      </c>
      <c r="H15" s="147" t="s">
        <v>444</v>
      </c>
      <c r="I15" s="3" t="s">
        <v>1180</v>
      </c>
    </row>
    <row r="16" spans="1:9" x14ac:dyDescent="0.25">
      <c r="A16" s="152" t="s">
        <v>118</v>
      </c>
      <c r="B16" s="152" t="s">
        <v>93</v>
      </c>
      <c r="C16" s="152" t="s">
        <v>108</v>
      </c>
      <c r="D16" s="152">
        <v>600</v>
      </c>
      <c r="E16" s="152">
        <v>5</v>
      </c>
      <c r="F16" s="152"/>
      <c r="G16" s="152">
        <f t="shared" si="0"/>
        <v>5</v>
      </c>
      <c r="H16" s="147" t="s">
        <v>446</v>
      </c>
      <c r="I16" s="3" t="s">
        <v>1198</v>
      </c>
    </row>
    <row r="17" spans="1:9" x14ac:dyDescent="0.25">
      <c r="A17" s="152" t="s">
        <v>583</v>
      </c>
      <c r="B17" s="152" t="s">
        <v>93</v>
      </c>
      <c r="C17" s="152" t="s">
        <v>108</v>
      </c>
      <c r="D17" s="152">
        <v>900</v>
      </c>
      <c r="E17" s="152">
        <f>5+5+3</f>
        <v>13</v>
      </c>
      <c r="F17" s="152">
        <v>1</v>
      </c>
      <c r="G17" s="152">
        <f t="shared" si="0"/>
        <v>12</v>
      </c>
      <c r="H17" s="147" t="s">
        <v>366</v>
      </c>
      <c r="I17" s="3" t="s">
        <v>1200</v>
      </c>
    </row>
    <row r="18" spans="1:9" x14ac:dyDescent="0.25">
      <c r="A18" s="152" t="s">
        <v>581</v>
      </c>
      <c r="B18" s="152" t="s">
        <v>93</v>
      </c>
      <c r="C18" s="152" t="s">
        <v>108</v>
      </c>
      <c r="D18" s="152">
        <v>500</v>
      </c>
      <c r="E18" s="152">
        <v>11</v>
      </c>
      <c r="F18" s="152">
        <v>1</v>
      </c>
      <c r="G18" s="152">
        <f t="shared" si="0"/>
        <v>10</v>
      </c>
      <c r="H18" s="147" t="s">
        <v>358</v>
      </c>
      <c r="I18" s="3" t="s">
        <v>1202</v>
      </c>
    </row>
    <row r="19" spans="1:9" x14ac:dyDescent="0.25">
      <c r="A19" s="152" t="s">
        <v>140</v>
      </c>
      <c r="B19" s="152" t="s">
        <v>93</v>
      </c>
      <c r="C19" s="152" t="s">
        <v>108</v>
      </c>
      <c r="D19" s="152">
        <v>400</v>
      </c>
      <c r="E19" s="152">
        <v>4</v>
      </c>
      <c r="F19" s="152">
        <v>1</v>
      </c>
      <c r="G19" s="152">
        <f t="shared" si="0"/>
        <v>3</v>
      </c>
      <c r="H19" s="147" t="s">
        <v>373</v>
      </c>
      <c r="I19" s="3" t="s">
        <v>1204</v>
      </c>
    </row>
    <row r="20" spans="1:9" x14ac:dyDescent="0.25">
      <c r="A20" s="152" t="s">
        <v>25</v>
      </c>
      <c r="B20" s="152" t="s">
        <v>93</v>
      </c>
      <c r="C20" s="152" t="s">
        <v>108</v>
      </c>
      <c r="D20" s="152">
        <v>400</v>
      </c>
      <c r="E20" s="152">
        <v>9</v>
      </c>
      <c r="F20" s="152">
        <f>1+1+2</f>
        <v>4</v>
      </c>
      <c r="G20" s="152">
        <f t="shared" si="0"/>
        <v>5</v>
      </c>
      <c r="H20" s="147" t="s">
        <v>353</v>
      </c>
      <c r="I20" s="3" t="s">
        <v>1181</v>
      </c>
    </row>
    <row r="21" spans="1:9" x14ac:dyDescent="0.25">
      <c r="A21" s="152" t="s">
        <v>1208</v>
      </c>
      <c r="B21" s="152" t="s">
        <v>93</v>
      </c>
      <c r="C21" s="152" t="s">
        <v>108</v>
      </c>
      <c r="D21" s="152">
        <v>400</v>
      </c>
      <c r="E21" s="152">
        <v>5</v>
      </c>
      <c r="F21" s="152"/>
      <c r="G21" s="152">
        <f t="shared" si="0"/>
        <v>5</v>
      </c>
      <c r="H21" s="147" t="s">
        <v>341</v>
      </c>
      <c r="I21" s="3" t="s">
        <v>1207</v>
      </c>
    </row>
    <row r="22" spans="1:9" x14ac:dyDescent="0.25">
      <c r="A22" s="152" t="s">
        <v>176</v>
      </c>
      <c r="B22" s="152" t="s">
        <v>93</v>
      </c>
      <c r="C22" s="152" t="s">
        <v>108</v>
      </c>
      <c r="D22" s="152">
        <v>500</v>
      </c>
      <c r="E22" s="152">
        <v>6</v>
      </c>
      <c r="F22" s="152"/>
      <c r="G22" s="152">
        <f t="shared" si="0"/>
        <v>6</v>
      </c>
      <c r="H22" s="147" t="s">
        <v>381</v>
      </c>
      <c r="I22" s="3" t="s">
        <v>1182</v>
      </c>
    </row>
    <row r="23" spans="1:9" x14ac:dyDescent="0.25">
      <c r="A23" s="152" t="s">
        <v>23</v>
      </c>
      <c r="B23" s="152" t="s">
        <v>93</v>
      </c>
      <c r="C23" s="152" t="s">
        <v>108</v>
      </c>
      <c r="D23" s="152">
        <v>400</v>
      </c>
      <c r="E23" s="152">
        <f>3+6+7</f>
        <v>16</v>
      </c>
      <c r="F23" s="152"/>
      <c r="G23" s="152">
        <f t="shared" si="0"/>
        <v>16</v>
      </c>
      <c r="H23" s="147" t="s">
        <v>339</v>
      </c>
      <c r="I23" s="3" t="s">
        <v>1211</v>
      </c>
    </row>
    <row r="24" spans="1:9" x14ac:dyDescent="0.25">
      <c r="A24" s="152" t="s">
        <v>24</v>
      </c>
      <c r="B24" s="152" t="s">
        <v>93</v>
      </c>
      <c r="C24" s="152" t="s">
        <v>108</v>
      </c>
      <c r="D24" s="152">
        <v>400</v>
      </c>
      <c r="E24" s="152">
        <v>19</v>
      </c>
      <c r="F24" s="152">
        <v>1</v>
      </c>
      <c r="G24" s="152">
        <f t="shared" si="0"/>
        <v>18</v>
      </c>
      <c r="H24" s="147" t="s">
        <v>340</v>
      </c>
      <c r="I24" s="3" t="s">
        <v>1183</v>
      </c>
    </row>
    <row r="25" spans="1:9" x14ac:dyDescent="0.25">
      <c r="A25" s="152" t="s">
        <v>141</v>
      </c>
      <c r="B25" s="152" t="s">
        <v>93</v>
      </c>
      <c r="C25" s="152" t="s">
        <v>108</v>
      </c>
      <c r="D25" s="152">
        <v>500</v>
      </c>
      <c r="E25" s="152">
        <v>5</v>
      </c>
      <c r="F25" s="152">
        <v>1</v>
      </c>
      <c r="G25" s="152">
        <f t="shared" si="0"/>
        <v>4</v>
      </c>
      <c r="H25" s="147" t="s">
        <v>351</v>
      </c>
      <c r="I25" s="3" t="s">
        <v>1174</v>
      </c>
    </row>
    <row r="26" spans="1:9" x14ac:dyDescent="0.25">
      <c r="A26" s="152" t="s">
        <v>78</v>
      </c>
      <c r="B26" s="152" t="s">
        <v>93</v>
      </c>
      <c r="C26" s="152" t="s">
        <v>108</v>
      </c>
      <c r="D26" s="152">
        <v>400</v>
      </c>
      <c r="E26" s="152">
        <f>1+4+15</f>
        <v>20</v>
      </c>
      <c r="F26" s="152">
        <f>1+1</f>
        <v>2</v>
      </c>
      <c r="G26" s="152">
        <f t="shared" si="0"/>
        <v>18</v>
      </c>
      <c r="H26" s="147" t="s">
        <v>355</v>
      </c>
      <c r="I26" s="3" t="s">
        <v>1184</v>
      </c>
    </row>
    <row r="27" spans="1:9" x14ac:dyDescent="0.25">
      <c r="A27" s="152" t="s">
        <v>4</v>
      </c>
      <c r="B27" s="152" t="s">
        <v>93</v>
      </c>
      <c r="C27" s="152" t="s">
        <v>108</v>
      </c>
      <c r="D27" s="152">
        <v>300</v>
      </c>
      <c r="E27" s="152">
        <v>13</v>
      </c>
      <c r="F27" s="152">
        <f>1+1+1+1</f>
        <v>4</v>
      </c>
      <c r="G27" s="152">
        <f t="shared" si="0"/>
        <v>9</v>
      </c>
      <c r="H27" s="147" t="s">
        <v>330</v>
      </c>
      <c r="I27" s="3" t="s">
        <v>1185</v>
      </c>
    </row>
    <row r="28" spans="1:9" ht="30" x14ac:dyDescent="0.25">
      <c r="A28" s="174" t="s">
        <v>310</v>
      </c>
      <c r="B28" s="114" t="s">
        <v>93</v>
      </c>
      <c r="C28" s="114" t="s">
        <v>108</v>
      </c>
      <c r="D28" s="152">
        <v>300</v>
      </c>
      <c r="E28" s="152">
        <f>40+3</f>
        <v>43</v>
      </c>
      <c r="F28" s="152"/>
      <c r="G28" s="152">
        <f t="shared" si="0"/>
        <v>43</v>
      </c>
      <c r="H28" s="147" t="s">
        <v>384</v>
      </c>
      <c r="I28" s="3" t="s">
        <v>1219</v>
      </c>
    </row>
    <row r="29" spans="1:9" x14ac:dyDescent="0.25">
      <c r="A29" s="152" t="s">
        <v>26</v>
      </c>
      <c r="B29" s="152" t="s">
        <v>93</v>
      </c>
      <c r="C29" s="152" t="s">
        <v>108</v>
      </c>
      <c r="D29" s="152">
        <v>900</v>
      </c>
      <c r="E29" s="152">
        <f>9+6</f>
        <v>15</v>
      </c>
      <c r="F29" s="152"/>
      <c r="G29" s="152">
        <f t="shared" si="0"/>
        <v>15</v>
      </c>
      <c r="H29" s="147" t="s">
        <v>364</v>
      </c>
      <c r="I29" s="3" t="s">
        <v>1186</v>
      </c>
    </row>
    <row r="30" spans="1:9" x14ac:dyDescent="0.25">
      <c r="A30" s="152" t="s">
        <v>263</v>
      </c>
      <c r="B30" s="152" t="s">
        <v>93</v>
      </c>
      <c r="C30" s="152" t="s">
        <v>108</v>
      </c>
      <c r="D30" s="152">
        <v>500</v>
      </c>
      <c r="E30" s="152">
        <f>7+8</f>
        <v>15</v>
      </c>
      <c r="F30" s="152">
        <v>3</v>
      </c>
      <c r="G30" s="152">
        <f t="shared" si="0"/>
        <v>12</v>
      </c>
      <c r="H30" s="147" t="s">
        <v>362</v>
      </c>
      <c r="I30" s="3" t="s">
        <v>1175</v>
      </c>
    </row>
    <row r="31" spans="1:9" x14ac:dyDescent="0.25">
      <c r="A31" s="152" t="s">
        <v>1222</v>
      </c>
      <c r="B31" s="152" t="s">
        <v>93</v>
      </c>
      <c r="C31" s="152" t="s">
        <v>108</v>
      </c>
      <c r="D31" s="152">
        <v>300</v>
      </c>
      <c r="E31" s="152">
        <v>7</v>
      </c>
      <c r="F31" s="152">
        <v>1</v>
      </c>
      <c r="G31" s="152">
        <f t="shared" si="0"/>
        <v>6</v>
      </c>
      <c r="H31" s="152" t="s">
        <v>331</v>
      </c>
      <c r="I31" s="3" t="s">
        <v>1224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3"/>
  <sheetViews>
    <sheetView workbookViewId="0">
      <selection activeCell="J29" sqref="J29"/>
    </sheetView>
  </sheetViews>
  <sheetFormatPr defaultRowHeight="15" x14ac:dyDescent="0.25"/>
  <cols>
    <col min="1" max="1" width="21.5703125" customWidth="1"/>
    <col min="8" max="8" width="39.42578125" customWidth="1"/>
  </cols>
  <sheetData>
    <row r="1" spans="1:9" ht="15.75" x14ac:dyDescent="0.25">
      <c r="A1" s="325" t="s">
        <v>116</v>
      </c>
      <c r="B1" s="325"/>
      <c r="C1" s="325"/>
      <c r="D1" s="325"/>
      <c r="E1" s="162"/>
      <c r="F1" s="162"/>
      <c r="G1" s="162"/>
      <c r="H1" s="161"/>
      <c r="I1" s="161"/>
    </row>
    <row r="2" spans="1:9" ht="43.5" thickBot="1" x14ac:dyDescent="0.3">
      <c r="A2" s="25" t="s">
        <v>16</v>
      </c>
      <c r="B2" s="25" t="s">
        <v>17</v>
      </c>
      <c r="C2" s="25" t="s">
        <v>101</v>
      </c>
      <c r="D2" s="25" t="s">
        <v>100</v>
      </c>
      <c r="E2" s="25" t="s">
        <v>106</v>
      </c>
      <c r="F2" s="25" t="s">
        <v>87</v>
      </c>
      <c r="G2" s="25" t="s">
        <v>88</v>
      </c>
      <c r="H2" s="25" t="s">
        <v>1096</v>
      </c>
      <c r="I2" s="25" t="s">
        <v>329</v>
      </c>
    </row>
    <row r="3" spans="1:9" ht="15.75" thickTop="1" x14ac:dyDescent="0.25">
      <c r="A3" s="313" t="s">
        <v>315</v>
      </c>
      <c r="B3" s="151" t="s">
        <v>21</v>
      </c>
      <c r="C3" s="112">
        <v>1440</v>
      </c>
      <c r="D3" s="112">
        <v>195</v>
      </c>
      <c r="E3" s="112">
        <v>50</v>
      </c>
      <c r="F3" s="112"/>
      <c r="G3" s="263">
        <f>E3-F3</f>
        <v>50</v>
      </c>
      <c r="H3" s="262" t="s">
        <v>1769</v>
      </c>
      <c r="I3" s="376" t="s">
        <v>452</v>
      </c>
    </row>
    <row r="4" spans="1:9" x14ac:dyDescent="0.25">
      <c r="A4" s="314"/>
      <c r="B4" s="152" t="s">
        <v>22</v>
      </c>
      <c r="C4" s="114">
        <v>1440</v>
      </c>
      <c r="D4" s="114">
        <v>240</v>
      </c>
      <c r="E4" s="114">
        <f>8+40</f>
        <v>48</v>
      </c>
      <c r="F4" s="114"/>
      <c r="G4" s="264">
        <f t="shared" ref="G4:G12" si="0">E4-F4</f>
        <v>48</v>
      </c>
      <c r="H4" s="248" t="s">
        <v>1770</v>
      </c>
      <c r="I4" s="377"/>
    </row>
    <row r="5" spans="1:9" x14ac:dyDescent="0.25">
      <c r="A5" s="314"/>
      <c r="B5" s="152" t="s">
        <v>18</v>
      </c>
      <c r="C5" s="114">
        <v>1440</v>
      </c>
      <c r="D5" s="114">
        <v>262</v>
      </c>
      <c r="E5" s="114">
        <f>15+35</f>
        <v>50</v>
      </c>
      <c r="F5" s="114"/>
      <c r="G5" s="264">
        <f t="shared" si="0"/>
        <v>50</v>
      </c>
      <c r="H5" s="248" t="s">
        <v>1771</v>
      </c>
      <c r="I5" s="377"/>
    </row>
    <row r="6" spans="1:9" x14ac:dyDescent="0.25">
      <c r="A6" s="314"/>
      <c r="B6" s="152" t="s">
        <v>19</v>
      </c>
      <c r="C6" s="114">
        <v>1440</v>
      </c>
      <c r="D6" s="114">
        <v>370</v>
      </c>
      <c r="E6" s="114">
        <f>20+30</f>
        <v>50</v>
      </c>
      <c r="F6" s="114">
        <v>1</v>
      </c>
      <c r="G6" s="264">
        <f t="shared" si="0"/>
        <v>49</v>
      </c>
      <c r="H6" s="248" t="s">
        <v>1772</v>
      </c>
      <c r="I6" s="377"/>
    </row>
    <row r="7" spans="1:9" x14ac:dyDescent="0.25">
      <c r="A7" s="314"/>
      <c r="B7" s="152" t="s">
        <v>0</v>
      </c>
      <c r="C7" s="114">
        <v>1440</v>
      </c>
      <c r="D7" s="114">
        <v>485</v>
      </c>
      <c r="E7" s="114">
        <f>2*25</f>
        <v>50</v>
      </c>
      <c r="F7" s="114"/>
      <c r="G7" s="264">
        <f t="shared" si="0"/>
        <v>50</v>
      </c>
      <c r="H7" s="248" t="s">
        <v>1773</v>
      </c>
      <c r="I7" s="377"/>
    </row>
    <row r="8" spans="1:9" x14ac:dyDescent="0.25">
      <c r="A8" s="314"/>
      <c r="B8" s="152" t="s">
        <v>1</v>
      </c>
      <c r="C8" s="114">
        <v>1440</v>
      </c>
      <c r="D8" s="114">
        <v>693</v>
      </c>
      <c r="E8" s="114">
        <f>3*15+4</f>
        <v>49</v>
      </c>
      <c r="F8" s="114"/>
      <c r="G8" s="264">
        <f t="shared" si="0"/>
        <v>49</v>
      </c>
      <c r="H8" s="248" t="s">
        <v>1774</v>
      </c>
      <c r="I8" s="377"/>
    </row>
    <row r="9" spans="1:9" ht="15.75" thickBot="1" x14ac:dyDescent="0.3">
      <c r="A9" s="315"/>
      <c r="B9" s="126" t="s">
        <v>2</v>
      </c>
      <c r="C9" s="116">
        <v>288</v>
      </c>
      <c r="D9" s="116">
        <v>455</v>
      </c>
      <c r="E9" s="116">
        <f>25+23</f>
        <v>48</v>
      </c>
      <c r="F9" s="116"/>
      <c r="G9" s="265">
        <f t="shared" si="0"/>
        <v>48</v>
      </c>
      <c r="H9" s="273" t="s">
        <v>1775</v>
      </c>
      <c r="I9" s="378"/>
    </row>
    <row r="10" spans="1:9" ht="15.75" thickTop="1" x14ac:dyDescent="0.25">
      <c r="A10" s="313" t="s">
        <v>316</v>
      </c>
      <c r="B10" s="151" t="s">
        <v>0</v>
      </c>
      <c r="C10" s="112">
        <v>1440</v>
      </c>
      <c r="D10" s="112">
        <v>499</v>
      </c>
      <c r="E10" s="112">
        <v>20</v>
      </c>
      <c r="F10" s="112"/>
      <c r="G10" s="263">
        <f t="shared" si="0"/>
        <v>20</v>
      </c>
      <c r="H10" s="262" t="s">
        <v>1776</v>
      </c>
      <c r="I10" s="379" t="s">
        <v>453</v>
      </c>
    </row>
    <row r="11" spans="1:9" x14ac:dyDescent="0.25">
      <c r="A11" s="314"/>
      <c r="B11" s="152" t="s">
        <v>1</v>
      </c>
      <c r="C11" s="114">
        <v>1440</v>
      </c>
      <c r="D11" s="114">
        <v>803</v>
      </c>
      <c r="E11" s="114">
        <f>15+2</f>
        <v>17</v>
      </c>
      <c r="F11" s="114"/>
      <c r="G11" s="264">
        <f t="shared" si="0"/>
        <v>17</v>
      </c>
      <c r="H11" s="248" t="s">
        <v>1777</v>
      </c>
      <c r="I11" s="377"/>
    </row>
    <row r="12" spans="1:9" ht="15.75" thickBot="1" x14ac:dyDescent="0.3">
      <c r="A12" s="315"/>
      <c r="B12" s="126" t="s">
        <v>2</v>
      </c>
      <c r="C12" s="116">
        <v>288</v>
      </c>
      <c r="D12" s="116">
        <v>478</v>
      </c>
      <c r="E12" s="116">
        <f>19</f>
        <v>19</v>
      </c>
      <c r="F12" s="116"/>
      <c r="G12" s="265">
        <f t="shared" si="0"/>
        <v>19</v>
      </c>
      <c r="H12" s="249" t="s">
        <v>1778</v>
      </c>
      <c r="I12" s="378"/>
    </row>
    <row r="13" spans="1:9" ht="15.75" thickTop="1" x14ac:dyDescent="0.25">
      <c r="A13" s="310" t="s">
        <v>305</v>
      </c>
      <c r="B13" s="151" t="s">
        <v>21</v>
      </c>
      <c r="C13" s="151">
        <v>1440</v>
      </c>
      <c r="D13" s="151">
        <v>221</v>
      </c>
      <c r="E13" s="151">
        <v>50</v>
      </c>
      <c r="F13" s="112"/>
      <c r="G13" s="263">
        <f>E13-F13</f>
        <v>50</v>
      </c>
      <c r="H13" s="262" t="s">
        <v>1779</v>
      </c>
      <c r="I13" s="379" t="s">
        <v>454</v>
      </c>
    </row>
    <row r="14" spans="1:9" x14ac:dyDescent="0.25">
      <c r="A14" s="311"/>
      <c r="B14" s="152" t="s">
        <v>22</v>
      </c>
      <c r="C14" s="152">
        <v>1440</v>
      </c>
      <c r="D14" s="152">
        <v>259</v>
      </c>
      <c r="E14" s="152">
        <v>40</v>
      </c>
      <c r="F14" s="114"/>
      <c r="G14" s="264">
        <f t="shared" ref="G14:G59" si="1">E14-F14</f>
        <v>40</v>
      </c>
      <c r="H14" s="248" t="s">
        <v>1780</v>
      </c>
      <c r="I14" s="377"/>
    </row>
    <row r="15" spans="1:9" x14ac:dyDescent="0.25">
      <c r="A15" s="311"/>
      <c r="B15" s="152" t="s">
        <v>18</v>
      </c>
      <c r="C15" s="152">
        <v>1440</v>
      </c>
      <c r="D15" s="152">
        <v>281</v>
      </c>
      <c r="E15" s="152">
        <f>35+14</f>
        <v>49</v>
      </c>
      <c r="F15" s="114"/>
      <c r="G15" s="264">
        <f t="shared" si="1"/>
        <v>49</v>
      </c>
      <c r="H15" s="248" t="s">
        <v>1781</v>
      </c>
      <c r="I15" s="377"/>
    </row>
    <row r="16" spans="1:9" x14ac:dyDescent="0.25">
      <c r="A16" s="311"/>
      <c r="B16" s="152" t="s">
        <v>19</v>
      </c>
      <c r="C16" s="152">
        <v>1440</v>
      </c>
      <c r="D16" s="152">
        <v>391</v>
      </c>
      <c r="E16" s="152">
        <f>19+30</f>
        <v>49</v>
      </c>
      <c r="F16" s="114">
        <v>1</v>
      </c>
      <c r="G16" s="264">
        <f t="shared" si="1"/>
        <v>48</v>
      </c>
      <c r="H16" s="248" t="s">
        <v>1782</v>
      </c>
      <c r="I16" s="377"/>
    </row>
    <row r="17" spans="1:9" x14ac:dyDescent="0.25">
      <c r="A17" s="311"/>
      <c r="B17" s="152" t="s">
        <v>0</v>
      </c>
      <c r="C17" s="152">
        <v>1440</v>
      </c>
      <c r="D17" s="152">
        <v>499</v>
      </c>
      <c r="E17" s="152">
        <f>24+25</f>
        <v>49</v>
      </c>
      <c r="F17" s="114">
        <f>1+1</f>
        <v>2</v>
      </c>
      <c r="G17" s="264">
        <f t="shared" si="1"/>
        <v>47</v>
      </c>
      <c r="H17" s="248" t="s">
        <v>1783</v>
      </c>
      <c r="I17" s="377"/>
    </row>
    <row r="18" spans="1:9" x14ac:dyDescent="0.25">
      <c r="A18" s="311"/>
      <c r="B18" s="152" t="s">
        <v>1</v>
      </c>
      <c r="C18" s="152">
        <v>1440</v>
      </c>
      <c r="D18" s="152">
        <v>803</v>
      </c>
      <c r="E18" s="152">
        <f>3*15+1</f>
        <v>46</v>
      </c>
      <c r="F18" s="114">
        <f>10+1+1+1+1</f>
        <v>14</v>
      </c>
      <c r="G18" s="264">
        <f t="shared" si="1"/>
        <v>32</v>
      </c>
      <c r="H18" s="248" t="s">
        <v>1784</v>
      </c>
      <c r="I18" s="377"/>
    </row>
    <row r="19" spans="1:9" ht="15.75" thickBot="1" x14ac:dyDescent="0.3">
      <c r="A19" s="312"/>
      <c r="B19" s="126" t="s">
        <v>2</v>
      </c>
      <c r="C19" s="126">
        <v>288</v>
      </c>
      <c r="D19" s="126">
        <v>478</v>
      </c>
      <c r="E19" s="126">
        <f>25+23</f>
        <v>48</v>
      </c>
      <c r="F19" s="116">
        <f>1+6</f>
        <v>7</v>
      </c>
      <c r="G19" s="265">
        <f t="shared" si="1"/>
        <v>41</v>
      </c>
      <c r="H19" s="249" t="s">
        <v>1785</v>
      </c>
      <c r="I19" s="378"/>
    </row>
    <row r="20" spans="1:9" ht="15.75" thickTop="1" x14ac:dyDescent="0.25">
      <c r="A20" s="310" t="s">
        <v>299</v>
      </c>
      <c r="B20" s="151" t="s">
        <v>21</v>
      </c>
      <c r="C20" s="151">
        <v>1440</v>
      </c>
      <c r="D20" s="151">
        <v>221</v>
      </c>
      <c r="E20" s="151">
        <v>48</v>
      </c>
      <c r="F20" s="112"/>
      <c r="G20" s="263">
        <f t="shared" si="1"/>
        <v>48</v>
      </c>
      <c r="H20" s="262" t="s">
        <v>1786</v>
      </c>
      <c r="I20" s="379" t="s">
        <v>403</v>
      </c>
    </row>
    <row r="21" spans="1:9" x14ac:dyDescent="0.25">
      <c r="A21" s="311"/>
      <c r="B21" s="152" t="s">
        <v>22</v>
      </c>
      <c r="C21" s="152">
        <v>1440</v>
      </c>
      <c r="D21" s="152">
        <v>259</v>
      </c>
      <c r="E21" s="152">
        <v>40</v>
      </c>
      <c r="F21" s="114"/>
      <c r="G21" s="264">
        <f t="shared" si="1"/>
        <v>40</v>
      </c>
      <c r="H21" s="248" t="s">
        <v>1787</v>
      </c>
      <c r="I21" s="377"/>
    </row>
    <row r="22" spans="1:9" x14ac:dyDescent="0.25">
      <c r="A22" s="311"/>
      <c r="B22" s="152" t="s">
        <v>18</v>
      </c>
      <c r="C22" s="152">
        <v>1440</v>
      </c>
      <c r="D22" s="152">
        <v>281</v>
      </c>
      <c r="E22" s="152">
        <v>49</v>
      </c>
      <c r="F22" s="114"/>
      <c r="G22" s="264">
        <f t="shared" si="1"/>
        <v>49</v>
      </c>
      <c r="H22" s="248" t="s">
        <v>1788</v>
      </c>
      <c r="I22" s="377"/>
    </row>
    <row r="23" spans="1:9" x14ac:dyDescent="0.25">
      <c r="A23" s="311"/>
      <c r="B23" s="152" t="s">
        <v>19</v>
      </c>
      <c r="C23" s="152">
        <v>1440</v>
      </c>
      <c r="D23" s="152">
        <v>391</v>
      </c>
      <c r="E23" s="152">
        <v>50</v>
      </c>
      <c r="F23" s="114">
        <f>1+1</f>
        <v>2</v>
      </c>
      <c r="G23" s="264">
        <f t="shared" si="1"/>
        <v>48</v>
      </c>
      <c r="H23" s="248" t="s">
        <v>1789</v>
      </c>
      <c r="I23" s="377"/>
    </row>
    <row r="24" spans="1:9" x14ac:dyDescent="0.25">
      <c r="A24" s="311"/>
      <c r="B24" s="152" t="s">
        <v>0</v>
      </c>
      <c r="C24" s="152">
        <v>1440</v>
      </c>
      <c r="D24" s="152">
        <v>499</v>
      </c>
      <c r="E24" s="152">
        <v>49</v>
      </c>
      <c r="F24" s="114">
        <f>1+1+1</f>
        <v>3</v>
      </c>
      <c r="G24" s="264">
        <f t="shared" si="1"/>
        <v>46</v>
      </c>
      <c r="H24" s="248" t="s">
        <v>1790</v>
      </c>
      <c r="I24" s="377"/>
    </row>
    <row r="25" spans="1:9" x14ac:dyDescent="0.25">
      <c r="A25" s="311"/>
      <c r="B25" s="152" t="s">
        <v>1</v>
      </c>
      <c r="C25" s="152">
        <v>1440</v>
      </c>
      <c r="D25" s="152">
        <v>803</v>
      </c>
      <c r="E25" s="152">
        <f>3*15</f>
        <v>45</v>
      </c>
      <c r="F25" s="114">
        <f>6+1+1+1+1</f>
        <v>10</v>
      </c>
      <c r="G25" s="264">
        <f t="shared" si="1"/>
        <v>35</v>
      </c>
      <c r="H25" s="248" t="s">
        <v>1791</v>
      </c>
      <c r="I25" s="377"/>
    </row>
    <row r="26" spans="1:9" x14ac:dyDescent="0.25">
      <c r="A26" s="311"/>
      <c r="B26" s="152" t="s">
        <v>2</v>
      </c>
      <c r="C26" s="152">
        <v>288</v>
      </c>
      <c r="D26" s="152">
        <v>478</v>
      </c>
      <c r="E26" s="152">
        <f>25+22</f>
        <v>47</v>
      </c>
      <c r="F26" s="114">
        <f>1+1</f>
        <v>2</v>
      </c>
      <c r="G26" s="264">
        <f t="shared" si="1"/>
        <v>45</v>
      </c>
      <c r="H26" s="248" t="s">
        <v>1792</v>
      </c>
      <c r="I26" s="377"/>
    </row>
    <row r="27" spans="1:9" ht="15.75" thickBot="1" x14ac:dyDescent="0.3">
      <c r="A27" s="312"/>
      <c r="B27" s="46" t="s">
        <v>5</v>
      </c>
      <c r="C27" s="126">
        <v>144</v>
      </c>
      <c r="D27" s="126">
        <v>800</v>
      </c>
      <c r="E27" s="126">
        <f>3*25</f>
        <v>75</v>
      </c>
      <c r="F27" s="116">
        <v>1</v>
      </c>
      <c r="G27" s="265">
        <f t="shared" si="1"/>
        <v>74</v>
      </c>
      <c r="H27" s="249" t="s">
        <v>1793</v>
      </c>
      <c r="I27" s="378"/>
    </row>
    <row r="28" spans="1:9" ht="15.75" thickTop="1" x14ac:dyDescent="0.25">
      <c r="A28" s="310" t="s">
        <v>306</v>
      </c>
      <c r="B28" s="151" t="s">
        <v>21</v>
      </c>
      <c r="C28" s="151">
        <v>1440</v>
      </c>
      <c r="D28" s="151">
        <v>221</v>
      </c>
      <c r="E28" s="151">
        <v>50</v>
      </c>
      <c r="F28" s="112">
        <f>1+1+1+1+1</f>
        <v>5</v>
      </c>
      <c r="G28" s="263">
        <f t="shared" si="1"/>
        <v>45</v>
      </c>
      <c r="H28" s="274" t="s">
        <v>1794</v>
      </c>
      <c r="I28" s="379" t="s">
        <v>455</v>
      </c>
    </row>
    <row r="29" spans="1:9" x14ac:dyDescent="0.25">
      <c r="A29" s="311"/>
      <c r="B29" s="152" t="s">
        <v>22</v>
      </c>
      <c r="C29" s="152">
        <v>1440</v>
      </c>
      <c r="D29" s="152">
        <v>259</v>
      </c>
      <c r="E29" s="152">
        <v>40</v>
      </c>
      <c r="F29" s="114">
        <f>1+1</f>
        <v>2</v>
      </c>
      <c r="G29" s="264">
        <f t="shared" si="1"/>
        <v>38</v>
      </c>
      <c r="H29" s="248" t="s">
        <v>1795</v>
      </c>
      <c r="I29" s="377"/>
    </row>
    <row r="30" spans="1:9" x14ac:dyDescent="0.25">
      <c r="A30" s="311"/>
      <c r="B30" s="152" t="s">
        <v>18</v>
      </c>
      <c r="C30" s="152">
        <v>1440</v>
      </c>
      <c r="D30" s="152">
        <v>281</v>
      </c>
      <c r="E30" s="152">
        <f>15+35</f>
        <v>50</v>
      </c>
      <c r="F30" s="114">
        <v>1</v>
      </c>
      <c r="G30" s="264">
        <f t="shared" si="1"/>
        <v>49</v>
      </c>
      <c r="H30" s="248" t="s">
        <v>1796</v>
      </c>
      <c r="I30" s="377"/>
    </row>
    <row r="31" spans="1:9" x14ac:dyDescent="0.25">
      <c r="A31" s="311"/>
      <c r="B31" s="152" t="s">
        <v>19</v>
      </c>
      <c r="C31" s="152">
        <v>1440</v>
      </c>
      <c r="D31" s="152">
        <v>391</v>
      </c>
      <c r="E31" s="152">
        <f>30+19</f>
        <v>49</v>
      </c>
      <c r="F31" s="114">
        <f>1+1+1+1</f>
        <v>4</v>
      </c>
      <c r="G31" s="264">
        <f t="shared" si="1"/>
        <v>45</v>
      </c>
      <c r="H31" s="248" t="s">
        <v>1797</v>
      </c>
      <c r="I31" s="377"/>
    </row>
    <row r="32" spans="1:9" x14ac:dyDescent="0.25">
      <c r="A32" s="311"/>
      <c r="B32" s="152" t="s">
        <v>0</v>
      </c>
      <c r="C32" s="152">
        <v>1440</v>
      </c>
      <c r="D32" s="152">
        <v>499</v>
      </c>
      <c r="E32" s="152">
        <f>23+25</f>
        <v>48</v>
      </c>
      <c r="F32" s="114">
        <f>1+1+1+1+1+1+1+1+1+1</f>
        <v>10</v>
      </c>
      <c r="G32" s="264">
        <f t="shared" si="1"/>
        <v>38</v>
      </c>
      <c r="H32" s="248" t="s">
        <v>1798</v>
      </c>
      <c r="I32" s="377"/>
    </row>
    <row r="33" spans="1:9" x14ac:dyDescent="0.25">
      <c r="A33" s="311"/>
      <c r="B33" s="152" t="s">
        <v>1</v>
      </c>
      <c r="C33" s="152">
        <v>1440</v>
      </c>
      <c r="D33" s="152">
        <v>803</v>
      </c>
      <c r="E33" s="152">
        <f>3*15</f>
        <v>45</v>
      </c>
      <c r="F33" s="114">
        <f>6+3+1+2+1+1</f>
        <v>14</v>
      </c>
      <c r="G33" s="264">
        <f t="shared" si="1"/>
        <v>31</v>
      </c>
      <c r="H33" s="248" t="s">
        <v>1799</v>
      </c>
      <c r="I33" s="377"/>
    </row>
    <row r="34" spans="1:9" x14ac:dyDescent="0.25">
      <c r="A34" s="311"/>
      <c r="B34" s="152" t="s">
        <v>2</v>
      </c>
      <c r="C34" s="152">
        <v>288</v>
      </c>
      <c r="D34" s="152">
        <v>478</v>
      </c>
      <c r="E34" s="152">
        <f>24+25</f>
        <v>49</v>
      </c>
      <c r="F34" s="114">
        <f>1+2+1+1</f>
        <v>5</v>
      </c>
      <c r="G34" s="264">
        <f t="shared" si="1"/>
        <v>44</v>
      </c>
      <c r="H34" s="248" t="s">
        <v>1800</v>
      </c>
      <c r="I34" s="377"/>
    </row>
    <row r="35" spans="1:9" ht="15.75" thickBot="1" x14ac:dyDescent="0.3">
      <c r="A35" s="312"/>
      <c r="B35" s="46" t="s">
        <v>5</v>
      </c>
      <c r="C35" s="126">
        <v>144</v>
      </c>
      <c r="D35" s="126">
        <v>800</v>
      </c>
      <c r="E35" s="126">
        <f>3*25+23</f>
        <v>98</v>
      </c>
      <c r="F35" s="116"/>
      <c r="G35" s="265">
        <f t="shared" si="1"/>
        <v>98</v>
      </c>
      <c r="H35" s="273" t="s">
        <v>1801</v>
      </c>
      <c r="I35" s="378"/>
    </row>
    <row r="36" spans="1:9" ht="15.75" thickTop="1" x14ac:dyDescent="0.25">
      <c r="A36" s="310" t="s">
        <v>317</v>
      </c>
      <c r="B36" s="151" t="s">
        <v>21</v>
      </c>
      <c r="C36" s="151">
        <v>1440</v>
      </c>
      <c r="D36" s="151">
        <v>221</v>
      </c>
      <c r="E36" s="151">
        <v>48</v>
      </c>
      <c r="F36" s="112"/>
      <c r="G36" s="263">
        <f t="shared" si="1"/>
        <v>48</v>
      </c>
      <c r="H36" s="262" t="s">
        <v>1802</v>
      </c>
      <c r="I36" s="379" t="s">
        <v>456</v>
      </c>
    </row>
    <row r="37" spans="1:9" x14ac:dyDescent="0.25">
      <c r="A37" s="311"/>
      <c r="B37" s="152" t="s">
        <v>22</v>
      </c>
      <c r="C37" s="152">
        <v>1440</v>
      </c>
      <c r="D37" s="152">
        <v>259</v>
      </c>
      <c r="E37" s="152">
        <v>40</v>
      </c>
      <c r="F37" s="114"/>
      <c r="G37" s="264">
        <f t="shared" si="1"/>
        <v>40</v>
      </c>
      <c r="H37" s="248" t="s">
        <v>1803</v>
      </c>
      <c r="I37" s="377"/>
    </row>
    <row r="38" spans="1:9" x14ac:dyDescent="0.25">
      <c r="A38" s="311"/>
      <c r="B38" s="152" t="s">
        <v>18</v>
      </c>
      <c r="C38" s="152">
        <v>1440</v>
      </c>
      <c r="D38" s="152">
        <v>281</v>
      </c>
      <c r="E38" s="152">
        <f>14+35</f>
        <v>49</v>
      </c>
      <c r="F38" s="114"/>
      <c r="G38" s="264">
        <f t="shared" si="1"/>
        <v>49</v>
      </c>
      <c r="H38" s="248" t="s">
        <v>1804</v>
      </c>
      <c r="I38" s="377"/>
    </row>
    <row r="39" spans="1:9" x14ac:dyDescent="0.25">
      <c r="A39" s="311"/>
      <c r="B39" s="152" t="s">
        <v>19</v>
      </c>
      <c r="C39" s="152">
        <v>1440</v>
      </c>
      <c r="D39" s="152">
        <v>391</v>
      </c>
      <c r="E39" s="152">
        <f>19+30</f>
        <v>49</v>
      </c>
      <c r="F39" s="114"/>
      <c r="G39" s="264">
        <f t="shared" si="1"/>
        <v>49</v>
      </c>
      <c r="H39" s="248" t="s">
        <v>1805</v>
      </c>
      <c r="I39" s="377"/>
    </row>
    <row r="40" spans="1:9" x14ac:dyDescent="0.25">
      <c r="A40" s="311"/>
      <c r="B40" s="152" t="s">
        <v>0</v>
      </c>
      <c r="C40" s="152">
        <v>1440</v>
      </c>
      <c r="D40" s="152">
        <v>499</v>
      </c>
      <c r="E40" s="152">
        <f>2*25</f>
        <v>50</v>
      </c>
      <c r="F40" s="114">
        <f>1+1</f>
        <v>2</v>
      </c>
      <c r="G40" s="264">
        <f t="shared" si="1"/>
        <v>48</v>
      </c>
      <c r="H40" s="248" t="s">
        <v>1806</v>
      </c>
      <c r="I40" s="377"/>
    </row>
    <row r="41" spans="1:9" x14ac:dyDescent="0.25">
      <c r="A41" s="311"/>
      <c r="B41" s="152" t="s">
        <v>1</v>
      </c>
      <c r="C41" s="152">
        <v>1440</v>
      </c>
      <c r="D41" s="152">
        <v>803</v>
      </c>
      <c r="E41" s="152">
        <f>3*15</f>
        <v>45</v>
      </c>
      <c r="F41" s="114">
        <f>1+1</f>
        <v>2</v>
      </c>
      <c r="G41" s="264">
        <f t="shared" si="1"/>
        <v>43</v>
      </c>
      <c r="H41" s="248" t="s">
        <v>1807</v>
      </c>
      <c r="I41" s="377"/>
    </row>
    <row r="42" spans="1:9" ht="15.75" thickBot="1" x14ac:dyDescent="0.3">
      <c r="A42" s="312"/>
      <c r="B42" s="126" t="s">
        <v>2</v>
      </c>
      <c r="C42" s="126">
        <v>288</v>
      </c>
      <c r="D42" s="126">
        <v>478</v>
      </c>
      <c r="E42" s="126">
        <f>2*25</f>
        <v>50</v>
      </c>
      <c r="F42" s="116">
        <v>1</v>
      </c>
      <c r="G42" s="265">
        <f t="shared" si="1"/>
        <v>49</v>
      </c>
      <c r="H42" s="249" t="s">
        <v>1808</v>
      </c>
      <c r="I42" s="378"/>
    </row>
    <row r="43" spans="1:9" ht="15.75" thickTop="1" x14ac:dyDescent="0.25">
      <c r="A43" s="329" t="s">
        <v>307</v>
      </c>
      <c r="B43" s="151" t="s">
        <v>21</v>
      </c>
      <c r="C43" s="151">
        <v>1440</v>
      </c>
      <c r="D43" s="151">
        <v>150</v>
      </c>
      <c r="E43" s="151">
        <v>49</v>
      </c>
      <c r="F43" s="112"/>
      <c r="G43" s="263">
        <f t="shared" si="1"/>
        <v>49</v>
      </c>
      <c r="H43" s="262" t="s">
        <v>1809</v>
      </c>
      <c r="I43" s="379" t="s">
        <v>457</v>
      </c>
    </row>
    <row r="44" spans="1:9" ht="15.75" thickBot="1" x14ac:dyDescent="0.3">
      <c r="A44" s="330"/>
      <c r="B44" s="152" t="s">
        <v>22</v>
      </c>
      <c r="C44" s="152">
        <v>1440</v>
      </c>
      <c r="D44" s="152">
        <v>190</v>
      </c>
      <c r="E44" s="152">
        <v>40</v>
      </c>
      <c r="F44" s="114"/>
      <c r="G44" s="264">
        <f t="shared" si="1"/>
        <v>40</v>
      </c>
      <c r="H44" s="273" t="s">
        <v>1810</v>
      </c>
      <c r="I44" s="377"/>
    </row>
    <row r="45" spans="1:9" ht="15.75" thickBot="1" x14ac:dyDescent="0.3">
      <c r="A45" s="330"/>
      <c r="B45" s="152" t="s">
        <v>18</v>
      </c>
      <c r="C45" s="152">
        <v>1440</v>
      </c>
      <c r="D45" s="152">
        <v>210</v>
      </c>
      <c r="E45" s="152">
        <v>35</v>
      </c>
      <c r="F45" s="114"/>
      <c r="G45" s="264">
        <f t="shared" si="1"/>
        <v>35</v>
      </c>
      <c r="H45" s="275" t="s">
        <v>1811</v>
      </c>
      <c r="I45" s="377"/>
    </row>
    <row r="46" spans="1:9" x14ac:dyDescent="0.25">
      <c r="A46" s="330"/>
      <c r="B46" s="152" t="s">
        <v>19</v>
      </c>
      <c r="C46" s="152">
        <v>1440</v>
      </c>
      <c r="D46" s="152">
        <v>391</v>
      </c>
      <c r="E46" s="152">
        <f>10+30+6</f>
        <v>46</v>
      </c>
      <c r="F46" s="114">
        <v>1</v>
      </c>
      <c r="G46" s="264">
        <f t="shared" si="1"/>
        <v>45</v>
      </c>
      <c r="H46" s="274" t="s">
        <v>1812</v>
      </c>
      <c r="I46" s="377"/>
    </row>
    <row r="47" spans="1:9" x14ac:dyDescent="0.25">
      <c r="A47" s="330"/>
      <c r="B47" s="152" t="s">
        <v>0</v>
      </c>
      <c r="C47" s="152">
        <v>1440</v>
      </c>
      <c r="D47" s="152">
        <v>415</v>
      </c>
      <c r="E47" s="152">
        <f>2*25</f>
        <v>50</v>
      </c>
      <c r="F47" s="114"/>
      <c r="G47" s="264">
        <f t="shared" si="1"/>
        <v>50</v>
      </c>
      <c r="H47" s="248" t="s">
        <v>1813</v>
      </c>
      <c r="I47" s="377"/>
    </row>
    <row r="48" spans="1:9" x14ac:dyDescent="0.25">
      <c r="A48" s="330"/>
      <c r="B48" s="152" t="s">
        <v>1</v>
      </c>
      <c r="C48" s="152">
        <v>1440</v>
      </c>
      <c r="D48" s="152">
        <v>715</v>
      </c>
      <c r="E48" s="152">
        <f>3*15</f>
        <v>45</v>
      </c>
      <c r="F48" s="114"/>
      <c r="G48" s="264">
        <f t="shared" si="1"/>
        <v>45</v>
      </c>
      <c r="H48" s="248" t="s">
        <v>1814</v>
      </c>
      <c r="I48" s="377"/>
    </row>
    <row r="49" spans="1:9" x14ac:dyDescent="0.25">
      <c r="A49" s="330"/>
      <c r="B49" s="152" t="s">
        <v>2</v>
      </c>
      <c r="C49" s="152">
        <v>288</v>
      </c>
      <c r="D49" s="152">
        <v>415</v>
      </c>
      <c r="E49" s="152">
        <f>22+25</f>
        <v>47</v>
      </c>
      <c r="F49" s="114"/>
      <c r="G49" s="264">
        <f t="shared" si="1"/>
        <v>47</v>
      </c>
      <c r="H49" s="248" t="s">
        <v>1815</v>
      </c>
      <c r="I49" s="377"/>
    </row>
    <row r="50" spans="1:9" ht="15.75" thickBot="1" x14ac:dyDescent="0.3">
      <c r="A50" s="331"/>
      <c r="B50" s="46" t="s">
        <v>5</v>
      </c>
      <c r="C50" s="126">
        <v>144</v>
      </c>
      <c r="D50" s="126">
        <v>800</v>
      </c>
      <c r="E50" s="126">
        <f>21+3*25</f>
        <v>96</v>
      </c>
      <c r="F50" s="116"/>
      <c r="G50" s="265">
        <f t="shared" si="1"/>
        <v>96</v>
      </c>
      <c r="H50" s="249" t="s">
        <v>1816</v>
      </c>
      <c r="I50" s="378"/>
    </row>
    <row r="51" spans="1:9" ht="15.75" thickTop="1" x14ac:dyDescent="0.25">
      <c r="A51" s="310" t="s">
        <v>308</v>
      </c>
      <c r="B51" s="45" t="s">
        <v>90</v>
      </c>
      <c r="C51" s="151">
        <v>1440</v>
      </c>
      <c r="D51" s="151">
        <v>210</v>
      </c>
      <c r="E51" s="151">
        <v>5</v>
      </c>
      <c r="F51" s="112"/>
      <c r="G51" s="263">
        <f t="shared" si="1"/>
        <v>5</v>
      </c>
      <c r="H51" s="262" t="s">
        <v>1762</v>
      </c>
      <c r="I51" s="379" t="s">
        <v>408</v>
      </c>
    </row>
    <row r="52" spans="1:9" x14ac:dyDescent="0.25">
      <c r="A52" s="311"/>
      <c r="B52" s="83" t="s">
        <v>89</v>
      </c>
      <c r="C52" s="152">
        <v>1440</v>
      </c>
      <c r="D52" s="152">
        <v>210</v>
      </c>
      <c r="E52" s="152">
        <v>5</v>
      </c>
      <c r="F52" s="114"/>
      <c r="G52" s="264">
        <f t="shared" si="1"/>
        <v>5</v>
      </c>
      <c r="H52" s="248" t="s">
        <v>1817</v>
      </c>
      <c r="I52" s="377"/>
    </row>
    <row r="53" spans="1:9" x14ac:dyDescent="0.25">
      <c r="A53" s="311"/>
      <c r="B53" s="152" t="s">
        <v>21</v>
      </c>
      <c r="C53" s="152">
        <v>1440</v>
      </c>
      <c r="D53" s="152">
        <v>221</v>
      </c>
      <c r="E53" s="152">
        <v>5</v>
      </c>
      <c r="F53" s="114">
        <v>1</v>
      </c>
      <c r="G53" s="264">
        <f t="shared" si="1"/>
        <v>4</v>
      </c>
      <c r="H53" s="248" t="s">
        <v>1818</v>
      </c>
      <c r="I53" s="377"/>
    </row>
    <row r="54" spans="1:9" x14ac:dyDescent="0.25">
      <c r="A54" s="311"/>
      <c r="B54" s="152" t="s">
        <v>22</v>
      </c>
      <c r="C54" s="152">
        <v>1440</v>
      </c>
      <c r="D54" s="152">
        <v>259</v>
      </c>
      <c r="E54" s="152">
        <v>5</v>
      </c>
      <c r="F54" s="114"/>
      <c r="G54" s="264">
        <f t="shared" si="1"/>
        <v>5</v>
      </c>
      <c r="H54" s="248" t="s">
        <v>1819</v>
      </c>
      <c r="I54" s="377"/>
    </row>
    <row r="55" spans="1:9" x14ac:dyDescent="0.25">
      <c r="A55" s="311"/>
      <c r="B55" s="152" t="s">
        <v>18</v>
      </c>
      <c r="C55" s="152">
        <v>1440</v>
      </c>
      <c r="D55" s="152">
        <v>281</v>
      </c>
      <c r="E55" s="152">
        <v>5</v>
      </c>
      <c r="F55" s="114">
        <v>1</v>
      </c>
      <c r="G55" s="264">
        <f t="shared" si="1"/>
        <v>4</v>
      </c>
      <c r="H55" s="248" t="s">
        <v>1820</v>
      </c>
      <c r="I55" s="377"/>
    </row>
    <row r="56" spans="1:9" x14ac:dyDescent="0.25">
      <c r="A56" s="311"/>
      <c r="B56" s="152" t="s">
        <v>19</v>
      </c>
      <c r="C56" s="152">
        <v>1440</v>
      </c>
      <c r="D56" s="152">
        <v>391</v>
      </c>
      <c r="E56" s="152">
        <v>5</v>
      </c>
      <c r="F56" s="114">
        <f>1+1</f>
        <v>2</v>
      </c>
      <c r="G56" s="264">
        <f t="shared" si="1"/>
        <v>3</v>
      </c>
      <c r="H56" s="248" t="s">
        <v>1821</v>
      </c>
      <c r="I56" s="377"/>
    </row>
    <row r="57" spans="1:9" x14ac:dyDescent="0.25">
      <c r="A57" s="311"/>
      <c r="B57" s="152" t="s">
        <v>0</v>
      </c>
      <c r="C57" s="152">
        <v>1440</v>
      </c>
      <c r="D57" s="152">
        <v>499</v>
      </c>
      <c r="E57" s="152">
        <v>5</v>
      </c>
      <c r="F57" s="114">
        <f>1+1+1</f>
        <v>3</v>
      </c>
      <c r="G57" s="264">
        <f t="shared" si="1"/>
        <v>2</v>
      </c>
      <c r="H57" s="248" t="s">
        <v>1822</v>
      </c>
      <c r="I57" s="377"/>
    </row>
    <row r="58" spans="1:9" x14ac:dyDescent="0.25">
      <c r="A58" s="311"/>
      <c r="B58" s="152" t="s">
        <v>1</v>
      </c>
      <c r="C58" s="152">
        <v>1440</v>
      </c>
      <c r="D58" s="152">
        <v>802</v>
      </c>
      <c r="E58" s="152">
        <v>3</v>
      </c>
      <c r="F58" s="114">
        <f>1+1+1</f>
        <v>3</v>
      </c>
      <c r="G58" s="264">
        <f t="shared" si="1"/>
        <v>0</v>
      </c>
      <c r="H58" s="248" t="s">
        <v>1823</v>
      </c>
      <c r="I58" s="377"/>
    </row>
    <row r="59" spans="1:9" ht="15.75" thickBot="1" x14ac:dyDescent="0.3">
      <c r="A59" s="312"/>
      <c r="B59" s="126" t="s">
        <v>2</v>
      </c>
      <c r="C59" s="126">
        <v>288</v>
      </c>
      <c r="D59" s="126">
        <v>470</v>
      </c>
      <c r="E59" s="126">
        <v>5</v>
      </c>
      <c r="F59" s="116">
        <f>3+1</f>
        <v>4</v>
      </c>
      <c r="G59" s="265">
        <f t="shared" si="1"/>
        <v>1</v>
      </c>
      <c r="H59" s="249" t="s">
        <v>1824</v>
      </c>
      <c r="I59" s="378"/>
    </row>
    <row r="60" spans="1:9" ht="15.75" customHeight="1" thickTop="1" x14ac:dyDescent="0.25">
      <c r="A60" s="304" t="s">
        <v>458</v>
      </c>
      <c r="B60" s="151" t="s">
        <v>21</v>
      </c>
      <c r="C60" s="151">
        <v>1440</v>
      </c>
      <c r="D60" s="151">
        <v>221</v>
      </c>
      <c r="E60" s="151">
        <f>1+54</f>
        <v>55</v>
      </c>
      <c r="F60" s="151">
        <f>1+1</f>
        <v>2</v>
      </c>
      <c r="G60" s="243">
        <f t="shared" ref="G60:G122" si="2">E60-F60</f>
        <v>53</v>
      </c>
      <c r="H60" s="262" t="s">
        <v>1825</v>
      </c>
      <c r="I60" s="379" t="s">
        <v>459</v>
      </c>
    </row>
    <row r="61" spans="1:9" x14ac:dyDescent="0.25">
      <c r="A61" s="305"/>
      <c r="B61" s="152" t="s">
        <v>22</v>
      </c>
      <c r="C61" s="152">
        <v>1440</v>
      </c>
      <c r="D61" s="152">
        <v>259</v>
      </c>
      <c r="E61" s="152">
        <f>1+45</f>
        <v>46</v>
      </c>
      <c r="F61" s="152"/>
      <c r="G61" s="245">
        <f t="shared" si="2"/>
        <v>46</v>
      </c>
      <c r="H61" s="248" t="s">
        <v>1826</v>
      </c>
      <c r="I61" s="377"/>
    </row>
    <row r="62" spans="1:9" x14ac:dyDescent="0.25">
      <c r="A62" s="305"/>
      <c r="B62" s="152" t="s">
        <v>18</v>
      </c>
      <c r="C62" s="152">
        <v>1440</v>
      </c>
      <c r="D62" s="152">
        <v>281</v>
      </c>
      <c r="E62" s="152">
        <f>52+2</f>
        <v>54</v>
      </c>
      <c r="F62" s="152"/>
      <c r="G62" s="245">
        <f t="shared" si="2"/>
        <v>54</v>
      </c>
      <c r="H62" s="248" t="s">
        <v>1827</v>
      </c>
      <c r="I62" s="377"/>
    </row>
    <row r="63" spans="1:9" x14ac:dyDescent="0.25">
      <c r="A63" s="305"/>
      <c r="B63" s="152" t="s">
        <v>19</v>
      </c>
      <c r="C63" s="152">
        <v>1440</v>
      </c>
      <c r="D63" s="152">
        <v>391</v>
      </c>
      <c r="E63" s="152">
        <f>50+2</f>
        <v>52</v>
      </c>
      <c r="F63" s="152">
        <v>1</v>
      </c>
      <c r="G63" s="245">
        <f t="shared" si="2"/>
        <v>51</v>
      </c>
      <c r="H63" s="248" t="s">
        <v>1828</v>
      </c>
      <c r="I63" s="377"/>
    </row>
    <row r="64" spans="1:9" x14ac:dyDescent="0.25">
      <c r="A64" s="305"/>
      <c r="B64" s="152" t="s">
        <v>0</v>
      </c>
      <c r="C64" s="152">
        <v>1440</v>
      </c>
      <c r="D64" s="152">
        <v>499</v>
      </c>
      <c r="E64" s="152">
        <f>25+23+1</f>
        <v>49</v>
      </c>
      <c r="F64" s="154">
        <f>1+1</f>
        <v>2</v>
      </c>
      <c r="G64" s="245">
        <f t="shared" si="2"/>
        <v>47</v>
      </c>
      <c r="H64" s="248" t="s">
        <v>1829</v>
      </c>
      <c r="I64" s="377"/>
    </row>
    <row r="65" spans="1:9" x14ac:dyDescent="0.25">
      <c r="A65" s="305"/>
      <c r="B65" s="152" t="s">
        <v>1</v>
      </c>
      <c r="C65" s="152">
        <v>1440</v>
      </c>
      <c r="D65" s="152">
        <v>802</v>
      </c>
      <c r="E65" s="152">
        <f>3*15+2</f>
        <v>47</v>
      </c>
      <c r="F65" s="154">
        <f>1+1+1+1</f>
        <v>4</v>
      </c>
      <c r="G65" s="245">
        <f t="shared" si="2"/>
        <v>43</v>
      </c>
      <c r="H65" s="248" t="s">
        <v>1830</v>
      </c>
      <c r="I65" s="377"/>
    </row>
    <row r="66" spans="1:9" ht="15.75" thickBot="1" x14ac:dyDescent="0.3">
      <c r="A66" s="306"/>
      <c r="B66" s="126" t="s">
        <v>2</v>
      </c>
      <c r="C66" s="126">
        <v>288</v>
      </c>
      <c r="D66" s="126">
        <v>470</v>
      </c>
      <c r="E66" s="126">
        <f>1+50</f>
        <v>51</v>
      </c>
      <c r="F66" s="126">
        <f>1+1</f>
        <v>2</v>
      </c>
      <c r="G66" s="246">
        <f t="shared" si="2"/>
        <v>49</v>
      </c>
      <c r="H66" s="249" t="s">
        <v>1831</v>
      </c>
      <c r="I66" s="377"/>
    </row>
    <row r="67" spans="1:9" ht="15.75" thickTop="1" x14ac:dyDescent="0.25">
      <c r="A67" s="310" t="s">
        <v>1763</v>
      </c>
      <c r="B67" s="151" t="s">
        <v>90</v>
      </c>
      <c r="C67" s="151">
        <v>1440</v>
      </c>
      <c r="D67" s="151">
        <v>258</v>
      </c>
      <c r="E67" s="151">
        <v>5</v>
      </c>
      <c r="F67" s="151"/>
      <c r="G67" s="243">
        <f t="shared" si="2"/>
        <v>5</v>
      </c>
      <c r="H67" s="274" t="s">
        <v>1764</v>
      </c>
      <c r="I67" s="379" t="s">
        <v>460</v>
      </c>
    </row>
    <row r="68" spans="1:9" x14ac:dyDescent="0.25">
      <c r="A68" s="311"/>
      <c r="B68" s="152" t="s">
        <v>89</v>
      </c>
      <c r="C68" s="152">
        <v>1440</v>
      </c>
      <c r="D68" s="152">
        <v>258</v>
      </c>
      <c r="E68" s="152">
        <f>1+4</f>
        <v>5</v>
      </c>
      <c r="F68" s="152">
        <v>1</v>
      </c>
      <c r="G68" s="245">
        <f t="shared" si="2"/>
        <v>4</v>
      </c>
      <c r="H68" s="248" t="s">
        <v>1832</v>
      </c>
      <c r="I68" s="377"/>
    </row>
    <row r="69" spans="1:9" x14ac:dyDescent="0.25">
      <c r="A69" s="311"/>
      <c r="B69" s="152" t="s">
        <v>21</v>
      </c>
      <c r="C69" s="152">
        <v>1440</v>
      </c>
      <c r="D69" s="152">
        <v>281</v>
      </c>
      <c r="E69" s="152">
        <f>1+4</f>
        <v>5</v>
      </c>
      <c r="F69" s="152"/>
      <c r="G69" s="245">
        <f t="shared" si="2"/>
        <v>5</v>
      </c>
      <c r="H69" s="248" t="s">
        <v>1833</v>
      </c>
      <c r="I69" s="377"/>
    </row>
    <row r="70" spans="1:9" x14ac:dyDescent="0.25">
      <c r="A70" s="311"/>
      <c r="B70" s="152" t="s">
        <v>22</v>
      </c>
      <c r="C70" s="152">
        <v>1440</v>
      </c>
      <c r="D70" s="152">
        <v>325</v>
      </c>
      <c r="E70" s="152">
        <f>1+4</f>
        <v>5</v>
      </c>
      <c r="F70" s="152">
        <v>1</v>
      </c>
      <c r="G70" s="245">
        <f t="shared" si="2"/>
        <v>4</v>
      </c>
      <c r="H70" s="248" t="s">
        <v>1834</v>
      </c>
      <c r="I70" s="377"/>
    </row>
    <row r="71" spans="1:9" x14ac:dyDescent="0.25">
      <c r="A71" s="311"/>
      <c r="B71" s="152" t="s">
        <v>18</v>
      </c>
      <c r="C71" s="152">
        <v>1440</v>
      </c>
      <c r="D71" s="152">
        <v>359</v>
      </c>
      <c r="E71" s="152">
        <f>1+7</f>
        <v>8</v>
      </c>
      <c r="F71" s="152"/>
      <c r="G71" s="245">
        <f t="shared" si="2"/>
        <v>8</v>
      </c>
      <c r="H71" s="248" t="s">
        <v>1835</v>
      </c>
      <c r="I71" s="377"/>
    </row>
    <row r="72" spans="1:9" x14ac:dyDescent="0.25">
      <c r="A72" s="311"/>
      <c r="B72" s="152" t="s">
        <v>19</v>
      </c>
      <c r="C72" s="152">
        <v>1440</v>
      </c>
      <c r="D72" s="152">
        <v>513</v>
      </c>
      <c r="E72" s="152">
        <f>1+7</f>
        <v>8</v>
      </c>
      <c r="F72" s="152">
        <f>1+1</f>
        <v>2</v>
      </c>
      <c r="G72" s="245">
        <f t="shared" si="2"/>
        <v>6</v>
      </c>
      <c r="H72" s="248" t="s">
        <v>1836</v>
      </c>
      <c r="I72" s="377"/>
    </row>
    <row r="73" spans="1:9" x14ac:dyDescent="0.25">
      <c r="A73" s="311"/>
      <c r="B73" s="152" t="s">
        <v>0</v>
      </c>
      <c r="C73" s="152">
        <v>1440</v>
      </c>
      <c r="D73" s="152">
        <v>720</v>
      </c>
      <c r="E73" s="152">
        <f>1+4</f>
        <v>5</v>
      </c>
      <c r="F73" s="152">
        <f>1+1</f>
        <v>2</v>
      </c>
      <c r="G73" s="245">
        <f t="shared" si="2"/>
        <v>3</v>
      </c>
      <c r="H73" s="248" t="s">
        <v>1837</v>
      </c>
      <c r="I73" s="377"/>
    </row>
    <row r="74" spans="1:9" x14ac:dyDescent="0.25">
      <c r="A74" s="311"/>
      <c r="B74" s="152" t="s">
        <v>1</v>
      </c>
      <c r="C74" s="152">
        <v>1440</v>
      </c>
      <c r="D74" s="152">
        <v>1051</v>
      </c>
      <c r="E74" s="152">
        <v>1</v>
      </c>
      <c r="F74" s="152">
        <v>1</v>
      </c>
      <c r="G74" s="245">
        <f t="shared" si="2"/>
        <v>0</v>
      </c>
      <c r="H74" s="248" t="s">
        <v>1838</v>
      </c>
      <c r="I74" s="377"/>
    </row>
    <row r="75" spans="1:9" ht="15.75" thickBot="1" x14ac:dyDescent="0.3">
      <c r="A75" s="312"/>
      <c r="B75" s="126" t="s">
        <v>2</v>
      </c>
      <c r="C75" s="126">
        <v>288</v>
      </c>
      <c r="D75" s="126">
        <v>691</v>
      </c>
      <c r="E75" s="126">
        <v>1</v>
      </c>
      <c r="F75" s="126">
        <v>1</v>
      </c>
      <c r="G75" s="246">
        <f t="shared" si="2"/>
        <v>0</v>
      </c>
      <c r="H75" s="249" t="s">
        <v>1839</v>
      </c>
      <c r="I75" s="378"/>
    </row>
    <row r="76" spans="1:9" ht="16.5" thickTop="1" thickBot="1" x14ac:dyDescent="0.3">
      <c r="A76" s="310" t="s">
        <v>318</v>
      </c>
      <c r="B76" s="151" t="s">
        <v>22</v>
      </c>
      <c r="C76" s="151">
        <v>1440</v>
      </c>
      <c r="D76" s="151">
        <v>286</v>
      </c>
      <c r="E76" s="151">
        <f>40+10</f>
        <v>50</v>
      </c>
      <c r="F76" s="151"/>
      <c r="G76" s="243">
        <f t="shared" si="2"/>
        <v>50</v>
      </c>
      <c r="H76" s="278" t="s">
        <v>1840</v>
      </c>
      <c r="I76" s="379" t="s">
        <v>461</v>
      </c>
    </row>
    <row r="77" spans="1:9" ht="15.75" thickBot="1" x14ac:dyDescent="0.3">
      <c r="A77" s="311"/>
      <c r="B77" s="152" t="s">
        <v>19</v>
      </c>
      <c r="C77" s="152">
        <v>1440</v>
      </c>
      <c r="D77" s="152">
        <v>455</v>
      </c>
      <c r="E77" s="152">
        <f>20+30</f>
        <v>50</v>
      </c>
      <c r="F77" s="152"/>
      <c r="G77" s="245">
        <f t="shared" si="2"/>
        <v>50</v>
      </c>
      <c r="H77" s="275" t="s">
        <v>1841</v>
      </c>
      <c r="I77" s="377"/>
    </row>
    <row r="78" spans="1:9" x14ac:dyDescent="0.25">
      <c r="A78" s="311"/>
      <c r="B78" s="152" t="s">
        <v>0</v>
      </c>
      <c r="C78" s="152">
        <v>1440</v>
      </c>
      <c r="D78" s="152">
        <v>565</v>
      </c>
      <c r="E78" s="152">
        <f>2*25</f>
        <v>50</v>
      </c>
      <c r="F78" s="152">
        <f>2+2+1+1</f>
        <v>6</v>
      </c>
      <c r="G78" s="245">
        <f t="shared" si="2"/>
        <v>44</v>
      </c>
      <c r="H78" s="274" t="s">
        <v>1842</v>
      </c>
      <c r="I78" s="377"/>
    </row>
    <row r="79" spans="1:9" x14ac:dyDescent="0.25">
      <c r="A79" s="311"/>
      <c r="B79" s="152" t="s">
        <v>1</v>
      </c>
      <c r="C79" s="152">
        <v>1440</v>
      </c>
      <c r="D79" s="152">
        <v>893</v>
      </c>
      <c r="E79" s="152">
        <f>3*15+5</f>
        <v>50</v>
      </c>
      <c r="F79" s="152">
        <f>6+2+1</f>
        <v>9</v>
      </c>
      <c r="G79" s="245">
        <f t="shared" si="2"/>
        <v>41</v>
      </c>
      <c r="H79" s="248" t="s">
        <v>1843</v>
      </c>
      <c r="I79" s="377"/>
    </row>
    <row r="80" spans="1:9" ht="15.75" thickBot="1" x14ac:dyDescent="0.3">
      <c r="A80" s="312"/>
      <c r="B80" s="126" t="s">
        <v>2</v>
      </c>
      <c r="C80" s="126">
        <v>288</v>
      </c>
      <c r="D80" s="126">
        <v>610</v>
      </c>
      <c r="E80" s="126">
        <f>23+25</f>
        <v>48</v>
      </c>
      <c r="F80" s="126">
        <f>1+1</f>
        <v>2</v>
      </c>
      <c r="G80" s="246">
        <f t="shared" si="2"/>
        <v>46</v>
      </c>
      <c r="H80" s="249" t="s">
        <v>1844</v>
      </c>
      <c r="I80" s="378"/>
    </row>
    <row r="81" spans="1:9" ht="15.75" thickTop="1" x14ac:dyDescent="0.25">
      <c r="A81" s="310" t="s">
        <v>462</v>
      </c>
      <c r="B81" s="151" t="s">
        <v>21</v>
      </c>
      <c r="C81" s="151">
        <v>1440</v>
      </c>
      <c r="D81" s="151">
        <v>246</v>
      </c>
      <c r="E81" s="151">
        <f>50+5</f>
        <v>55</v>
      </c>
      <c r="F81" s="151">
        <f>1+1</f>
        <v>2</v>
      </c>
      <c r="G81" s="243">
        <f t="shared" si="2"/>
        <v>53</v>
      </c>
      <c r="H81" s="262" t="s">
        <v>1845</v>
      </c>
      <c r="I81" s="379" t="s">
        <v>463</v>
      </c>
    </row>
    <row r="82" spans="1:9" x14ac:dyDescent="0.25">
      <c r="A82" s="311"/>
      <c r="B82" s="152" t="s">
        <v>22</v>
      </c>
      <c r="C82" s="152">
        <v>1440</v>
      </c>
      <c r="D82" s="152">
        <v>286</v>
      </c>
      <c r="E82" s="152">
        <f>40+5</f>
        <v>45</v>
      </c>
      <c r="F82" s="152">
        <v>1</v>
      </c>
      <c r="G82" s="245">
        <f t="shared" si="2"/>
        <v>44</v>
      </c>
      <c r="H82" s="248" t="s">
        <v>1846</v>
      </c>
      <c r="I82" s="377"/>
    </row>
    <row r="83" spans="1:9" x14ac:dyDescent="0.25">
      <c r="A83" s="311"/>
      <c r="B83" s="152" t="s">
        <v>18</v>
      </c>
      <c r="C83" s="152">
        <v>1440</v>
      </c>
      <c r="D83" s="152">
        <v>315</v>
      </c>
      <c r="E83" s="152">
        <f>50+5</f>
        <v>55</v>
      </c>
      <c r="F83" s="152"/>
      <c r="G83" s="245">
        <f t="shared" si="2"/>
        <v>55</v>
      </c>
      <c r="H83" s="248" t="s">
        <v>1847</v>
      </c>
      <c r="I83" s="377"/>
    </row>
    <row r="84" spans="1:9" x14ac:dyDescent="0.25">
      <c r="A84" s="311"/>
      <c r="B84" s="152" t="s">
        <v>19</v>
      </c>
      <c r="C84" s="152">
        <v>1440</v>
      </c>
      <c r="D84" s="152">
        <v>455</v>
      </c>
      <c r="E84" s="152">
        <f>50+5</f>
        <v>55</v>
      </c>
      <c r="F84" s="152"/>
      <c r="G84" s="245">
        <f t="shared" si="2"/>
        <v>55</v>
      </c>
      <c r="H84" s="248" t="s">
        <v>1848</v>
      </c>
      <c r="I84" s="377"/>
    </row>
    <row r="85" spans="1:9" x14ac:dyDescent="0.25">
      <c r="A85" s="311"/>
      <c r="B85" s="152" t="s">
        <v>0</v>
      </c>
      <c r="C85" s="152">
        <v>1440</v>
      </c>
      <c r="D85" s="152">
        <v>565</v>
      </c>
      <c r="E85" s="152">
        <f>49+5</f>
        <v>54</v>
      </c>
      <c r="F85" s="152">
        <f>2+1+1</f>
        <v>4</v>
      </c>
      <c r="G85" s="245">
        <f t="shared" si="2"/>
        <v>50</v>
      </c>
      <c r="H85" s="248" t="s">
        <v>1849</v>
      </c>
      <c r="I85" s="377"/>
    </row>
    <row r="86" spans="1:9" x14ac:dyDescent="0.25">
      <c r="A86" s="311"/>
      <c r="B86" s="152" t="s">
        <v>1</v>
      </c>
      <c r="C86" s="152">
        <v>1440</v>
      </c>
      <c r="D86" s="152">
        <v>893</v>
      </c>
      <c r="E86" s="152">
        <f>50+4</f>
        <v>54</v>
      </c>
      <c r="F86" s="152">
        <f>1+1+3+1+1</f>
        <v>7</v>
      </c>
      <c r="G86" s="245">
        <f t="shared" si="2"/>
        <v>47</v>
      </c>
      <c r="H86" s="248" t="s">
        <v>1850</v>
      </c>
      <c r="I86" s="377"/>
    </row>
    <row r="87" spans="1:9" ht="15.75" thickBot="1" x14ac:dyDescent="0.3">
      <c r="A87" s="312"/>
      <c r="B87" s="126" t="s">
        <v>2</v>
      </c>
      <c r="C87" s="126">
        <v>288</v>
      </c>
      <c r="D87" s="126">
        <v>610</v>
      </c>
      <c r="E87" s="126">
        <f>49+1</f>
        <v>50</v>
      </c>
      <c r="F87" s="126">
        <f>2+1+1+1</f>
        <v>5</v>
      </c>
      <c r="G87" s="246">
        <f t="shared" si="2"/>
        <v>45</v>
      </c>
      <c r="H87" s="249" t="s">
        <v>1851</v>
      </c>
      <c r="I87" s="378"/>
    </row>
    <row r="88" spans="1:9" ht="15.75" thickTop="1" x14ac:dyDescent="0.25">
      <c r="A88" s="310" t="s">
        <v>1765</v>
      </c>
      <c r="B88" s="148" t="s">
        <v>21</v>
      </c>
      <c r="C88" s="151">
        <v>1440</v>
      </c>
      <c r="D88" s="151">
        <v>385</v>
      </c>
      <c r="E88" s="151">
        <v>50</v>
      </c>
      <c r="F88" s="151">
        <f>1+1</f>
        <v>2</v>
      </c>
      <c r="G88" s="243">
        <f t="shared" si="2"/>
        <v>48</v>
      </c>
      <c r="H88" s="262" t="s">
        <v>1852</v>
      </c>
      <c r="I88" s="379" t="s">
        <v>464</v>
      </c>
    </row>
    <row r="89" spans="1:9" x14ac:dyDescent="0.25">
      <c r="A89" s="311"/>
      <c r="B89" s="152" t="s">
        <v>22</v>
      </c>
      <c r="C89" s="152">
        <v>1440</v>
      </c>
      <c r="D89" s="152">
        <v>501</v>
      </c>
      <c r="E89" s="152">
        <f>50+3</f>
        <v>53</v>
      </c>
      <c r="F89" s="152">
        <v>1</v>
      </c>
      <c r="G89" s="245">
        <f t="shared" si="2"/>
        <v>52</v>
      </c>
      <c r="H89" s="248" t="s">
        <v>1853</v>
      </c>
      <c r="I89" s="377"/>
    </row>
    <row r="90" spans="1:9" x14ac:dyDescent="0.25">
      <c r="A90" s="311"/>
      <c r="B90" s="152" t="s">
        <v>18</v>
      </c>
      <c r="C90" s="152">
        <v>1440</v>
      </c>
      <c r="D90" s="152">
        <v>613</v>
      </c>
      <c r="E90" s="152">
        <f>50+1</f>
        <v>51</v>
      </c>
      <c r="F90" s="152">
        <f>1+1</f>
        <v>2</v>
      </c>
      <c r="G90" s="245">
        <f t="shared" si="2"/>
        <v>49</v>
      </c>
      <c r="H90" s="248" t="s">
        <v>1854</v>
      </c>
      <c r="I90" s="377"/>
    </row>
    <row r="91" spans="1:9" x14ac:dyDescent="0.25">
      <c r="A91" s="311"/>
      <c r="B91" s="152" t="s">
        <v>19</v>
      </c>
      <c r="C91" s="152">
        <v>1440</v>
      </c>
      <c r="D91" s="152">
        <v>712</v>
      </c>
      <c r="E91" s="83">
        <f>30+20</f>
        <v>50</v>
      </c>
      <c r="F91" s="152">
        <f>1+1+1</f>
        <v>3</v>
      </c>
      <c r="G91" s="245">
        <f t="shared" si="2"/>
        <v>47</v>
      </c>
      <c r="H91" s="248" t="s">
        <v>1855</v>
      </c>
      <c r="I91" s="377"/>
    </row>
    <row r="92" spans="1:9" x14ac:dyDescent="0.25">
      <c r="A92" s="311"/>
      <c r="B92" s="152" t="s">
        <v>0</v>
      </c>
      <c r="C92" s="152">
        <v>1440</v>
      </c>
      <c r="D92" s="152">
        <v>1238</v>
      </c>
      <c r="E92" s="152">
        <f>20+3</f>
        <v>23</v>
      </c>
      <c r="F92" s="152">
        <v>2</v>
      </c>
      <c r="G92" s="245">
        <f t="shared" si="2"/>
        <v>21</v>
      </c>
      <c r="H92" s="248" t="s">
        <v>1856</v>
      </c>
      <c r="I92" s="377"/>
    </row>
    <row r="93" spans="1:9" x14ac:dyDescent="0.25">
      <c r="A93" s="311"/>
      <c r="B93" s="152" t="s">
        <v>1</v>
      </c>
      <c r="C93" s="152">
        <v>1440</v>
      </c>
      <c r="D93" s="152">
        <v>2000</v>
      </c>
      <c r="E93" s="152">
        <v>2</v>
      </c>
      <c r="F93" s="152">
        <f>1+1</f>
        <v>2</v>
      </c>
      <c r="G93" s="245">
        <f t="shared" si="2"/>
        <v>0</v>
      </c>
      <c r="H93" s="248" t="s">
        <v>1857</v>
      </c>
      <c r="I93" s="377"/>
    </row>
    <row r="94" spans="1:9" ht="15.75" thickBot="1" x14ac:dyDescent="0.3">
      <c r="A94" s="312"/>
      <c r="B94" s="126" t="s">
        <v>2</v>
      </c>
      <c r="C94" s="126">
        <v>288</v>
      </c>
      <c r="D94" s="126">
        <v>1207</v>
      </c>
      <c r="E94" s="126">
        <f>49+4+20</f>
        <v>73</v>
      </c>
      <c r="F94" s="126">
        <v>2</v>
      </c>
      <c r="G94" s="246">
        <f t="shared" si="2"/>
        <v>71</v>
      </c>
      <c r="H94" s="249" t="s">
        <v>1858</v>
      </c>
      <c r="I94" s="378"/>
    </row>
    <row r="95" spans="1:9" ht="15.75" thickTop="1" x14ac:dyDescent="0.25">
      <c r="A95" s="310" t="s">
        <v>466</v>
      </c>
      <c r="B95" s="45" t="s">
        <v>90</v>
      </c>
      <c r="C95" s="151">
        <v>1440</v>
      </c>
      <c r="D95" s="151">
        <v>237</v>
      </c>
      <c r="E95" s="151">
        <v>5</v>
      </c>
      <c r="F95" s="151"/>
      <c r="G95" s="243">
        <f t="shared" si="2"/>
        <v>5</v>
      </c>
      <c r="H95" s="262" t="s">
        <v>1766</v>
      </c>
      <c r="I95" s="380" t="s">
        <v>465</v>
      </c>
    </row>
    <row r="96" spans="1:9" x14ac:dyDescent="0.25">
      <c r="A96" s="311"/>
      <c r="B96" s="83" t="s">
        <v>89</v>
      </c>
      <c r="C96" s="152">
        <v>1440</v>
      </c>
      <c r="D96" s="152">
        <v>237</v>
      </c>
      <c r="E96" s="152">
        <v>5</v>
      </c>
      <c r="F96" s="152"/>
      <c r="G96" s="245">
        <f t="shared" si="2"/>
        <v>5</v>
      </c>
      <c r="H96" s="248" t="s">
        <v>1859</v>
      </c>
      <c r="I96" s="381"/>
    </row>
    <row r="97" spans="1:9" x14ac:dyDescent="0.25">
      <c r="A97" s="311"/>
      <c r="B97" s="152" t="s">
        <v>21</v>
      </c>
      <c r="C97" s="152">
        <v>1440</v>
      </c>
      <c r="D97" s="152">
        <v>246</v>
      </c>
      <c r="E97" s="152">
        <v>5</v>
      </c>
      <c r="F97" s="152"/>
      <c r="G97" s="245">
        <f t="shared" si="2"/>
        <v>5</v>
      </c>
      <c r="H97" s="248" t="s">
        <v>1860</v>
      </c>
      <c r="I97" s="381"/>
    </row>
    <row r="98" spans="1:9" x14ac:dyDescent="0.25">
      <c r="A98" s="311"/>
      <c r="B98" s="152" t="s">
        <v>22</v>
      </c>
      <c r="C98" s="152">
        <v>1440</v>
      </c>
      <c r="D98" s="152">
        <v>286</v>
      </c>
      <c r="E98" s="152">
        <v>5</v>
      </c>
      <c r="F98" s="152"/>
      <c r="G98" s="245">
        <f t="shared" si="2"/>
        <v>5</v>
      </c>
      <c r="H98" s="248" t="s">
        <v>1861</v>
      </c>
      <c r="I98" s="381"/>
    </row>
    <row r="99" spans="1:9" x14ac:dyDescent="0.25">
      <c r="A99" s="311"/>
      <c r="B99" s="152" t="s">
        <v>18</v>
      </c>
      <c r="C99" s="152">
        <v>1440</v>
      </c>
      <c r="D99" s="152">
        <v>315</v>
      </c>
      <c r="E99" s="152">
        <v>5</v>
      </c>
      <c r="F99" s="152">
        <v>1</v>
      </c>
      <c r="G99" s="245">
        <f t="shared" si="2"/>
        <v>4</v>
      </c>
      <c r="H99" s="248" t="s">
        <v>1862</v>
      </c>
      <c r="I99" s="381"/>
    </row>
    <row r="100" spans="1:9" x14ac:dyDescent="0.25">
      <c r="A100" s="311"/>
      <c r="B100" s="152" t="s">
        <v>19</v>
      </c>
      <c r="C100" s="152">
        <v>1440</v>
      </c>
      <c r="D100" s="152">
        <v>455</v>
      </c>
      <c r="E100" s="152">
        <v>5</v>
      </c>
      <c r="F100" s="152"/>
      <c r="G100" s="245">
        <f t="shared" si="2"/>
        <v>5</v>
      </c>
      <c r="H100" s="248" t="s">
        <v>1863</v>
      </c>
      <c r="I100" s="381"/>
    </row>
    <row r="101" spans="1:9" x14ac:dyDescent="0.25">
      <c r="A101" s="311"/>
      <c r="B101" s="152" t="s">
        <v>0</v>
      </c>
      <c r="C101" s="152">
        <v>1440</v>
      </c>
      <c r="D101" s="152">
        <v>565</v>
      </c>
      <c r="E101" s="152">
        <v>5</v>
      </c>
      <c r="F101" s="152">
        <f>1+1+1+1</f>
        <v>4</v>
      </c>
      <c r="G101" s="245">
        <f t="shared" si="2"/>
        <v>1</v>
      </c>
      <c r="H101" s="248" t="s">
        <v>1864</v>
      </c>
      <c r="I101" s="381"/>
    </row>
    <row r="102" spans="1:9" x14ac:dyDescent="0.25">
      <c r="A102" s="311"/>
      <c r="B102" s="152" t="s">
        <v>1</v>
      </c>
      <c r="C102" s="152">
        <v>1440</v>
      </c>
      <c r="D102" s="152">
        <v>893</v>
      </c>
      <c r="E102" s="152">
        <f>2+5</f>
        <v>7</v>
      </c>
      <c r="F102" s="152">
        <f>4+1+1</f>
        <v>6</v>
      </c>
      <c r="G102" s="245">
        <f t="shared" si="2"/>
        <v>1</v>
      </c>
      <c r="H102" s="248" t="s">
        <v>1865</v>
      </c>
      <c r="I102" s="381"/>
    </row>
    <row r="103" spans="1:9" ht="15.75" thickBot="1" x14ac:dyDescent="0.3">
      <c r="A103" s="320"/>
      <c r="B103" s="154" t="s">
        <v>2</v>
      </c>
      <c r="C103" s="154">
        <v>288</v>
      </c>
      <c r="D103" s="154">
        <v>610</v>
      </c>
      <c r="E103" s="154">
        <v>5</v>
      </c>
      <c r="F103" s="154">
        <v>1</v>
      </c>
      <c r="G103" s="247">
        <f t="shared" si="2"/>
        <v>4</v>
      </c>
      <c r="H103" s="249" t="s">
        <v>1866</v>
      </c>
      <c r="I103" s="382"/>
    </row>
    <row r="104" spans="1:9" ht="15.75" thickTop="1" x14ac:dyDescent="0.25">
      <c r="A104" s="310" t="s">
        <v>319</v>
      </c>
      <c r="B104" s="151" t="s">
        <v>21</v>
      </c>
      <c r="C104" s="151">
        <v>1440</v>
      </c>
      <c r="D104" s="151">
        <v>246</v>
      </c>
      <c r="E104" s="151">
        <v>50</v>
      </c>
      <c r="F104" s="151"/>
      <c r="G104" s="243">
        <f t="shared" si="2"/>
        <v>50</v>
      </c>
      <c r="H104" s="262" t="s">
        <v>1867</v>
      </c>
      <c r="I104" s="380" t="s">
        <v>1767</v>
      </c>
    </row>
    <row r="105" spans="1:9" x14ac:dyDescent="0.25">
      <c r="A105" s="311"/>
      <c r="B105" s="152" t="s">
        <v>22</v>
      </c>
      <c r="C105" s="152">
        <v>1440</v>
      </c>
      <c r="D105" s="152">
        <v>286</v>
      </c>
      <c r="E105" s="152">
        <f>40+10</f>
        <v>50</v>
      </c>
      <c r="F105" s="152"/>
      <c r="G105" s="245">
        <f t="shared" si="2"/>
        <v>50</v>
      </c>
      <c r="H105" s="248" t="s">
        <v>1868</v>
      </c>
      <c r="I105" s="381"/>
    </row>
    <row r="106" spans="1:9" x14ac:dyDescent="0.25">
      <c r="A106" s="311"/>
      <c r="B106" s="152" t="s">
        <v>19</v>
      </c>
      <c r="C106" s="152">
        <v>1440</v>
      </c>
      <c r="D106" s="152">
        <v>455</v>
      </c>
      <c r="E106" s="152">
        <f>20+30</f>
        <v>50</v>
      </c>
      <c r="F106" s="152"/>
      <c r="G106" s="245">
        <f t="shared" si="2"/>
        <v>50</v>
      </c>
      <c r="H106" s="248" t="s">
        <v>1869</v>
      </c>
      <c r="I106" s="381"/>
    </row>
    <row r="107" spans="1:9" x14ac:dyDescent="0.25">
      <c r="A107" s="311"/>
      <c r="B107" s="152" t="s">
        <v>0</v>
      </c>
      <c r="C107" s="152">
        <v>1440</v>
      </c>
      <c r="D107" s="152">
        <v>565</v>
      </c>
      <c r="E107" s="152">
        <f>2*25</f>
        <v>50</v>
      </c>
      <c r="F107" s="152"/>
      <c r="G107" s="245">
        <f t="shared" si="2"/>
        <v>50</v>
      </c>
      <c r="H107" s="248" t="s">
        <v>1870</v>
      </c>
      <c r="I107" s="381"/>
    </row>
    <row r="108" spans="1:9" ht="15.75" thickBot="1" x14ac:dyDescent="0.3">
      <c r="A108" s="312"/>
      <c r="B108" s="126" t="s">
        <v>1</v>
      </c>
      <c r="C108" s="126">
        <v>1440</v>
      </c>
      <c r="D108" s="126">
        <v>893</v>
      </c>
      <c r="E108" s="126">
        <f>3*15</f>
        <v>45</v>
      </c>
      <c r="F108" s="126"/>
      <c r="G108" s="246">
        <f t="shared" si="2"/>
        <v>45</v>
      </c>
      <c r="H108" s="249" t="s">
        <v>1871</v>
      </c>
      <c r="I108" s="382"/>
    </row>
    <row r="109" spans="1:9" ht="15.75" thickTop="1" x14ac:dyDescent="0.25">
      <c r="A109" s="305" t="s">
        <v>469</v>
      </c>
      <c r="B109" s="153" t="s">
        <v>21</v>
      </c>
      <c r="C109" s="153">
        <v>1440</v>
      </c>
      <c r="D109" s="153">
        <v>246</v>
      </c>
      <c r="E109" s="153">
        <v>5</v>
      </c>
      <c r="F109" s="153"/>
      <c r="G109" s="244">
        <f t="shared" si="2"/>
        <v>5</v>
      </c>
      <c r="H109" s="262" t="s">
        <v>1872</v>
      </c>
      <c r="I109" s="380" t="s">
        <v>467</v>
      </c>
    </row>
    <row r="110" spans="1:9" x14ac:dyDescent="0.25">
      <c r="A110" s="305"/>
      <c r="B110" s="152" t="s">
        <v>22</v>
      </c>
      <c r="C110" s="152">
        <v>1440</v>
      </c>
      <c r="D110" s="152">
        <v>286</v>
      </c>
      <c r="E110" s="152">
        <v>5</v>
      </c>
      <c r="F110" s="152">
        <v>1</v>
      </c>
      <c r="G110" s="245">
        <f t="shared" si="2"/>
        <v>4</v>
      </c>
      <c r="H110" s="248" t="s">
        <v>1873</v>
      </c>
      <c r="I110" s="381"/>
    </row>
    <row r="111" spans="1:9" x14ac:dyDescent="0.25">
      <c r="A111" s="305"/>
      <c r="B111" s="152" t="s">
        <v>18</v>
      </c>
      <c r="C111" s="152">
        <v>1440</v>
      </c>
      <c r="D111" s="152">
        <v>315</v>
      </c>
      <c r="E111" s="152">
        <v>5</v>
      </c>
      <c r="F111" s="152"/>
      <c r="G111" s="245">
        <f t="shared" si="2"/>
        <v>5</v>
      </c>
      <c r="H111" s="248" t="s">
        <v>1874</v>
      </c>
      <c r="I111" s="381"/>
    </row>
    <row r="112" spans="1:9" x14ac:dyDescent="0.25">
      <c r="A112" s="305"/>
      <c r="B112" s="152" t="s">
        <v>19</v>
      </c>
      <c r="C112" s="152">
        <v>1440</v>
      </c>
      <c r="D112" s="152">
        <v>455</v>
      </c>
      <c r="E112" s="152">
        <v>5</v>
      </c>
      <c r="F112" s="152">
        <v>1</v>
      </c>
      <c r="G112" s="245">
        <f t="shared" si="2"/>
        <v>4</v>
      </c>
      <c r="H112" s="248" t="s">
        <v>1875</v>
      </c>
      <c r="I112" s="381"/>
    </row>
    <row r="113" spans="1:9" x14ac:dyDescent="0.25">
      <c r="A113" s="305"/>
      <c r="B113" s="152" t="s">
        <v>0</v>
      </c>
      <c r="C113" s="152">
        <v>1440</v>
      </c>
      <c r="D113" s="152">
        <v>565</v>
      </c>
      <c r="E113" s="152">
        <v>5</v>
      </c>
      <c r="F113" s="152"/>
      <c r="G113" s="245">
        <f t="shared" si="2"/>
        <v>5</v>
      </c>
      <c r="H113" s="248" t="s">
        <v>1876</v>
      </c>
      <c r="I113" s="381"/>
    </row>
    <row r="114" spans="1:9" x14ac:dyDescent="0.25">
      <c r="A114" s="305"/>
      <c r="B114" s="152" t="s">
        <v>1</v>
      </c>
      <c r="C114" s="152">
        <v>1440</v>
      </c>
      <c r="D114" s="152">
        <v>893</v>
      </c>
      <c r="E114" s="152">
        <v>4</v>
      </c>
      <c r="F114" s="152">
        <v>1</v>
      </c>
      <c r="G114" s="245">
        <f t="shared" si="2"/>
        <v>3</v>
      </c>
      <c r="H114" s="248" t="s">
        <v>1877</v>
      </c>
      <c r="I114" s="381"/>
    </row>
    <row r="115" spans="1:9" ht="15.75" thickBot="1" x14ac:dyDescent="0.3">
      <c r="A115" s="319"/>
      <c r="B115" s="152" t="s">
        <v>2</v>
      </c>
      <c r="C115" s="152">
        <v>288</v>
      </c>
      <c r="D115" s="152">
        <v>610</v>
      </c>
      <c r="E115" s="152">
        <v>4</v>
      </c>
      <c r="F115" s="126"/>
      <c r="G115" s="246">
        <f t="shared" si="2"/>
        <v>4</v>
      </c>
      <c r="H115" s="249" t="s">
        <v>1878</v>
      </c>
      <c r="I115" s="382"/>
    </row>
    <row r="116" spans="1:9" ht="15.75" thickTop="1" x14ac:dyDescent="0.25">
      <c r="A116" s="304" t="s">
        <v>468</v>
      </c>
      <c r="B116" s="151" t="s">
        <v>21</v>
      </c>
      <c r="C116" s="151">
        <v>1440</v>
      </c>
      <c r="D116" s="151">
        <v>369</v>
      </c>
      <c r="E116" s="151">
        <f>2+3</f>
        <v>5</v>
      </c>
      <c r="F116" s="151"/>
      <c r="G116" s="243">
        <f t="shared" si="2"/>
        <v>5</v>
      </c>
      <c r="H116" s="262" t="s">
        <v>1879</v>
      </c>
      <c r="I116" s="380" t="s">
        <v>410</v>
      </c>
    </row>
    <row r="117" spans="1:9" x14ac:dyDescent="0.25">
      <c r="A117" s="305"/>
      <c r="B117" s="152" t="s">
        <v>22</v>
      </c>
      <c r="C117" s="152">
        <v>1440</v>
      </c>
      <c r="D117" s="152">
        <v>490</v>
      </c>
      <c r="E117" s="152">
        <f>2+3</f>
        <v>5</v>
      </c>
      <c r="F117" s="152"/>
      <c r="G117" s="245">
        <f t="shared" si="2"/>
        <v>5</v>
      </c>
      <c r="H117" s="248" t="s">
        <v>1880</v>
      </c>
      <c r="I117" s="381"/>
    </row>
    <row r="118" spans="1:9" x14ac:dyDescent="0.25">
      <c r="A118" s="305"/>
      <c r="B118" s="152" t="s">
        <v>18</v>
      </c>
      <c r="C118" s="152">
        <v>1440</v>
      </c>
      <c r="D118" s="152">
        <v>545</v>
      </c>
      <c r="E118" s="152">
        <f>2+3</f>
        <v>5</v>
      </c>
      <c r="F118" s="152">
        <v>1</v>
      </c>
      <c r="G118" s="245">
        <f t="shared" si="2"/>
        <v>4</v>
      </c>
      <c r="H118" s="248" t="s">
        <v>1881</v>
      </c>
      <c r="I118" s="381"/>
    </row>
    <row r="119" spans="1:9" x14ac:dyDescent="0.25">
      <c r="A119" s="305"/>
      <c r="B119" s="152" t="s">
        <v>19</v>
      </c>
      <c r="C119" s="152">
        <v>1440</v>
      </c>
      <c r="D119" s="152">
        <v>749</v>
      </c>
      <c r="E119" s="152">
        <f>2+3</f>
        <v>5</v>
      </c>
      <c r="F119" s="152">
        <v>1</v>
      </c>
      <c r="G119" s="245">
        <f t="shared" si="2"/>
        <v>4</v>
      </c>
      <c r="H119" s="248" t="s">
        <v>1882</v>
      </c>
      <c r="I119" s="381"/>
    </row>
    <row r="120" spans="1:9" x14ac:dyDescent="0.25">
      <c r="A120" s="305"/>
      <c r="B120" s="152" t="s">
        <v>0</v>
      </c>
      <c r="C120" s="152">
        <v>1440</v>
      </c>
      <c r="D120" s="152">
        <v>1013</v>
      </c>
      <c r="E120" s="152">
        <f>2+3</f>
        <v>5</v>
      </c>
      <c r="F120" s="152">
        <v>1</v>
      </c>
      <c r="G120" s="245">
        <f t="shared" si="2"/>
        <v>4</v>
      </c>
      <c r="H120" s="248" t="s">
        <v>1883</v>
      </c>
      <c r="I120" s="381"/>
    </row>
    <row r="121" spans="1:9" ht="15.75" thickBot="1" x14ac:dyDescent="0.3">
      <c r="A121" s="305"/>
      <c r="B121" s="152" t="s">
        <v>1</v>
      </c>
      <c r="C121" s="152">
        <v>1440</v>
      </c>
      <c r="D121" s="152">
        <v>1513</v>
      </c>
      <c r="E121" s="152">
        <v>2</v>
      </c>
      <c r="F121" s="152">
        <f>1+1</f>
        <v>2</v>
      </c>
      <c r="G121" s="245">
        <f t="shared" si="2"/>
        <v>0</v>
      </c>
      <c r="H121" s="249" t="s">
        <v>1884</v>
      </c>
      <c r="I121" s="381"/>
    </row>
    <row r="122" spans="1:9" ht="16.5" thickTop="1" thickBot="1" x14ac:dyDescent="0.3">
      <c r="A122" s="31" t="s">
        <v>187</v>
      </c>
      <c r="B122" s="31" t="s">
        <v>21</v>
      </c>
      <c r="C122" s="31">
        <v>1440</v>
      </c>
      <c r="D122" s="31">
        <v>319</v>
      </c>
      <c r="E122" s="31">
        <f>20</f>
        <v>20</v>
      </c>
      <c r="F122" s="31">
        <f>1+1</f>
        <v>2</v>
      </c>
      <c r="G122" s="256">
        <f t="shared" si="2"/>
        <v>18</v>
      </c>
      <c r="H122" s="277" t="s">
        <v>1768</v>
      </c>
      <c r="I122" s="266" t="s">
        <v>413</v>
      </c>
    </row>
    <row r="123" spans="1:9" ht="15.75" thickTop="1" x14ac:dyDescent="0.25"/>
  </sheetData>
  <mergeCells count="35">
    <mergeCell ref="I51:I59"/>
    <mergeCell ref="I60:I66"/>
    <mergeCell ref="I67:I75"/>
    <mergeCell ref="I109:I115"/>
    <mergeCell ref="I116:I121"/>
    <mergeCell ref="I76:I80"/>
    <mergeCell ref="I81:I87"/>
    <mergeCell ref="I88:I94"/>
    <mergeCell ref="I95:I103"/>
    <mergeCell ref="I104:I108"/>
    <mergeCell ref="A36:A42"/>
    <mergeCell ref="A43:A50"/>
    <mergeCell ref="I3:I9"/>
    <mergeCell ref="I10:I12"/>
    <mergeCell ref="I13:I19"/>
    <mergeCell ref="I20:I27"/>
    <mergeCell ref="I28:I35"/>
    <mergeCell ref="I36:I42"/>
    <mergeCell ref="I43:I50"/>
    <mergeCell ref="A1:D1"/>
    <mergeCell ref="A60:A66"/>
    <mergeCell ref="A116:A121"/>
    <mergeCell ref="A13:A19"/>
    <mergeCell ref="A28:A35"/>
    <mergeCell ref="A51:A59"/>
    <mergeCell ref="A67:A75"/>
    <mergeCell ref="A81:A87"/>
    <mergeCell ref="A95:A103"/>
    <mergeCell ref="A109:A115"/>
    <mergeCell ref="A76:A80"/>
    <mergeCell ref="A104:A108"/>
    <mergeCell ref="A88:A94"/>
    <mergeCell ref="A3:A9"/>
    <mergeCell ref="A10:A12"/>
    <mergeCell ref="A20:A27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780"/>
  <sheetViews>
    <sheetView topLeftCell="A322" workbookViewId="0">
      <pane xSplit="19980"/>
      <selection activeCell="A322" sqref="A322"/>
      <selection pane="topRight" activeCell="P793" sqref="P793"/>
    </sheetView>
  </sheetViews>
  <sheetFormatPr defaultRowHeight="15" x14ac:dyDescent="0.25"/>
  <cols>
    <col min="1" max="1" width="24.140625" customWidth="1"/>
    <col min="2" max="2" width="19.85546875" customWidth="1"/>
    <col min="4" max="4" width="13" customWidth="1"/>
    <col min="5" max="5" width="12.85546875" customWidth="1"/>
    <col min="6" max="6" width="11.140625" customWidth="1"/>
    <col min="8" max="8" width="10.7109375" customWidth="1"/>
    <col min="9" max="9" width="11.42578125" customWidth="1"/>
    <col min="11" max="11" width="14.5703125" customWidth="1"/>
  </cols>
  <sheetData>
    <row r="1" spans="1:13" ht="15.75" thickBot="1" x14ac:dyDescent="0.3"/>
    <row r="2" spans="1:13" ht="49.5" customHeight="1" thickTop="1" thickBot="1" x14ac:dyDescent="0.3">
      <c r="A2" s="179" t="s">
        <v>16</v>
      </c>
      <c r="B2" s="179" t="s">
        <v>64</v>
      </c>
      <c r="C2" s="179" t="s">
        <v>17</v>
      </c>
      <c r="D2" s="179" t="s">
        <v>124</v>
      </c>
      <c r="E2" s="179" t="s">
        <v>63</v>
      </c>
      <c r="F2" s="179" t="s">
        <v>86</v>
      </c>
      <c r="G2" s="179" t="s">
        <v>87</v>
      </c>
      <c r="H2" s="179" t="s">
        <v>88</v>
      </c>
      <c r="I2" s="161"/>
      <c r="J2" s="161"/>
      <c r="K2" s="161"/>
    </row>
    <row r="3" spans="1:13" ht="14.25" customHeight="1" thickTop="1" x14ac:dyDescent="0.25">
      <c r="A3" s="359" t="s">
        <v>223</v>
      </c>
      <c r="B3" s="307" t="s">
        <v>32</v>
      </c>
      <c r="C3" s="112" t="s">
        <v>72</v>
      </c>
      <c r="D3" s="111">
        <v>11</v>
      </c>
      <c r="E3" s="112">
        <v>72</v>
      </c>
      <c r="F3" s="112">
        <f>1742+72+72</f>
        <v>1886</v>
      </c>
      <c r="G3" s="112"/>
      <c r="H3" s="112">
        <f>F3-G3</f>
        <v>1886</v>
      </c>
      <c r="I3" s="161" t="s">
        <v>567</v>
      </c>
      <c r="J3" s="161"/>
      <c r="K3" s="161"/>
      <c r="L3" s="161"/>
      <c r="M3" s="161"/>
    </row>
    <row r="4" spans="1:13" ht="12.75" customHeight="1" x14ac:dyDescent="0.25">
      <c r="A4" s="360"/>
      <c r="B4" s="308"/>
      <c r="C4" s="114" t="s">
        <v>30</v>
      </c>
      <c r="D4" s="113">
        <v>13</v>
      </c>
      <c r="E4" s="114">
        <v>36</v>
      </c>
      <c r="F4" s="114">
        <f>540+28+602</f>
        <v>1170</v>
      </c>
      <c r="G4" s="114"/>
      <c r="H4" s="114">
        <f>F4-G4</f>
        <v>1170</v>
      </c>
      <c r="I4" s="161" t="s">
        <v>568</v>
      </c>
      <c r="J4" s="161"/>
      <c r="K4" s="161"/>
      <c r="L4" s="161"/>
      <c r="M4" s="161"/>
    </row>
    <row r="5" spans="1:13" ht="12.75" customHeight="1" x14ac:dyDescent="0.25">
      <c r="A5" s="360"/>
      <c r="B5" s="308"/>
      <c r="C5" s="114" t="s">
        <v>66</v>
      </c>
      <c r="D5" s="113">
        <v>17</v>
      </c>
      <c r="E5" s="114">
        <v>24</v>
      </c>
      <c r="F5" s="114">
        <v>320</v>
      </c>
      <c r="G5" s="114"/>
      <c r="H5" s="114">
        <f t="shared" ref="H5:H7" si="0">F5-G5</f>
        <v>320</v>
      </c>
      <c r="I5" s="161" t="s">
        <v>569</v>
      </c>
      <c r="J5" s="161"/>
      <c r="K5" s="161"/>
      <c r="L5" s="161"/>
      <c r="M5" s="161"/>
    </row>
    <row r="6" spans="1:13" ht="14.25" customHeight="1" x14ac:dyDescent="0.25">
      <c r="A6" s="360"/>
      <c r="B6" s="308"/>
      <c r="C6" s="114" t="s">
        <v>69</v>
      </c>
      <c r="D6" s="113">
        <v>20</v>
      </c>
      <c r="E6" s="114">
        <v>18</v>
      </c>
      <c r="F6" s="114">
        <v>179</v>
      </c>
      <c r="G6" s="114">
        <v>18</v>
      </c>
      <c r="H6" s="114">
        <f t="shared" si="0"/>
        <v>161</v>
      </c>
      <c r="I6" s="161" t="s">
        <v>569</v>
      </c>
      <c r="J6" s="161"/>
      <c r="K6" s="161"/>
      <c r="L6" s="161"/>
      <c r="M6" s="161"/>
    </row>
    <row r="7" spans="1:13" ht="14.25" customHeight="1" x14ac:dyDescent="0.25">
      <c r="A7" s="360"/>
      <c r="B7" s="308"/>
      <c r="C7" s="114" t="s">
        <v>311</v>
      </c>
      <c r="D7" s="113">
        <v>46</v>
      </c>
      <c r="E7" s="114">
        <v>12</v>
      </c>
      <c r="F7" s="114">
        <f>92+12</f>
        <v>104</v>
      </c>
      <c r="G7" s="114"/>
      <c r="H7" s="114">
        <f t="shared" si="0"/>
        <v>104</v>
      </c>
      <c r="I7" s="161" t="s">
        <v>569</v>
      </c>
      <c r="J7" s="161"/>
      <c r="K7" s="161"/>
      <c r="L7" s="161"/>
      <c r="M7" s="161"/>
    </row>
    <row r="8" spans="1:13" ht="14.25" customHeight="1" x14ac:dyDescent="0.25">
      <c r="A8" s="360"/>
      <c r="B8" s="357"/>
      <c r="C8" s="114" t="s">
        <v>67</v>
      </c>
      <c r="D8" s="113">
        <v>55</v>
      </c>
      <c r="E8" s="114">
        <v>12</v>
      </c>
      <c r="F8" s="114">
        <f>46+10</f>
        <v>56</v>
      </c>
      <c r="G8" s="114"/>
      <c r="H8" s="114">
        <f t="shared" ref="H8:H11" si="1">F8-G8</f>
        <v>56</v>
      </c>
      <c r="I8" s="161" t="s">
        <v>569</v>
      </c>
      <c r="J8" s="161"/>
      <c r="K8" s="161"/>
      <c r="L8" s="161"/>
      <c r="M8" s="161"/>
    </row>
    <row r="9" spans="1:13" ht="14.25" customHeight="1" x14ac:dyDescent="0.25">
      <c r="A9" s="360"/>
      <c r="B9" s="356" t="s">
        <v>60</v>
      </c>
      <c r="C9" s="114" t="s">
        <v>74</v>
      </c>
      <c r="D9" s="113">
        <v>20</v>
      </c>
      <c r="E9" s="114">
        <v>63</v>
      </c>
      <c r="F9" s="114">
        <f>252+62+62+63</f>
        <v>439</v>
      </c>
      <c r="G9" s="114"/>
      <c r="H9" s="114">
        <f t="shared" si="1"/>
        <v>439</v>
      </c>
      <c r="I9" s="161" t="s">
        <v>567</v>
      </c>
      <c r="J9" s="161"/>
      <c r="K9" s="161"/>
      <c r="L9" s="161"/>
      <c r="M9" s="161"/>
    </row>
    <row r="10" spans="1:13" ht="14.25" customHeight="1" x14ac:dyDescent="0.25">
      <c r="A10" s="360"/>
      <c r="B10" s="308"/>
      <c r="C10" s="114" t="s">
        <v>59</v>
      </c>
      <c r="D10" s="113">
        <v>22</v>
      </c>
      <c r="E10" s="114">
        <v>36</v>
      </c>
      <c r="F10" s="114">
        <v>360</v>
      </c>
      <c r="G10" s="114"/>
      <c r="H10" s="114">
        <f t="shared" si="1"/>
        <v>360</v>
      </c>
      <c r="I10" s="161" t="s">
        <v>567</v>
      </c>
      <c r="J10" s="161"/>
      <c r="K10" s="161"/>
      <c r="L10" s="161"/>
      <c r="M10" s="161"/>
    </row>
    <row r="11" spans="1:13" ht="14.25" customHeight="1" x14ac:dyDescent="0.25">
      <c r="A11" s="360"/>
      <c r="B11" s="308"/>
      <c r="C11" s="114" t="s">
        <v>69</v>
      </c>
      <c r="D11" s="113">
        <v>33</v>
      </c>
      <c r="E11" s="114">
        <v>18</v>
      </c>
      <c r="F11" s="114">
        <f>24+182</f>
        <v>206</v>
      </c>
      <c r="G11" s="114"/>
      <c r="H11" s="114">
        <f t="shared" si="1"/>
        <v>206</v>
      </c>
      <c r="I11" s="161" t="s">
        <v>569</v>
      </c>
      <c r="J11" s="161"/>
      <c r="K11" s="161"/>
      <c r="L11" s="161"/>
      <c r="M11" s="161"/>
    </row>
    <row r="12" spans="1:13" ht="14.25" customHeight="1" x14ac:dyDescent="0.25">
      <c r="A12" s="360"/>
      <c r="B12" s="357"/>
      <c r="C12" s="114" t="s">
        <v>150</v>
      </c>
      <c r="D12" s="113">
        <v>45</v>
      </c>
      <c r="E12" s="114">
        <v>12</v>
      </c>
      <c r="F12" s="114">
        <v>11</v>
      </c>
      <c r="G12" s="114"/>
      <c r="H12" s="114">
        <f>F12-G12</f>
        <v>11</v>
      </c>
      <c r="I12" s="161" t="s">
        <v>567</v>
      </c>
      <c r="J12" s="161"/>
      <c r="K12" s="161"/>
      <c r="L12" s="161"/>
      <c r="M12" s="161"/>
    </row>
    <row r="13" spans="1:13" ht="14.25" customHeight="1" x14ac:dyDescent="0.25">
      <c r="A13" s="360"/>
      <c r="B13" s="356" t="s">
        <v>58</v>
      </c>
      <c r="C13" s="114" t="s">
        <v>71</v>
      </c>
      <c r="D13" s="113">
        <v>7</v>
      </c>
      <c r="E13" s="114">
        <v>84</v>
      </c>
      <c r="F13" s="114">
        <v>651</v>
      </c>
      <c r="G13" s="114"/>
      <c r="H13" s="114">
        <f t="shared" ref="H13:H33" si="2">F13-G13</f>
        <v>651</v>
      </c>
      <c r="I13" s="161" t="s">
        <v>567</v>
      </c>
      <c r="J13" s="161"/>
      <c r="K13" s="161"/>
      <c r="L13" s="161"/>
      <c r="M13" s="161"/>
    </row>
    <row r="14" spans="1:13" ht="14.25" customHeight="1" x14ac:dyDescent="0.25">
      <c r="A14" s="360"/>
      <c r="B14" s="308"/>
      <c r="C14" s="114" t="s">
        <v>50</v>
      </c>
      <c r="D14" s="113">
        <v>8</v>
      </c>
      <c r="E14" s="114">
        <v>45</v>
      </c>
      <c r="F14" s="114">
        <f>864+90</f>
        <v>954</v>
      </c>
      <c r="G14" s="114"/>
      <c r="H14" s="114">
        <f t="shared" si="2"/>
        <v>954</v>
      </c>
      <c r="I14" s="161" t="s">
        <v>567</v>
      </c>
      <c r="J14" s="161"/>
      <c r="K14" s="161"/>
      <c r="L14" s="137"/>
      <c r="M14" s="161"/>
    </row>
    <row r="15" spans="1:13" ht="14.25" customHeight="1" x14ac:dyDescent="0.25">
      <c r="A15" s="360"/>
      <c r="B15" s="308"/>
      <c r="C15" s="114" t="s">
        <v>55</v>
      </c>
      <c r="D15" s="113">
        <v>10</v>
      </c>
      <c r="E15" s="114">
        <v>40</v>
      </c>
      <c r="F15" s="114">
        <f>37+110+40</f>
        <v>187</v>
      </c>
      <c r="G15" s="114"/>
      <c r="H15" s="114">
        <f t="shared" si="2"/>
        <v>187</v>
      </c>
      <c r="I15" s="161" t="s">
        <v>567</v>
      </c>
      <c r="J15" s="161"/>
      <c r="K15" s="161"/>
      <c r="L15" s="137"/>
      <c r="M15" s="161"/>
    </row>
    <row r="16" spans="1:13" ht="14.25" customHeight="1" x14ac:dyDescent="0.25">
      <c r="A16" s="360"/>
      <c r="B16" s="308"/>
      <c r="C16" s="114" t="s">
        <v>54</v>
      </c>
      <c r="D16" s="113">
        <v>13</v>
      </c>
      <c r="E16" s="114">
        <v>28</v>
      </c>
      <c r="F16" s="114">
        <v>140</v>
      </c>
      <c r="G16" s="114"/>
      <c r="H16" s="114">
        <f t="shared" si="2"/>
        <v>140</v>
      </c>
      <c r="I16" s="161" t="s">
        <v>567</v>
      </c>
      <c r="J16" s="161"/>
      <c r="K16" s="161"/>
      <c r="L16" s="137"/>
      <c r="M16" s="161"/>
    </row>
    <row r="17" spans="1:13" ht="14.25" customHeight="1" x14ac:dyDescent="0.25">
      <c r="A17" s="360"/>
      <c r="B17" s="308"/>
      <c r="C17" s="114" t="s">
        <v>53</v>
      </c>
      <c r="D17" s="113">
        <v>15</v>
      </c>
      <c r="E17" s="114">
        <v>24</v>
      </c>
      <c r="F17" s="114">
        <f>24+120</f>
        <v>144</v>
      </c>
      <c r="G17" s="114"/>
      <c r="H17" s="114">
        <f t="shared" si="2"/>
        <v>144</v>
      </c>
      <c r="I17" s="161" t="s">
        <v>567</v>
      </c>
      <c r="J17" s="161"/>
      <c r="K17" s="161"/>
      <c r="L17" s="137"/>
      <c r="M17" s="161"/>
    </row>
    <row r="18" spans="1:13" ht="14.25" customHeight="1" x14ac:dyDescent="0.25">
      <c r="A18" s="360"/>
      <c r="B18" s="152" t="s">
        <v>188</v>
      </c>
      <c r="C18" s="152" t="s">
        <v>30</v>
      </c>
      <c r="D18" s="105">
        <v>10</v>
      </c>
      <c r="E18" s="152">
        <v>36</v>
      </c>
      <c r="F18" s="152">
        <v>592</v>
      </c>
      <c r="G18" s="114"/>
      <c r="H18" s="114">
        <f t="shared" si="2"/>
        <v>592</v>
      </c>
      <c r="I18" s="161" t="s">
        <v>567</v>
      </c>
      <c r="J18" s="161"/>
      <c r="K18" s="161"/>
      <c r="L18" s="137"/>
      <c r="M18" s="161"/>
    </row>
    <row r="19" spans="1:13" ht="14.25" customHeight="1" x14ac:dyDescent="0.25">
      <c r="A19" s="360"/>
      <c r="B19" s="356" t="s">
        <v>31</v>
      </c>
      <c r="C19" s="114" t="s">
        <v>51</v>
      </c>
      <c r="D19" s="113">
        <v>11</v>
      </c>
      <c r="E19" s="114">
        <v>48</v>
      </c>
      <c r="F19" s="114">
        <f>192+48+48</f>
        <v>288</v>
      </c>
      <c r="G19" s="114"/>
      <c r="H19" s="114">
        <f t="shared" si="2"/>
        <v>288</v>
      </c>
      <c r="I19" s="161" t="s">
        <v>567</v>
      </c>
      <c r="J19" s="161"/>
      <c r="K19" s="161"/>
      <c r="L19" s="137"/>
      <c r="M19" s="161"/>
    </row>
    <row r="20" spans="1:13" ht="14.25" customHeight="1" x14ac:dyDescent="0.25">
      <c r="A20" s="360"/>
      <c r="B20" s="308"/>
      <c r="C20" s="114" t="s">
        <v>321</v>
      </c>
      <c r="D20" s="113">
        <v>20</v>
      </c>
      <c r="E20" s="114">
        <v>28</v>
      </c>
      <c r="F20" s="114">
        <f>28+74</f>
        <v>102</v>
      </c>
      <c r="G20" s="114">
        <v>28</v>
      </c>
      <c r="H20" s="114">
        <f t="shared" si="2"/>
        <v>74</v>
      </c>
      <c r="I20" s="161" t="s">
        <v>569</v>
      </c>
      <c r="J20" s="161"/>
      <c r="K20" s="161"/>
      <c r="L20" s="137"/>
      <c r="M20" s="161"/>
    </row>
    <row r="21" spans="1:13" ht="14.25" customHeight="1" x14ac:dyDescent="0.25">
      <c r="A21" s="360"/>
      <c r="B21" s="308"/>
      <c r="C21" s="114" t="s">
        <v>29</v>
      </c>
      <c r="D21" s="113">
        <v>29</v>
      </c>
      <c r="E21" s="114">
        <v>24</v>
      </c>
      <c r="F21" s="114">
        <f>511</f>
        <v>511</v>
      </c>
      <c r="G21" s="114"/>
      <c r="H21" s="114">
        <f t="shared" si="2"/>
        <v>511</v>
      </c>
      <c r="I21" s="161" t="s">
        <v>569</v>
      </c>
      <c r="J21" s="161"/>
      <c r="K21" s="161"/>
      <c r="L21" s="137"/>
      <c r="M21" s="161"/>
    </row>
    <row r="22" spans="1:13" ht="14.25" customHeight="1" x14ac:dyDescent="0.25">
      <c r="A22" s="360"/>
      <c r="B22" s="308"/>
      <c r="C22" s="114" t="s">
        <v>328</v>
      </c>
      <c r="D22" s="113">
        <v>35</v>
      </c>
      <c r="E22" s="114">
        <v>15</v>
      </c>
      <c r="F22" s="114">
        <f>75+35+15</f>
        <v>125</v>
      </c>
      <c r="G22" s="114"/>
      <c r="H22" s="114">
        <f t="shared" si="2"/>
        <v>125</v>
      </c>
      <c r="I22" s="161" t="s">
        <v>569</v>
      </c>
      <c r="J22" s="161"/>
      <c r="K22" s="161"/>
      <c r="L22" s="137"/>
      <c r="M22" s="161"/>
    </row>
    <row r="23" spans="1:13" ht="14.25" customHeight="1" x14ac:dyDescent="0.25">
      <c r="A23" s="360"/>
      <c r="B23" s="308"/>
      <c r="C23" s="114" t="s">
        <v>322</v>
      </c>
      <c r="D23" s="113">
        <v>58</v>
      </c>
      <c r="E23" s="114">
        <v>8</v>
      </c>
      <c r="F23" s="114">
        <f>8+144</f>
        <v>152</v>
      </c>
      <c r="G23" s="114"/>
      <c r="H23" s="114">
        <f t="shared" si="2"/>
        <v>152</v>
      </c>
      <c r="I23" s="161" t="s">
        <v>569</v>
      </c>
      <c r="J23" s="161"/>
      <c r="K23" s="161"/>
      <c r="L23" s="137"/>
      <c r="M23" s="161"/>
    </row>
    <row r="24" spans="1:13" ht="14.25" customHeight="1" x14ac:dyDescent="0.25">
      <c r="A24" s="360"/>
      <c r="B24" s="357"/>
      <c r="C24" s="114" t="s">
        <v>312</v>
      </c>
      <c r="D24" s="113">
        <v>37</v>
      </c>
      <c r="E24" s="114">
        <v>8</v>
      </c>
      <c r="F24" s="114"/>
      <c r="G24" s="114"/>
      <c r="H24" s="114">
        <f t="shared" si="2"/>
        <v>0</v>
      </c>
      <c r="I24" s="161"/>
      <c r="J24" s="161"/>
      <c r="K24" s="161"/>
      <c r="L24" s="137"/>
      <c r="M24" s="161"/>
    </row>
    <row r="25" spans="1:13" ht="14.25" customHeight="1" x14ac:dyDescent="0.25">
      <c r="A25" s="360"/>
      <c r="B25" s="356" t="s">
        <v>49</v>
      </c>
      <c r="C25" s="114" t="s">
        <v>72</v>
      </c>
      <c r="D25" s="113">
        <v>12</v>
      </c>
      <c r="E25" s="114">
        <v>72</v>
      </c>
      <c r="F25" s="114">
        <f>144+72</f>
        <v>216</v>
      </c>
      <c r="G25" s="114"/>
      <c r="H25" s="114">
        <f t="shared" si="2"/>
        <v>216</v>
      </c>
      <c r="I25" s="161" t="s">
        <v>567</v>
      </c>
      <c r="J25" s="161"/>
      <c r="K25" s="161"/>
      <c r="L25" s="137"/>
      <c r="M25" s="161"/>
    </row>
    <row r="26" spans="1:13" ht="14.25" customHeight="1" x14ac:dyDescent="0.25">
      <c r="A26" s="360"/>
      <c r="B26" s="308"/>
      <c r="C26" s="114" t="s">
        <v>73</v>
      </c>
      <c r="D26" s="113">
        <v>17</v>
      </c>
      <c r="E26" s="114">
        <v>48</v>
      </c>
      <c r="F26" s="114">
        <f>1152+566</f>
        <v>1718</v>
      </c>
      <c r="G26" s="114"/>
      <c r="H26" s="114">
        <f t="shared" si="2"/>
        <v>1718</v>
      </c>
      <c r="I26" s="161" t="s">
        <v>570</v>
      </c>
      <c r="J26" s="161"/>
      <c r="K26" s="161"/>
      <c r="L26" s="137"/>
      <c r="M26" s="161"/>
    </row>
    <row r="27" spans="1:13" ht="14.25" customHeight="1" x14ac:dyDescent="0.25">
      <c r="A27" s="360"/>
      <c r="B27" s="308"/>
      <c r="C27" s="114" t="s">
        <v>48</v>
      </c>
      <c r="D27" s="113">
        <v>28</v>
      </c>
      <c r="E27" s="114">
        <v>24</v>
      </c>
      <c r="F27" s="114">
        <f>24+374</f>
        <v>398</v>
      </c>
      <c r="G27" s="114"/>
      <c r="H27" s="114">
        <f t="shared" si="2"/>
        <v>398</v>
      </c>
      <c r="I27" s="161" t="s">
        <v>571</v>
      </c>
      <c r="J27" s="161"/>
      <c r="K27" s="161"/>
      <c r="L27" s="137"/>
      <c r="M27" s="161"/>
    </row>
    <row r="28" spans="1:13" ht="14.25" customHeight="1" x14ac:dyDescent="0.25">
      <c r="A28" s="360"/>
      <c r="B28" s="357"/>
      <c r="C28" s="114" t="s">
        <v>486</v>
      </c>
      <c r="D28" s="113">
        <v>49</v>
      </c>
      <c r="E28" s="114">
        <v>12</v>
      </c>
      <c r="F28" s="114">
        <v>134</v>
      </c>
      <c r="G28" s="114"/>
      <c r="H28" s="114">
        <f t="shared" si="2"/>
        <v>134</v>
      </c>
      <c r="I28" s="161" t="s">
        <v>569</v>
      </c>
      <c r="J28" s="161"/>
      <c r="K28" s="161"/>
      <c r="L28" s="161"/>
      <c r="M28" s="161"/>
    </row>
    <row r="29" spans="1:13" ht="14.25" customHeight="1" x14ac:dyDescent="0.25">
      <c r="A29" s="360"/>
      <c r="B29" s="152" t="s">
        <v>56</v>
      </c>
      <c r="C29" s="152" t="s">
        <v>53</v>
      </c>
      <c r="D29" s="113">
        <v>21</v>
      </c>
      <c r="E29" s="114">
        <v>18</v>
      </c>
      <c r="F29" s="114">
        <v>18</v>
      </c>
      <c r="G29" s="114"/>
      <c r="H29" s="114">
        <f t="shared" si="2"/>
        <v>18</v>
      </c>
      <c r="I29" s="161" t="s">
        <v>567</v>
      </c>
      <c r="J29" s="161"/>
      <c r="K29" s="161"/>
      <c r="L29" s="161"/>
      <c r="M29" s="161"/>
    </row>
    <row r="30" spans="1:13" ht="14.25" customHeight="1" x14ac:dyDescent="0.25">
      <c r="A30" s="360"/>
      <c r="B30" s="154" t="s">
        <v>68</v>
      </c>
      <c r="C30" s="152" t="s">
        <v>55</v>
      </c>
      <c r="D30" s="113">
        <v>15</v>
      </c>
      <c r="E30" s="114">
        <v>28</v>
      </c>
      <c r="F30" s="114">
        <f>224+28</f>
        <v>252</v>
      </c>
      <c r="G30" s="114"/>
      <c r="H30" s="114">
        <f t="shared" si="2"/>
        <v>252</v>
      </c>
      <c r="I30" s="161" t="s">
        <v>567</v>
      </c>
      <c r="J30" s="161"/>
      <c r="K30" s="161"/>
      <c r="L30" s="161"/>
      <c r="M30" s="161"/>
    </row>
    <row r="31" spans="1:13" ht="14.25" customHeight="1" x14ac:dyDescent="0.25">
      <c r="A31" s="360"/>
      <c r="B31" s="154" t="s">
        <v>46</v>
      </c>
      <c r="C31" s="152" t="s">
        <v>45</v>
      </c>
      <c r="D31" s="113">
        <v>10</v>
      </c>
      <c r="E31" s="114">
        <v>48</v>
      </c>
      <c r="F31" s="114">
        <v>768</v>
      </c>
      <c r="G31" s="114"/>
      <c r="H31" s="114">
        <f t="shared" si="2"/>
        <v>768</v>
      </c>
      <c r="I31" s="161" t="s">
        <v>567</v>
      </c>
      <c r="J31" s="161"/>
      <c r="K31" s="161"/>
      <c r="L31" s="161"/>
      <c r="M31" s="161"/>
    </row>
    <row r="32" spans="1:13" ht="14.25" customHeight="1" x14ac:dyDescent="0.25">
      <c r="A32" s="360"/>
      <c r="B32" s="118" t="s">
        <v>52</v>
      </c>
      <c r="C32" s="114" t="s">
        <v>50</v>
      </c>
      <c r="D32" s="113">
        <v>10</v>
      </c>
      <c r="E32" s="114">
        <v>48</v>
      </c>
      <c r="F32" s="114">
        <v>192</v>
      </c>
      <c r="G32" s="114"/>
      <c r="H32" s="114">
        <f t="shared" si="2"/>
        <v>192</v>
      </c>
      <c r="I32" s="161" t="s">
        <v>567</v>
      </c>
      <c r="J32" s="161"/>
      <c r="K32" s="161"/>
      <c r="L32" s="137"/>
      <c r="M32" s="161"/>
    </row>
    <row r="33" spans="1:13" ht="14.25" customHeight="1" thickBot="1" x14ac:dyDescent="0.3">
      <c r="A33" s="361"/>
      <c r="B33" s="152" t="s">
        <v>138</v>
      </c>
      <c r="C33" s="152" t="s">
        <v>73</v>
      </c>
      <c r="D33" s="105">
        <v>11</v>
      </c>
      <c r="E33" s="152">
        <v>48</v>
      </c>
      <c r="F33" s="152">
        <v>465</v>
      </c>
      <c r="G33" s="114"/>
      <c r="H33" s="114">
        <f t="shared" si="2"/>
        <v>465</v>
      </c>
      <c r="I33" s="161" t="s">
        <v>567</v>
      </c>
      <c r="J33" s="161"/>
      <c r="K33" s="161"/>
      <c r="L33" s="137"/>
      <c r="M33" s="161"/>
    </row>
    <row r="34" spans="1:13" ht="15.75" thickTop="1" x14ac:dyDescent="0.25">
      <c r="A34" s="304" t="s">
        <v>62</v>
      </c>
      <c r="B34" s="304" t="s">
        <v>32</v>
      </c>
      <c r="C34" s="151" t="s">
        <v>61</v>
      </c>
      <c r="D34" s="108">
        <v>9</v>
      </c>
      <c r="E34" s="151">
        <v>130</v>
      </c>
      <c r="F34" s="151">
        <v>217</v>
      </c>
      <c r="G34" s="151"/>
      <c r="H34" s="151">
        <f>F34-G34</f>
        <v>217</v>
      </c>
      <c r="I34" s="161"/>
      <c r="J34" s="161"/>
      <c r="K34" s="161"/>
      <c r="L34" s="137"/>
      <c r="M34" s="161"/>
    </row>
    <row r="35" spans="1:13" x14ac:dyDescent="0.25">
      <c r="A35" s="305"/>
      <c r="B35" s="305"/>
      <c r="C35" s="153" t="s">
        <v>72</v>
      </c>
      <c r="D35" s="109">
        <v>17</v>
      </c>
      <c r="E35" s="153">
        <v>72</v>
      </c>
      <c r="F35" s="153">
        <f>2871+567+2860+576</f>
        <v>6874</v>
      </c>
      <c r="G35" s="153"/>
      <c r="H35" s="153">
        <f t="shared" ref="H35:H43" si="3">F35-G35</f>
        <v>6874</v>
      </c>
      <c r="I35" s="161"/>
      <c r="J35" s="161"/>
      <c r="K35" s="161"/>
      <c r="L35" s="137"/>
      <c r="M35" s="161"/>
    </row>
    <row r="36" spans="1:13" x14ac:dyDescent="0.25">
      <c r="A36" s="305"/>
      <c r="B36" s="305"/>
      <c r="C36" s="153" t="s">
        <v>30</v>
      </c>
      <c r="D36" s="109">
        <v>21</v>
      </c>
      <c r="E36" s="153">
        <v>36</v>
      </c>
      <c r="F36" s="153">
        <f>1690+288+2218</f>
        <v>4196</v>
      </c>
      <c r="G36" s="153"/>
      <c r="H36" s="153">
        <f t="shared" si="3"/>
        <v>4196</v>
      </c>
      <c r="I36" s="161"/>
      <c r="J36" s="161"/>
      <c r="K36" s="161"/>
      <c r="L36" s="137"/>
      <c r="M36" s="161"/>
    </row>
    <row r="37" spans="1:13" x14ac:dyDescent="0.25">
      <c r="A37" s="305"/>
      <c r="B37" s="305"/>
      <c r="C37" s="153" t="s">
        <v>66</v>
      </c>
      <c r="D37" s="109">
        <v>27</v>
      </c>
      <c r="E37" s="153">
        <v>24</v>
      </c>
      <c r="F37" s="153">
        <f>1112+234+168</f>
        <v>1514</v>
      </c>
      <c r="G37" s="153"/>
      <c r="H37" s="153">
        <f t="shared" si="3"/>
        <v>1514</v>
      </c>
      <c r="I37" s="161"/>
      <c r="J37" s="161"/>
      <c r="K37" s="161"/>
      <c r="L37" s="137"/>
      <c r="M37" s="161"/>
    </row>
    <row r="38" spans="1:13" x14ac:dyDescent="0.25">
      <c r="A38" s="305"/>
      <c r="B38" s="305"/>
      <c r="C38" s="153" t="s">
        <v>69</v>
      </c>
      <c r="D38" s="109">
        <v>38</v>
      </c>
      <c r="E38" s="153">
        <v>24</v>
      </c>
      <c r="F38" s="153">
        <f>877+49+983</f>
        <v>1909</v>
      </c>
      <c r="G38" s="153">
        <v>24</v>
      </c>
      <c r="H38" s="153">
        <f t="shared" si="3"/>
        <v>1885</v>
      </c>
      <c r="I38" s="161"/>
      <c r="J38" s="161"/>
      <c r="K38" s="161"/>
      <c r="L38" s="137"/>
      <c r="M38" s="161"/>
    </row>
    <row r="39" spans="1:13" x14ac:dyDescent="0.25">
      <c r="A39" s="305"/>
      <c r="B39" s="319"/>
      <c r="C39" s="153" t="s">
        <v>67</v>
      </c>
      <c r="D39" s="109">
        <v>47</v>
      </c>
      <c r="E39" s="153">
        <v>12</v>
      </c>
      <c r="F39" s="153">
        <v>36</v>
      </c>
      <c r="G39" s="153"/>
      <c r="H39" s="153">
        <f t="shared" si="3"/>
        <v>36</v>
      </c>
      <c r="I39" s="161"/>
      <c r="J39" s="161"/>
      <c r="K39" s="161"/>
      <c r="L39" s="137"/>
      <c r="M39" s="161"/>
    </row>
    <row r="40" spans="1:13" x14ac:dyDescent="0.25">
      <c r="A40" s="305"/>
      <c r="B40" s="320" t="s">
        <v>60</v>
      </c>
      <c r="C40" s="114" t="s">
        <v>42</v>
      </c>
      <c r="D40" s="113">
        <v>12</v>
      </c>
      <c r="E40" s="114">
        <v>130</v>
      </c>
      <c r="F40" s="153">
        <v>3505</v>
      </c>
      <c r="G40" s="153"/>
      <c r="H40" s="153">
        <f t="shared" si="3"/>
        <v>3505</v>
      </c>
      <c r="I40" s="161"/>
      <c r="J40" s="161"/>
      <c r="K40" s="161"/>
      <c r="L40" s="161"/>
      <c r="M40" s="161"/>
    </row>
    <row r="41" spans="1:13" x14ac:dyDescent="0.25">
      <c r="A41" s="305"/>
      <c r="B41" s="305"/>
      <c r="C41" s="114" t="s">
        <v>34</v>
      </c>
      <c r="D41" s="113">
        <v>16</v>
      </c>
      <c r="E41" s="114">
        <v>84</v>
      </c>
      <c r="F41" s="153">
        <f>757+756</f>
        <v>1513</v>
      </c>
      <c r="G41" s="153"/>
      <c r="H41" s="153">
        <f t="shared" si="3"/>
        <v>1513</v>
      </c>
      <c r="I41" s="161"/>
      <c r="J41" s="161"/>
      <c r="K41" s="161"/>
      <c r="L41" s="161"/>
      <c r="M41" s="161"/>
    </row>
    <row r="42" spans="1:13" x14ac:dyDescent="0.25">
      <c r="A42" s="305"/>
      <c r="B42" s="305"/>
      <c r="C42" s="114" t="s">
        <v>74</v>
      </c>
      <c r="D42" s="113">
        <v>19</v>
      </c>
      <c r="E42" s="114">
        <v>63</v>
      </c>
      <c r="F42" s="153">
        <f>4406+174+4390+504</f>
        <v>9474</v>
      </c>
      <c r="G42" s="153"/>
      <c r="H42" s="153">
        <f t="shared" si="3"/>
        <v>9474</v>
      </c>
      <c r="I42" s="161"/>
      <c r="J42" s="161"/>
      <c r="K42" s="161"/>
      <c r="L42" s="161"/>
      <c r="M42" s="161"/>
    </row>
    <row r="43" spans="1:13" x14ac:dyDescent="0.25">
      <c r="A43" s="305"/>
      <c r="B43" s="305"/>
      <c r="C43" s="152" t="s">
        <v>59</v>
      </c>
      <c r="D43" s="105">
        <v>26</v>
      </c>
      <c r="E43" s="152">
        <v>36</v>
      </c>
      <c r="F43" s="152">
        <f>777+2073+72+72</f>
        <v>2994</v>
      </c>
      <c r="G43" s="152"/>
      <c r="H43" s="153">
        <f t="shared" si="3"/>
        <v>2994</v>
      </c>
      <c r="I43" s="161"/>
      <c r="J43" s="161"/>
      <c r="K43" s="161"/>
      <c r="L43" s="161"/>
      <c r="M43" s="161"/>
    </row>
    <row r="44" spans="1:13" x14ac:dyDescent="0.25">
      <c r="A44" s="305"/>
      <c r="B44" s="311" t="s">
        <v>58</v>
      </c>
      <c r="C44" s="152" t="s">
        <v>36</v>
      </c>
      <c r="D44" s="105">
        <v>8</v>
      </c>
      <c r="E44" s="152">
        <v>108</v>
      </c>
      <c r="F44" s="152">
        <f>215+284</f>
        <v>499</v>
      </c>
      <c r="G44" s="152"/>
      <c r="H44" s="152">
        <f t="shared" ref="H44:H210" si="4">F44-G44</f>
        <v>499</v>
      </c>
      <c r="I44" s="161"/>
      <c r="J44" s="161"/>
      <c r="K44" s="161"/>
      <c r="L44" s="161"/>
      <c r="M44" s="161"/>
    </row>
    <row r="45" spans="1:13" x14ac:dyDescent="0.25">
      <c r="A45" s="305"/>
      <c r="B45" s="311"/>
      <c r="C45" s="152" t="s">
        <v>71</v>
      </c>
      <c r="D45" s="105">
        <v>12</v>
      </c>
      <c r="E45" s="152">
        <v>84</v>
      </c>
      <c r="F45" s="152">
        <f>630+981</f>
        <v>1611</v>
      </c>
      <c r="G45" s="152"/>
      <c r="H45" s="152">
        <f t="shared" si="4"/>
        <v>1611</v>
      </c>
      <c r="I45" s="161"/>
      <c r="J45" s="161"/>
      <c r="K45" s="161"/>
      <c r="L45" s="161"/>
      <c r="M45" s="161"/>
    </row>
    <row r="46" spans="1:13" x14ac:dyDescent="0.25">
      <c r="A46" s="305"/>
      <c r="B46" s="311"/>
      <c r="C46" s="152" t="s">
        <v>50</v>
      </c>
      <c r="D46" s="105">
        <v>15</v>
      </c>
      <c r="E46" s="152">
        <v>45</v>
      </c>
      <c r="F46" s="152">
        <v>2735</v>
      </c>
      <c r="G46" s="152"/>
      <c r="H46" s="152">
        <f t="shared" si="4"/>
        <v>2735</v>
      </c>
      <c r="I46" s="161"/>
      <c r="J46" s="161"/>
      <c r="K46" s="161"/>
      <c r="L46" s="161"/>
      <c r="M46" s="161"/>
    </row>
    <row r="47" spans="1:13" x14ac:dyDescent="0.25">
      <c r="A47" s="305"/>
      <c r="B47" s="311"/>
      <c r="C47" s="152" t="s">
        <v>55</v>
      </c>
      <c r="D47" s="105">
        <v>19</v>
      </c>
      <c r="E47" s="152">
        <v>40</v>
      </c>
      <c r="F47" s="152">
        <f>941+2150+178</f>
        <v>3269</v>
      </c>
      <c r="G47" s="152">
        <v>40</v>
      </c>
      <c r="H47" s="152">
        <f t="shared" si="4"/>
        <v>3229</v>
      </c>
      <c r="I47" s="161"/>
      <c r="J47" s="161"/>
      <c r="K47" s="161"/>
      <c r="L47" s="161"/>
      <c r="M47" s="161"/>
    </row>
    <row r="48" spans="1:13" x14ac:dyDescent="0.25">
      <c r="A48" s="305"/>
      <c r="B48" s="311"/>
      <c r="C48" s="152" t="s">
        <v>54</v>
      </c>
      <c r="D48" s="105">
        <v>25</v>
      </c>
      <c r="E48" s="152">
        <v>28</v>
      </c>
      <c r="F48" s="152">
        <f>1512+899</f>
        <v>2411</v>
      </c>
      <c r="G48" s="152"/>
      <c r="H48" s="152">
        <f t="shared" si="4"/>
        <v>2411</v>
      </c>
      <c r="I48" s="161"/>
      <c r="J48" s="161"/>
      <c r="K48" s="161"/>
      <c r="L48" s="161"/>
      <c r="M48" s="161"/>
    </row>
    <row r="49" spans="1:13" x14ac:dyDescent="0.25">
      <c r="A49" s="305"/>
      <c r="B49" s="311"/>
      <c r="C49" s="152" t="s">
        <v>53</v>
      </c>
      <c r="D49" s="105">
        <v>36</v>
      </c>
      <c r="E49" s="152">
        <v>24</v>
      </c>
      <c r="F49" s="152">
        <f>31+902</f>
        <v>933</v>
      </c>
      <c r="G49" s="152"/>
      <c r="H49" s="152">
        <f t="shared" si="4"/>
        <v>933</v>
      </c>
      <c r="I49" s="161"/>
      <c r="J49" s="161"/>
      <c r="K49" s="161"/>
      <c r="L49" s="161"/>
      <c r="M49" s="161"/>
    </row>
    <row r="50" spans="1:13" x14ac:dyDescent="0.25">
      <c r="A50" s="305"/>
      <c r="B50" s="311"/>
      <c r="C50" s="152" t="s">
        <v>57</v>
      </c>
      <c r="D50" s="105">
        <v>31</v>
      </c>
      <c r="E50" s="152">
        <v>18</v>
      </c>
      <c r="F50" s="152">
        <f>116</f>
        <v>116</v>
      </c>
      <c r="G50" s="152"/>
      <c r="H50" s="152">
        <f t="shared" si="4"/>
        <v>116</v>
      </c>
      <c r="I50" s="161"/>
      <c r="J50" s="161"/>
      <c r="K50" s="161"/>
      <c r="L50" s="161"/>
      <c r="M50" s="161"/>
    </row>
    <row r="51" spans="1:13" x14ac:dyDescent="0.25">
      <c r="A51" s="305"/>
      <c r="B51" s="320" t="s">
        <v>96</v>
      </c>
      <c r="C51" s="114" t="s">
        <v>151</v>
      </c>
      <c r="D51" s="113">
        <v>13.583569999999998</v>
      </c>
      <c r="E51" s="114">
        <v>72</v>
      </c>
      <c r="F51" s="152">
        <v>1151</v>
      </c>
      <c r="G51" s="152"/>
      <c r="H51" s="152">
        <f t="shared" si="4"/>
        <v>1151</v>
      </c>
      <c r="I51" s="161"/>
      <c r="J51" s="161"/>
      <c r="K51" s="161"/>
      <c r="L51" s="161"/>
      <c r="M51" s="161"/>
    </row>
    <row r="52" spans="1:13" x14ac:dyDescent="0.25">
      <c r="A52" s="305"/>
      <c r="B52" s="305"/>
      <c r="C52" s="114" t="s">
        <v>30</v>
      </c>
      <c r="D52" s="113">
        <v>20.375354999999999</v>
      </c>
      <c r="E52" s="114">
        <v>36</v>
      </c>
      <c r="F52" s="152">
        <f>252+1872</f>
        <v>2124</v>
      </c>
      <c r="G52" s="152"/>
      <c r="H52" s="152">
        <f t="shared" si="4"/>
        <v>2124</v>
      </c>
      <c r="I52" s="161"/>
      <c r="J52" s="161"/>
      <c r="K52" s="161"/>
      <c r="L52" s="161"/>
      <c r="M52" s="161"/>
    </row>
    <row r="53" spans="1:13" x14ac:dyDescent="0.25">
      <c r="A53" s="305"/>
      <c r="B53" s="305"/>
      <c r="C53" s="114" t="s">
        <v>152</v>
      </c>
      <c r="D53" s="113">
        <v>25.314835000000002</v>
      </c>
      <c r="E53" s="114">
        <v>36</v>
      </c>
      <c r="F53" s="152">
        <f>1944+1064</f>
        <v>3008</v>
      </c>
      <c r="G53" s="152"/>
      <c r="H53" s="152">
        <f t="shared" si="4"/>
        <v>3008</v>
      </c>
      <c r="I53" s="161"/>
      <c r="J53" s="161"/>
      <c r="K53" s="161"/>
      <c r="L53" s="161"/>
      <c r="M53" s="161"/>
    </row>
    <row r="54" spans="1:13" x14ac:dyDescent="0.25">
      <c r="A54" s="305"/>
      <c r="B54" s="305"/>
      <c r="C54" s="114" t="s">
        <v>38</v>
      </c>
      <c r="D54" s="113">
        <v>38.280970000000003</v>
      </c>
      <c r="E54" s="114">
        <v>24</v>
      </c>
      <c r="F54" s="152">
        <f>47+993</f>
        <v>1040</v>
      </c>
      <c r="G54" s="152"/>
      <c r="H54" s="152">
        <f t="shared" si="4"/>
        <v>1040</v>
      </c>
      <c r="I54" s="161"/>
      <c r="J54" s="161"/>
      <c r="K54" s="161"/>
      <c r="L54" s="161"/>
      <c r="M54" s="161"/>
    </row>
    <row r="55" spans="1:13" x14ac:dyDescent="0.25">
      <c r="A55" s="305"/>
      <c r="B55" s="320" t="s">
        <v>56</v>
      </c>
      <c r="C55" s="152" t="s">
        <v>50</v>
      </c>
      <c r="D55" s="105">
        <v>13</v>
      </c>
      <c r="E55" s="152">
        <v>45</v>
      </c>
      <c r="F55" s="152">
        <f>46+1035</f>
        <v>1081</v>
      </c>
      <c r="G55" s="152"/>
      <c r="H55" s="152">
        <f t="shared" si="4"/>
        <v>1081</v>
      </c>
      <c r="I55" s="161"/>
      <c r="J55" s="161"/>
      <c r="K55" s="161"/>
      <c r="L55" s="161"/>
      <c r="M55" s="161"/>
    </row>
    <row r="56" spans="1:13" x14ac:dyDescent="0.25">
      <c r="A56" s="305"/>
      <c r="B56" s="305"/>
      <c r="C56" s="152" t="s">
        <v>55</v>
      </c>
      <c r="D56" s="105">
        <v>25</v>
      </c>
      <c r="E56" s="152">
        <v>40</v>
      </c>
      <c r="F56" s="152">
        <f>80+280</f>
        <v>360</v>
      </c>
      <c r="G56" s="152"/>
      <c r="H56" s="152">
        <f t="shared" si="4"/>
        <v>360</v>
      </c>
      <c r="I56" s="161"/>
      <c r="J56" s="161"/>
      <c r="K56" s="161"/>
      <c r="L56" s="161"/>
      <c r="M56" s="161"/>
    </row>
    <row r="57" spans="1:13" x14ac:dyDescent="0.25">
      <c r="A57" s="305"/>
      <c r="B57" s="305"/>
      <c r="C57" s="152" t="s">
        <v>54</v>
      </c>
      <c r="D57" s="105">
        <v>35</v>
      </c>
      <c r="E57" s="152">
        <v>28</v>
      </c>
      <c r="F57" s="152">
        <f>168+84</f>
        <v>252</v>
      </c>
      <c r="G57" s="152"/>
      <c r="H57" s="152">
        <f t="shared" si="4"/>
        <v>252</v>
      </c>
      <c r="I57" s="161"/>
      <c r="J57" s="161"/>
      <c r="K57" s="161"/>
      <c r="L57" s="161"/>
      <c r="M57" s="161"/>
    </row>
    <row r="58" spans="1:13" x14ac:dyDescent="0.25">
      <c r="A58" s="305"/>
      <c r="B58" s="305"/>
      <c r="C58" s="152" t="s">
        <v>53</v>
      </c>
      <c r="D58" s="105">
        <v>50</v>
      </c>
      <c r="E58" s="152">
        <v>24</v>
      </c>
      <c r="F58" s="152">
        <f>24+432</f>
        <v>456</v>
      </c>
      <c r="G58" s="152"/>
      <c r="H58" s="152">
        <f t="shared" si="4"/>
        <v>456</v>
      </c>
      <c r="I58" s="161"/>
      <c r="J58" s="161"/>
      <c r="K58" s="161"/>
      <c r="L58" s="161"/>
      <c r="M58" s="161"/>
    </row>
    <row r="59" spans="1:13" x14ac:dyDescent="0.25">
      <c r="A59" s="305"/>
      <c r="B59" s="320" t="s">
        <v>68</v>
      </c>
      <c r="C59" s="152" t="s">
        <v>55</v>
      </c>
      <c r="D59" s="105">
        <v>25</v>
      </c>
      <c r="E59" s="152">
        <v>28</v>
      </c>
      <c r="F59" s="152">
        <f>1581+767</f>
        <v>2348</v>
      </c>
      <c r="G59" s="152"/>
      <c r="H59" s="152">
        <f t="shared" si="4"/>
        <v>2348</v>
      </c>
      <c r="I59" s="161"/>
      <c r="J59" s="161"/>
      <c r="K59" s="161"/>
      <c r="L59" s="161"/>
      <c r="M59" s="161"/>
    </row>
    <row r="60" spans="1:13" x14ac:dyDescent="0.25">
      <c r="A60" s="305"/>
      <c r="B60" s="319"/>
      <c r="C60" s="152" t="s">
        <v>53</v>
      </c>
      <c r="D60" s="105">
        <v>51</v>
      </c>
      <c r="E60" s="152">
        <v>18</v>
      </c>
      <c r="F60" s="152">
        <f>864+972+342+14+105+39</f>
        <v>2336</v>
      </c>
      <c r="G60" s="152"/>
      <c r="H60" s="152">
        <f t="shared" si="4"/>
        <v>2336</v>
      </c>
      <c r="I60" s="161"/>
      <c r="J60" s="161"/>
      <c r="K60" s="161"/>
      <c r="L60" s="161"/>
      <c r="M60" s="161"/>
    </row>
    <row r="61" spans="1:13" x14ac:dyDescent="0.25">
      <c r="A61" s="305"/>
      <c r="B61" s="320" t="s">
        <v>52</v>
      </c>
      <c r="C61" s="152" t="s">
        <v>50</v>
      </c>
      <c r="D61" s="105">
        <v>12</v>
      </c>
      <c r="E61" s="152">
        <v>48</v>
      </c>
      <c r="F61" s="152">
        <f>96+478</f>
        <v>574</v>
      </c>
      <c r="G61" s="152"/>
      <c r="H61" s="152">
        <f t="shared" si="4"/>
        <v>574</v>
      </c>
      <c r="I61" s="161"/>
      <c r="J61" s="161"/>
      <c r="K61" s="161"/>
      <c r="L61" s="161"/>
      <c r="M61" s="161"/>
    </row>
    <row r="62" spans="1:13" x14ac:dyDescent="0.25">
      <c r="A62" s="305"/>
      <c r="B62" s="305"/>
      <c r="C62" s="152" t="s">
        <v>55</v>
      </c>
      <c r="D62" s="105">
        <v>22</v>
      </c>
      <c r="E62" s="152">
        <v>28</v>
      </c>
      <c r="F62" s="152">
        <v>168</v>
      </c>
      <c r="G62" s="152"/>
      <c r="H62" s="152">
        <f t="shared" si="4"/>
        <v>168</v>
      </c>
      <c r="I62" s="161"/>
      <c r="J62" s="161"/>
      <c r="K62" s="161"/>
      <c r="L62" s="161"/>
      <c r="M62" s="161"/>
    </row>
    <row r="63" spans="1:13" x14ac:dyDescent="0.25">
      <c r="A63" s="305"/>
      <c r="B63" s="305"/>
      <c r="C63" s="152" t="s">
        <v>53</v>
      </c>
      <c r="D63" s="105">
        <v>40</v>
      </c>
      <c r="E63" s="152">
        <v>18</v>
      </c>
      <c r="F63" s="152">
        <v>615</v>
      </c>
      <c r="G63" s="152"/>
      <c r="H63" s="152">
        <f t="shared" si="4"/>
        <v>615</v>
      </c>
      <c r="I63" s="161"/>
      <c r="J63" s="161"/>
      <c r="K63" s="161"/>
      <c r="L63" s="161"/>
      <c r="M63" s="161"/>
    </row>
    <row r="64" spans="1:13" x14ac:dyDescent="0.25">
      <c r="A64" s="305"/>
      <c r="B64" s="114" t="s">
        <v>155</v>
      </c>
      <c r="C64" s="114" t="s">
        <v>73</v>
      </c>
      <c r="D64" s="113">
        <v>23.462530000000001</v>
      </c>
      <c r="E64" s="114">
        <v>48</v>
      </c>
      <c r="F64" s="152">
        <v>1506</v>
      </c>
      <c r="G64" s="152"/>
      <c r="H64" s="152">
        <f t="shared" si="4"/>
        <v>1506</v>
      </c>
      <c r="I64" s="161"/>
      <c r="J64" s="161"/>
      <c r="K64" s="161"/>
      <c r="L64" s="161"/>
      <c r="M64" s="161"/>
    </row>
    <row r="65" spans="1:13" x14ac:dyDescent="0.25">
      <c r="A65" s="305"/>
      <c r="B65" s="305" t="s">
        <v>31</v>
      </c>
      <c r="C65" s="152" t="s">
        <v>51</v>
      </c>
      <c r="D65" s="105">
        <v>21</v>
      </c>
      <c r="E65" s="152">
        <v>48</v>
      </c>
      <c r="F65" s="152">
        <f>1041+1969+1425+110+96</f>
        <v>4641</v>
      </c>
      <c r="G65" s="152">
        <v>48</v>
      </c>
      <c r="H65" s="152">
        <f t="shared" si="4"/>
        <v>4593</v>
      </c>
      <c r="I65" s="161"/>
      <c r="J65" s="161"/>
      <c r="K65" s="161"/>
      <c r="L65" s="161"/>
      <c r="M65" s="161"/>
    </row>
    <row r="66" spans="1:13" x14ac:dyDescent="0.25">
      <c r="A66" s="305"/>
      <c r="B66" s="305"/>
      <c r="C66" s="152" t="s">
        <v>30</v>
      </c>
      <c r="D66" s="105">
        <v>26</v>
      </c>
      <c r="E66" s="152">
        <v>28</v>
      </c>
      <c r="F66" s="152">
        <f>504+1764</f>
        <v>2268</v>
      </c>
      <c r="G66" s="152">
        <v>28</v>
      </c>
      <c r="H66" s="152">
        <f t="shared" si="4"/>
        <v>2240</v>
      </c>
      <c r="I66" s="161"/>
      <c r="J66" s="161"/>
      <c r="K66" s="161"/>
      <c r="L66" s="161"/>
      <c r="M66" s="161"/>
    </row>
    <row r="67" spans="1:13" x14ac:dyDescent="0.25">
      <c r="A67" s="305"/>
      <c r="B67" s="305"/>
      <c r="C67" s="152" t="s">
        <v>29</v>
      </c>
      <c r="D67" s="105">
        <v>24</v>
      </c>
      <c r="E67" s="152">
        <v>24</v>
      </c>
      <c r="F67" s="152">
        <v>144</v>
      </c>
      <c r="G67" s="152">
        <v>24</v>
      </c>
      <c r="H67" s="152">
        <f t="shared" si="4"/>
        <v>120</v>
      </c>
      <c r="I67" s="161"/>
      <c r="J67" s="161"/>
      <c r="K67" s="161"/>
      <c r="L67" s="161"/>
      <c r="M67" s="161"/>
    </row>
    <row r="68" spans="1:13" x14ac:dyDescent="0.25">
      <c r="A68" s="305"/>
      <c r="B68" s="320" t="s">
        <v>49</v>
      </c>
      <c r="C68" s="152" t="s">
        <v>42</v>
      </c>
      <c r="D68" s="105">
        <v>17</v>
      </c>
      <c r="E68" s="152">
        <v>84</v>
      </c>
      <c r="F68" s="152">
        <v>3028</v>
      </c>
      <c r="G68" s="152"/>
      <c r="H68" s="152">
        <f t="shared" si="4"/>
        <v>3028</v>
      </c>
      <c r="I68" s="161"/>
      <c r="J68" s="161"/>
      <c r="K68" s="161"/>
      <c r="L68" s="161"/>
      <c r="M68" s="161"/>
    </row>
    <row r="69" spans="1:13" x14ac:dyDescent="0.25">
      <c r="A69" s="305"/>
      <c r="B69" s="305"/>
      <c r="C69" s="152" t="s">
        <v>72</v>
      </c>
      <c r="D69" s="105">
        <v>18</v>
      </c>
      <c r="E69" s="152">
        <v>72</v>
      </c>
      <c r="F69" s="152">
        <f>2448+5832+2951</f>
        <v>11231</v>
      </c>
      <c r="G69" s="152">
        <v>72</v>
      </c>
      <c r="H69" s="152">
        <f t="shared" si="4"/>
        <v>11159</v>
      </c>
      <c r="I69" s="161"/>
      <c r="J69" s="161"/>
      <c r="K69" s="161"/>
      <c r="L69" s="161"/>
      <c r="M69" s="161"/>
    </row>
    <row r="70" spans="1:13" x14ac:dyDescent="0.25">
      <c r="A70" s="305"/>
      <c r="B70" s="305"/>
      <c r="C70" s="152" t="s">
        <v>73</v>
      </c>
      <c r="D70" s="105">
        <v>21</v>
      </c>
      <c r="E70" s="152">
        <v>48</v>
      </c>
      <c r="F70" s="152">
        <f>2104+96+88+1344</f>
        <v>3632</v>
      </c>
      <c r="G70" s="152">
        <v>48</v>
      </c>
      <c r="H70" s="152">
        <f t="shared" si="4"/>
        <v>3584</v>
      </c>
      <c r="I70" s="161"/>
      <c r="J70" s="161"/>
      <c r="K70" s="161"/>
      <c r="L70" s="161"/>
      <c r="M70" s="161"/>
    </row>
    <row r="71" spans="1:13" x14ac:dyDescent="0.25">
      <c r="A71" s="305"/>
      <c r="B71" s="305"/>
      <c r="C71" s="152" t="s">
        <v>48</v>
      </c>
      <c r="D71" s="105">
        <v>38</v>
      </c>
      <c r="E71" s="152">
        <v>24</v>
      </c>
      <c r="F71" s="152">
        <f>165+110+24</f>
        <v>299</v>
      </c>
      <c r="G71" s="152">
        <v>24</v>
      </c>
      <c r="H71" s="152">
        <f t="shared" si="4"/>
        <v>275</v>
      </c>
      <c r="I71" s="161"/>
      <c r="J71" s="161"/>
      <c r="K71" s="161"/>
      <c r="L71" s="161"/>
      <c r="M71" s="161"/>
    </row>
    <row r="72" spans="1:13" x14ac:dyDescent="0.25">
      <c r="A72" s="305"/>
      <c r="B72" s="319"/>
      <c r="C72" s="152" t="s">
        <v>47</v>
      </c>
      <c r="D72" s="105">
        <v>47</v>
      </c>
      <c r="E72" s="152">
        <v>12</v>
      </c>
      <c r="F72" s="152">
        <v>24</v>
      </c>
      <c r="G72" s="152"/>
      <c r="H72" s="152">
        <f t="shared" si="4"/>
        <v>24</v>
      </c>
      <c r="I72" s="161"/>
      <c r="J72" s="161"/>
      <c r="K72" s="161"/>
      <c r="L72" s="161"/>
      <c r="M72" s="161"/>
    </row>
    <row r="73" spans="1:13" x14ac:dyDescent="0.25">
      <c r="A73" s="305"/>
      <c r="B73" s="152" t="s">
        <v>46</v>
      </c>
      <c r="C73" s="152" t="s">
        <v>45</v>
      </c>
      <c r="D73" s="105">
        <v>12</v>
      </c>
      <c r="E73" s="152">
        <v>48</v>
      </c>
      <c r="F73" s="152">
        <f>95+768</f>
        <v>863</v>
      </c>
      <c r="G73" s="152"/>
      <c r="H73" s="152">
        <f t="shared" si="4"/>
        <v>863</v>
      </c>
      <c r="I73" s="161"/>
      <c r="J73" s="161"/>
      <c r="K73" s="161"/>
      <c r="L73" s="161"/>
      <c r="M73" s="161"/>
    </row>
    <row r="74" spans="1:13" x14ac:dyDescent="0.25">
      <c r="A74" s="305"/>
      <c r="B74" s="320" t="s">
        <v>44</v>
      </c>
      <c r="C74" s="152" t="s">
        <v>43</v>
      </c>
      <c r="D74" s="105">
        <v>9</v>
      </c>
      <c r="E74" s="152">
        <v>84</v>
      </c>
      <c r="F74" s="152">
        <v>587</v>
      </c>
      <c r="G74" s="152"/>
      <c r="H74" s="152">
        <f t="shared" si="4"/>
        <v>587</v>
      </c>
      <c r="I74" s="161"/>
      <c r="J74" s="161"/>
      <c r="K74" s="161"/>
      <c r="L74" s="161"/>
      <c r="M74" s="161"/>
    </row>
    <row r="75" spans="1:13" x14ac:dyDescent="0.25">
      <c r="A75" s="305"/>
      <c r="B75" s="305"/>
      <c r="C75" s="152" t="s">
        <v>42</v>
      </c>
      <c r="D75" s="105">
        <v>12</v>
      </c>
      <c r="E75" s="152">
        <v>60</v>
      </c>
      <c r="F75" s="152">
        <f>420+122+117</f>
        <v>659</v>
      </c>
      <c r="G75" s="152"/>
      <c r="H75" s="152">
        <f t="shared" si="4"/>
        <v>659</v>
      </c>
      <c r="I75" s="161"/>
      <c r="J75" s="161"/>
      <c r="K75" s="161"/>
      <c r="L75" s="161"/>
      <c r="M75" s="161"/>
    </row>
    <row r="76" spans="1:13" x14ac:dyDescent="0.25">
      <c r="A76" s="305"/>
      <c r="B76" s="305"/>
      <c r="C76" s="152" t="s">
        <v>41</v>
      </c>
      <c r="D76" s="105">
        <v>14</v>
      </c>
      <c r="E76" s="152">
        <v>60</v>
      </c>
      <c r="F76" s="152">
        <f>120+600</f>
        <v>720</v>
      </c>
      <c r="G76" s="152"/>
      <c r="H76" s="152">
        <f t="shared" si="4"/>
        <v>720</v>
      </c>
      <c r="I76" s="161"/>
      <c r="J76" s="161"/>
      <c r="K76" s="161"/>
      <c r="L76" s="161"/>
      <c r="M76" s="161"/>
    </row>
    <row r="77" spans="1:13" x14ac:dyDescent="0.25">
      <c r="A77" s="305"/>
      <c r="B77" s="305"/>
      <c r="C77" s="152" t="s">
        <v>40</v>
      </c>
      <c r="D77" s="105">
        <v>25</v>
      </c>
      <c r="E77" s="152">
        <v>42</v>
      </c>
      <c r="F77" s="152">
        <f>630+2085+42</f>
        <v>2757</v>
      </c>
      <c r="G77" s="152"/>
      <c r="H77" s="152">
        <f t="shared" si="4"/>
        <v>2757</v>
      </c>
      <c r="I77" s="161"/>
      <c r="J77" s="161"/>
      <c r="K77" s="161"/>
      <c r="L77" s="161"/>
      <c r="M77" s="161"/>
    </row>
    <row r="78" spans="1:13" x14ac:dyDescent="0.25">
      <c r="A78" s="305"/>
      <c r="B78" s="305"/>
      <c r="C78" s="152" t="s">
        <v>80</v>
      </c>
      <c r="D78" s="105">
        <v>38</v>
      </c>
      <c r="E78" s="152">
        <v>24</v>
      </c>
      <c r="F78" s="152">
        <f>1344+144+144</f>
        <v>1632</v>
      </c>
      <c r="G78" s="152"/>
      <c r="H78" s="152">
        <f t="shared" si="4"/>
        <v>1632</v>
      </c>
      <c r="I78" s="161"/>
      <c r="J78" s="161"/>
      <c r="K78" s="161"/>
      <c r="L78" s="161"/>
      <c r="M78" s="161"/>
    </row>
    <row r="79" spans="1:13" x14ac:dyDescent="0.25">
      <c r="A79" s="305"/>
      <c r="B79" s="311" t="s">
        <v>39</v>
      </c>
      <c r="C79" s="152" t="s">
        <v>30</v>
      </c>
      <c r="D79" s="105">
        <v>14</v>
      </c>
      <c r="E79" s="152">
        <v>36</v>
      </c>
      <c r="F79" s="152">
        <f>72+252</f>
        <v>324</v>
      </c>
      <c r="G79" s="152"/>
      <c r="H79" s="152">
        <f t="shared" si="4"/>
        <v>324</v>
      </c>
      <c r="I79" s="161"/>
      <c r="J79" s="161"/>
      <c r="K79" s="161"/>
      <c r="L79" s="161"/>
      <c r="M79" s="161"/>
    </row>
    <row r="80" spans="1:13" x14ac:dyDescent="0.25">
      <c r="A80" s="305"/>
      <c r="B80" s="311"/>
      <c r="C80" s="152" t="s">
        <v>38</v>
      </c>
      <c r="D80" s="105">
        <v>24</v>
      </c>
      <c r="E80" s="152">
        <v>24</v>
      </c>
      <c r="F80" s="152">
        <f>48+336</f>
        <v>384</v>
      </c>
      <c r="G80" s="152"/>
      <c r="H80" s="152">
        <f t="shared" si="4"/>
        <v>384</v>
      </c>
      <c r="I80" s="161"/>
      <c r="J80" s="161"/>
      <c r="K80" s="161"/>
      <c r="L80" s="161"/>
      <c r="M80" s="161"/>
    </row>
    <row r="81" spans="1:13" x14ac:dyDescent="0.25">
      <c r="A81" s="305"/>
      <c r="B81" s="320" t="s">
        <v>37</v>
      </c>
      <c r="C81" s="152" t="s">
        <v>36</v>
      </c>
      <c r="D81" s="105">
        <v>9</v>
      </c>
      <c r="E81" s="152">
        <v>108</v>
      </c>
      <c r="F81" s="152">
        <f>215+756</f>
        <v>971</v>
      </c>
      <c r="G81" s="152"/>
      <c r="H81" s="152">
        <f t="shared" si="4"/>
        <v>971</v>
      </c>
      <c r="I81" s="161"/>
      <c r="J81" s="161"/>
      <c r="K81" s="161"/>
      <c r="L81" s="161"/>
      <c r="M81" s="161"/>
    </row>
    <row r="82" spans="1:13" x14ac:dyDescent="0.25">
      <c r="A82" s="305"/>
      <c r="B82" s="305"/>
      <c r="C82" s="152" t="s">
        <v>71</v>
      </c>
      <c r="D82" s="105">
        <v>14</v>
      </c>
      <c r="E82" s="152">
        <v>84</v>
      </c>
      <c r="F82" s="152">
        <f>5370+5379</f>
        <v>10749</v>
      </c>
      <c r="G82" s="152"/>
      <c r="H82" s="152">
        <f t="shared" si="4"/>
        <v>10749</v>
      </c>
      <c r="I82" s="161"/>
      <c r="J82" s="161"/>
      <c r="K82" s="161"/>
      <c r="L82" s="161"/>
      <c r="M82" s="161"/>
    </row>
    <row r="83" spans="1:13" x14ac:dyDescent="0.25">
      <c r="A83" s="305"/>
      <c r="B83" s="305"/>
      <c r="C83" s="152" t="s">
        <v>50</v>
      </c>
      <c r="D83" s="105">
        <v>18</v>
      </c>
      <c r="E83" s="152">
        <v>45</v>
      </c>
      <c r="F83" s="152">
        <f>2514+2745</f>
        <v>5259</v>
      </c>
      <c r="G83" s="152"/>
      <c r="H83" s="152">
        <f t="shared" si="4"/>
        <v>5259</v>
      </c>
      <c r="I83" s="161"/>
      <c r="J83" s="161"/>
      <c r="K83" s="161"/>
      <c r="L83" s="161"/>
      <c r="M83" s="161"/>
    </row>
    <row r="84" spans="1:13" x14ac:dyDescent="0.25">
      <c r="A84" s="305"/>
      <c r="B84" s="319"/>
      <c r="C84" s="152" t="s">
        <v>55</v>
      </c>
      <c r="D84" s="105">
        <v>23</v>
      </c>
      <c r="E84" s="152">
        <v>40</v>
      </c>
      <c r="F84" s="152">
        <f>800+2000+2160</f>
        <v>4960</v>
      </c>
      <c r="G84" s="152"/>
      <c r="H84" s="152">
        <f t="shared" si="4"/>
        <v>4960</v>
      </c>
      <c r="I84" s="161"/>
      <c r="J84" s="161"/>
      <c r="K84" s="161"/>
      <c r="L84" s="161"/>
      <c r="M84" s="161"/>
    </row>
    <row r="85" spans="1:13" x14ac:dyDescent="0.25">
      <c r="A85" s="305"/>
      <c r="B85" s="311" t="s">
        <v>35</v>
      </c>
      <c r="C85" s="152" t="s">
        <v>34</v>
      </c>
      <c r="D85" s="105">
        <v>12</v>
      </c>
      <c r="E85" s="152">
        <v>72</v>
      </c>
      <c r="F85" s="152">
        <f>144+1871</f>
        <v>2015</v>
      </c>
      <c r="G85" s="152"/>
      <c r="H85" s="152">
        <f t="shared" si="4"/>
        <v>2015</v>
      </c>
      <c r="I85" s="161"/>
      <c r="J85" s="161"/>
      <c r="K85" s="161"/>
      <c r="L85" s="161"/>
      <c r="M85" s="161"/>
    </row>
    <row r="86" spans="1:13" x14ac:dyDescent="0.25">
      <c r="A86" s="305"/>
      <c r="B86" s="311"/>
      <c r="C86" s="152" t="s">
        <v>27</v>
      </c>
      <c r="D86" s="105">
        <v>38</v>
      </c>
      <c r="E86" s="152">
        <v>24</v>
      </c>
      <c r="F86" s="152">
        <f>825+600+168</f>
        <v>1593</v>
      </c>
      <c r="G86" s="152"/>
      <c r="H86" s="152">
        <f t="shared" si="4"/>
        <v>1593</v>
      </c>
      <c r="I86" s="161"/>
      <c r="J86" s="161"/>
      <c r="K86" s="161"/>
      <c r="L86" s="161"/>
      <c r="M86" s="161"/>
    </row>
    <row r="87" spans="1:13" ht="15.75" thickBot="1" x14ac:dyDescent="0.3">
      <c r="A87" s="305"/>
      <c r="B87" s="154" t="s">
        <v>158</v>
      </c>
      <c r="C87" s="152" t="s">
        <v>27</v>
      </c>
      <c r="D87" s="105">
        <v>38</v>
      </c>
      <c r="E87" s="152">
        <v>24</v>
      </c>
      <c r="F87" s="152">
        <f>840+168+1488+168+24</f>
        <v>2688</v>
      </c>
      <c r="G87" s="152"/>
      <c r="H87" s="152">
        <f t="shared" si="4"/>
        <v>2688</v>
      </c>
      <c r="I87" s="161"/>
      <c r="J87" s="161"/>
      <c r="K87" s="161"/>
      <c r="L87" s="161"/>
      <c r="M87" s="161"/>
    </row>
    <row r="88" spans="1:13" ht="15.75" thickTop="1" x14ac:dyDescent="0.25">
      <c r="A88" s="383" t="s">
        <v>33</v>
      </c>
      <c r="B88" s="304" t="s">
        <v>32</v>
      </c>
      <c r="C88" s="151" t="s">
        <v>72</v>
      </c>
      <c r="D88" s="108">
        <v>20</v>
      </c>
      <c r="E88" s="151">
        <v>72</v>
      </c>
      <c r="F88" s="151">
        <f>4032+720</f>
        <v>4752</v>
      </c>
      <c r="G88" s="151"/>
      <c r="H88" s="151">
        <f t="shared" si="4"/>
        <v>4752</v>
      </c>
      <c r="I88" s="161"/>
      <c r="J88" s="161"/>
      <c r="K88" s="161"/>
      <c r="L88" s="161"/>
      <c r="M88" s="161"/>
    </row>
    <row r="89" spans="1:13" x14ac:dyDescent="0.25">
      <c r="A89" s="384"/>
      <c r="B89" s="305"/>
      <c r="C89" s="153" t="s">
        <v>30</v>
      </c>
      <c r="D89" s="109">
        <v>23</v>
      </c>
      <c r="E89" s="153">
        <v>36</v>
      </c>
      <c r="F89" s="153">
        <f>1152+792</f>
        <v>1944</v>
      </c>
      <c r="G89" s="153"/>
      <c r="H89" s="153">
        <f t="shared" si="4"/>
        <v>1944</v>
      </c>
      <c r="I89" s="161"/>
      <c r="J89" s="161"/>
      <c r="K89" s="161"/>
      <c r="L89" s="161"/>
      <c r="M89" s="161"/>
    </row>
    <row r="90" spans="1:13" x14ac:dyDescent="0.25">
      <c r="A90" s="384"/>
      <c r="B90" s="305"/>
      <c r="C90" s="152" t="s">
        <v>66</v>
      </c>
      <c r="D90" s="105">
        <v>17</v>
      </c>
      <c r="E90" s="152">
        <v>24</v>
      </c>
      <c r="F90" s="152">
        <f>408+43</f>
        <v>451</v>
      </c>
      <c r="G90" s="152">
        <f>96+24</f>
        <v>120</v>
      </c>
      <c r="H90" s="152">
        <f t="shared" si="4"/>
        <v>331</v>
      </c>
      <c r="I90" s="161"/>
      <c r="J90" s="161"/>
      <c r="K90" s="161"/>
      <c r="L90" s="161"/>
      <c r="M90" s="161"/>
    </row>
    <row r="91" spans="1:13" x14ac:dyDescent="0.25">
      <c r="A91" s="384"/>
      <c r="B91" s="305"/>
      <c r="C91" s="152" t="s">
        <v>69</v>
      </c>
      <c r="D91" s="105">
        <v>25</v>
      </c>
      <c r="E91" s="152">
        <v>24</v>
      </c>
      <c r="F91" s="152">
        <v>48</v>
      </c>
      <c r="G91" s="152"/>
      <c r="H91" s="152">
        <f t="shared" si="4"/>
        <v>48</v>
      </c>
      <c r="I91" s="161"/>
      <c r="J91" s="161"/>
      <c r="K91" s="161"/>
      <c r="L91" s="161"/>
      <c r="M91" s="161"/>
    </row>
    <row r="92" spans="1:13" x14ac:dyDescent="0.25">
      <c r="A92" s="384"/>
      <c r="B92" s="319"/>
      <c r="C92" s="152" t="s">
        <v>67</v>
      </c>
      <c r="D92" s="105">
        <v>53</v>
      </c>
      <c r="E92" s="152">
        <v>12</v>
      </c>
      <c r="F92" s="152">
        <v>24</v>
      </c>
      <c r="G92" s="152"/>
      <c r="H92" s="152">
        <f t="shared" si="4"/>
        <v>24</v>
      </c>
      <c r="I92" s="161"/>
      <c r="J92" s="161"/>
      <c r="K92" s="161"/>
      <c r="L92" s="161"/>
      <c r="M92" s="161"/>
    </row>
    <row r="93" spans="1:13" x14ac:dyDescent="0.25">
      <c r="A93" s="384"/>
      <c r="B93" s="320" t="s">
        <v>60</v>
      </c>
      <c r="C93" s="152" t="s">
        <v>74</v>
      </c>
      <c r="D93" s="113">
        <v>23.462530000000001</v>
      </c>
      <c r="E93" s="114">
        <v>63</v>
      </c>
      <c r="F93" s="114">
        <f>2520+756</f>
        <v>3276</v>
      </c>
      <c r="G93" s="152"/>
      <c r="H93" s="152">
        <f t="shared" si="4"/>
        <v>3276</v>
      </c>
      <c r="I93" s="161"/>
      <c r="J93" s="161"/>
      <c r="K93" s="161"/>
      <c r="L93" s="161"/>
      <c r="M93" s="161"/>
    </row>
    <row r="94" spans="1:13" x14ac:dyDescent="0.25">
      <c r="A94" s="384"/>
      <c r="B94" s="319"/>
      <c r="C94" s="152" t="s">
        <v>59</v>
      </c>
      <c r="D94" s="105">
        <v>27</v>
      </c>
      <c r="E94" s="152">
        <v>36</v>
      </c>
      <c r="F94" s="152">
        <v>252</v>
      </c>
      <c r="G94" s="152">
        <v>72</v>
      </c>
      <c r="H94" s="152">
        <f t="shared" si="4"/>
        <v>180</v>
      </c>
      <c r="I94" s="161"/>
      <c r="J94" s="161"/>
      <c r="K94" s="161"/>
      <c r="L94" s="161"/>
      <c r="M94" s="161"/>
    </row>
    <row r="95" spans="1:13" x14ac:dyDescent="0.25">
      <c r="A95" s="384"/>
      <c r="B95" s="320" t="s">
        <v>159</v>
      </c>
      <c r="C95" s="114" t="s">
        <v>50</v>
      </c>
      <c r="D95" s="113">
        <v>23.462530000000001</v>
      </c>
      <c r="E95" s="114">
        <v>45</v>
      </c>
      <c r="F95" s="114">
        <f>1890+630+1575</f>
        <v>4095</v>
      </c>
      <c r="G95" s="152"/>
      <c r="H95" s="152">
        <f t="shared" si="4"/>
        <v>4095</v>
      </c>
      <c r="I95" s="161"/>
      <c r="J95" s="161"/>
      <c r="K95" s="161"/>
      <c r="L95" s="161"/>
      <c r="M95" s="161"/>
    </row>
    <row r="96" spans="1:13" x14ac:dyDescent="0.25">
      <c r="A96" s="384"/>
      <c r="B96" s="305"/>
      <c r="C96" s="114" t="s">
        <v>55</v>
      </c>
      <c r="D96" s="113">
        <v>26.549705000000003</v>
      </c>
      <c r="E96" s="114">
        <v>40</v>
      </c>
      <c r="F96" s="114">
        <f>1400+480</f>
        <v>1880</v>
      </c>
      <c r="G96" s="152"/>
      <c r="H96" s="152">
        <f t="shared" si="4"/>
        <v>1880</v>
      </c>
      <c r="I96" s="161"/>
      <c r="J96" s="161"/>
      <c r="K96" s="161"/>
      <c r="L96" s="161"/>
      <c r="M96" s="161"/>
    </row>
    <row r="97" spans="1:13" x14ac:dyDescent="0.25">
      <c r="A97" s="384"/>
      <c r="B97" s="305"/>
      <c r="C97" s="114" t="s">
        <v>54</v>
      </c>
      <c r="D97" s="113">
        <v>26.549705000000003</v>
      </c>
      <c r="E97" s="114">
        <v>28</v>
      </c>
      <c r="F97" s="114">
        <f>28+672+504</f>
        <v>1204</v>
      </c>
      <c r="G97" s="152">
        <v>56</v>
      </c>
      <c r="H97" s="152">
        <f t="shared" si="4"/>
        <v>1148</v>
      </c>
      <c r="I97" s="161"/>
      <c r="J97" s="161"/>
      <c r="K97" s="161"/>
      <c r="L97" s="161"/>
      <c r="M97" s="161"/>
    </row>
    <row r="98" spans="1:13" x14ac:dyDescent="0.25">
      <c r="A98" s="384"/>
      <c r="B98" s="152" t="s">
        <v>68</v>
      </c>
      <c r="C98" s="152" t="s">
        <v>53</v>
      </c>
      <c r="D98" s="105">
        <v>59</v>
      </c>
      <c r="E98" s="152">
        <v>18</v>
      </c>
      <c r="F98" s="152">
        <v>18</v>
      </c>
      <c r="G98" s="152"/>
      <c r="H98" s="152">
        <f t="shared" si="4"/>
        <v>18</v>
      </c>
      <c r="I98" s="161"/>
      <c r="J98" s="161"/>
      <c r="K98" s="161"/>
      <c r="L98" s="161"/>
      <c r="M98" s="161"/>
    </row>
    <row r="99" spans="1:13" x14ac:dyDescent="0.25">
      <c r="A99" s="384"/>
      <c r="B99" s="320" t="s">
        <v>31</v>
      </c>
      <c r="C99" s="152" t="s">
        <v>51</v>
      </c>
      <c r="D99" s="105">
        <v>22</v>
      </c>
      <c r="E99" s="152">
        <v>48</v>
      </c>
      <c r="F99" s="152">
        <f>672+1344</f>
        <v>2016</v>
      </c>
      <c r="G99" s="152"/>
      <c r="H99" s="152">
        <f t="shared" si="4"/>
        <v>2016</v>
      </c>
      <c r="I99" s="161"/>
      <c r="J99" s="161"/>
      <c r="K99" s="161"/>
      <c r="L99" s="161"/>
      <c r="M99" s="161"/>
    </row>
    <row r="100" spans="1:13" x14ac:dyDescent="0.25">
      <c r="A100" s="384"/>
      <c r="B100" s="305"/>
      <c r="C100" s="152" t="s">
        <v>30</v>
      </c>
      <c r="D100" s="105">
        <v>17</v>
      </c>
      <c r="E100" s="152">
        <v>28</v>
      </c>
      <c r="F100" s="152">
        <v>56</v>
      </c>
      <c r="G100" s="152"/>
      <c r="H100" s="152">
        <f t="shared" si="4"/>
        <v>56</v>
      </c>
      <c r="I100" s="161"/>
      <c r="J100" s="161"/>
      <c r="K100" s="161"/>
      <c r="L100" s="161"/>
      <c r="M100" s="161"/>
    </row>
    <row r="101" spans="1:13" x14ac:dyDescent="0.25">
      <c r="A101" s="384"/>
      <c r="B101" s="320" t="s">
        <v>49</v>
      </c>
      <c r="C101" s="152" t="s">
        <v>72</v>
      </c>
      <c r="D101" s="105">
        <v>19</v>
      </c>
      <c r="E101" s="152">
        <v>72</v>
      </c>
      <c r="F101" s="152">
        <f>3240+1440</f>
        <v>4680</v>
      </c>
      <c r="G101" s="152"/>
      <c r="H101" s="152">
        <f t="shared" si="4"/>
        <v>4680</v>
      </c>
      <c r="I101" s="161"/>
      <c r="J101" s="161"/>
      <c r="K101" s="161"/>
      <c r="L101" s="161"/>
      <c r="M101" s="161"/>
    </row>
    <row r="102" spans="1:13" x14ac:dyDescent="0.25">
      <c r="A102" s="384"/>
      <c r="B102" s="305"/>
      <c r="C102" s="152" t="s">
        <v>73</v>
      </c>
      <c r="D102" s="105">
        <v>27</v>
      </c>
      <c r="E102" s="152">
        <v>48</v>
      </c>
      <c r="F102" s="152">
        <f>2016+672</f>
        <v>2688</v>
      </c>
      <c r="G102" s="152"/>
      <c r="H102" s="152">
        <f t="shared" si="4"/>
        <v>2688</v>
      </c>
      <c r="I102" s="161"/>
      <c r="J102" s="161"/>
      <c r="K102" s="161"/>
      <c r="L102" s="161"/>
      <c r="M102" s="161"/>
    </row>
    <row r="103" spans="1:13" x14ac:dyDescent="0.25">
      <c r="A103" s="384"/>
      <c r="B103" s="319"/>
      <c r="C103" s="152" t="s">
        <v>48</v>
      </c>
      <c r="D103" s="105">
        <v>35</v>
      </c>
      <c r="E103" s="152">
        <v>24</v>
      </c>
      <c r="F103" s="152">
        <f>144+20+24</f>
        <v>188</v>
      </c>
      <c r="G103" s="152">
        <v>96</v>
      </c>
      <c r="H103" s="152">
        <f t="shared" si="4"/>
        <v>92</v>
      </c>
      <c r="I103" s="161"/>
      <c r="J103" s="161"/>
      <c r="K103" s="161"/>
      <c r="L103" s="161"/>
      <c r="M103" s="161"/>
    </row>
    <row r="104" spans="1:13" ht="30" x14ac:dyDescent="0.25">
      <c r="A104" s="384"/>
      <c r="B104" s="114" t="s">
        <v>160</v>
      </c>
      <c r="C104" s="114" t="s">
        <v>80</v>
      </c>
      <c r="D104" s="113">
        <v>58.603999999999999</v>
      </c>
      <c r="E104" s="114">
        <v>24</v>
      </c>
      <c r="F104" s="114">
        <v>768</v>
      </c>
      <c r="G104" s="152"/>
      <c r="H104" s="152">
        <f t="shared" si="4"/>
        <v>768</v>
      </c>
      <c r="I104" s="161"/>
      <c r="J104" s="161"/>
      <c r="K104" s="161"/>
      <c r="L104" s="161"/>
      <c r="M104" s="161"/>
    </row>
    <row r="105" spans="1:13" x14ac:dyDescent="0.25">
      <c r="A105" s="384"/>
      <c r="B105" s="320" t="s">
        <v>65</v>
      </c>
      <c r="C105" s="114" t="s">
        <v>71</v>
      </c>
      <c r="D105" s="113">
        <v>20</v>
      </c>
      <c r="E105" s="114">
        <v>84</v>
      </c>
      <c r="F105" s="114">
        <f>4704+840</f>
        <v>5544</v>
      </c>
      <c r="G105" s="152"/>
      <c r="H105" s="152">
        <f t="shared" si="4"/>
        <v>5544</v>
      </c>
      <c r="I105" s="161"/>
      <c r="J105" s="161"/>
      <c r="K105" s="161"/>
      <c r="L105" s="161"/>
      <c r="M105" s="161"/>
    </row>
    <row r="106" spans="1:13" x14ac:dyDescent="0.25">
      <c r="A106" s="384"/>
      <c r="B106" s="305"/>
      <c r="C106" s="114" t="s">
        <v>50</v>
      </c>
      <c r="D106" s="113">
        <v>23</v>
      </c>
      <c r="E106" s="114">
        <v>45</v>
      </c>
      <c r="F106" s="114">
        <f>1575+810</f>
        <v>2385</v>
      </c>
      <c r="G106" s="152"/>
      <c r="H106" s="152">
        <f t="shared" si="4"/>
        <v>2385</v>
      </c>
      <c r="I106" s="161"/>
      <c r="J106" s="161"/>
      <c r="K106" s="161"/>
      <c r="L106" s="161"/>
      <c r="M106" s="161"/>
    </row>
    <row r="107" spans="1:13" x14ac:dyDescent="0.25">
      <c r="A107" s="384"/>
      <c r="B107" s="319"/>
      <c r="C107" s="152" t="s">
        <v>55</v>
      </c>
      <c r="D107" s="105">
        <v>17</v>
      </c>
      <c r="E107" s="152">
        <v>40</v>
      </c>
      <c r="F107" s="152">
        <f>1040+240+80</f>
        <v>1360</v>
      </c>
      <c r="G107" s="152"/>
      <c r="H107" s="152">
        <f t="shared" si="4"/>
        <v>1360</v>
      </c>
      <c r="I107" s="161"/>
      <c r="J107" s="161"/>
      <c r="K107" s="161"/>
      <c r="L107" s="161"/>
      <c r="M107" s="161"/>
    </row>
    <row r="108" spans="1:13" ht="15.75" thickBot="1" x14ac:dyDescent="0.3">
      <c r="A108" s="385"/>
      <c r="B108" s="126" t="s">
        <v>28</v>
      </c>
      <c r="C108" s="126" t="s">
        <v>27</v>
      </c>
      <c r="D108" s="107">
        <v>35</v>
      </c>
      <c r="E108" s="126">
        <v>24</v>
      </c>
      <c r="F108" s="126">
        <f>1080+48</f>
        <v>1128</v>
      </c>
      <c r="G108" s="126"/>
      <c r="H108" s="126">
        <f t="shared" si="4"/>
        <v>1128</v>
      </c>
      <c r="I108" s="161"/>
      <c r="J108" s="161"/>
      <c r="K108" s="161"/>
      <c r="L108" s="161"/>
      <c r="M108" s="161"/>
    </row>
    <row r="109" spans="1:13" ht="16.5" thickTop="1" thickBot="1" x14ac:dyDescent="0.3">
      <c r="A109" s="43" t="s">
        <v>216</v>
      </c>
      <c r="B109" s="149" t="s">
        <v>159</v>
      </c>
      <c r="C109" s="149" t="s">
        <v>55</v>
      </c>
      <c r="D109" s="124">
        <v>27</v>
      </c>
      <c r="E109" s="149">
        <v>40</v>
      </c>
      <c r="F109" s="149">
        <v>112</v>
      </c>
      <c r="G109" s="149">
        <v>40</v>
      </c>
      <c r="H109" s="149">
        <f t="shared" si="4"/>
        <v>72</v>
      </c>
      <c r="I109" s="161"/>
      <c r="J109" s="161"/>
      <c r="K109" s="161"/>
      <c r="L109" s="161"/>
      <c r="M109" s="161"/>
    </row>
    <row r="110" spans="1:13" ht="16.5" thickTop="1" thickBot="1" x14ac:dyDescent="0.3">
      <c r="A110" s="235" t="s">
        <v>217</v>
      </c>
      <c r="B110" s="31" t="s">
        <v>159</v>
      </c>
      <c r="C110" s="31" t="s">
        <v>55</v>
      </c>
      <c r="D110" s="110">
        <v>27</v>
      </c>
      <c r="E110" s="31">
        <v>40</v>
      </c>
      <c r="F110" s="31">
        <v>142</v>
      </c>
      <c r="G110" s="31"/>
      <c r="H110" s="31">
        <f t="shared" si="4"/>
        <v>142</v>
      </c>
      <c r="I110" s="161"/>
      <c r="J110" s="161"/>
      <c r="K110" s="161"/>
      <c r="L110" s="161"/>
      <c r="M110" s="161"/>
    </row>
    <row r="111" spans="1:13" ht="15.75" thickTop="1" x14ac:dyDescent="0.25">
      <c r="A111" s="359" t="s">
        <v>609</v>
      </c>
      <c r="B111" s="313" t="s">
        <v>161</v>
      </c>
      <c r="C111" s="112" t="s">
        <v>72</v>
      </c>
      <c r="D111" s="111">
        <v>16.670745</v>
      </c>
      <c r="E111" s="112">
        <v>72</v>
      </c>
      <c r="F111" s="112">
        <f>2016+144</f>
        <v>2160</v>
      </c>
      <c r="G111" s="112">
        <v>10</v>
      </c>
      <c r="H111" s="112">
        <f>F111-G111</f>
        <v>2150</v>
      </c>
      <c r="I111" s="161"/>
      <c r="J111" s="161"/>
      <c r="K111" s="161"/>
      <c r="L111" s="161"/>
      <c r="M111" s="161"/>
    </row>
    <row r="112" spans="1:13" x14ac:dyDescent="0.25">
      <c r="A112" s="360"/>
      <c r="B112" s="314"/>
      <c r="C112" s="114" t="s">
        <v>30</v>
      </c>
      <c r="D112" s="113">
        <v>20.375354999999999</v>
      </c>
      <c r="E112" s="114">
        <v>36</v>
      </c>
      <c r="F112" s="114">
        <v>1152</v>
      </c>
      <c r="G112" s="114">
        <v>10</v>
      </c>
      <c r="H112" s="114">
        <f>F112-G112</f>
        <v>1142</v>
      </c>
      <c r="I112" s="161"/>
      <c r="J112" s="161"/>
      <c r="K112" s="161"/>
      <c r="L112" s="161"/>
      <c r="M112" s="161"/>
    </row>
    <row r="113" spans="1:13" x14ac:dyDescent="0.25">
      <c r="A113" s="360"/>
      <c r="B113" s="314"/>
      <c r="C113" s="114" t="s">
        <v>66</v>
      </c>
      <c r="D113" s="113">
        <v>23.462530000000001</v>
      </c>
      <c r="E113" s="114">
        <v>24</v>
      </c>
      <c r="F113" s="114">
        <f>720+432</f>
        <v>1152</v>
      </c>
      <c r="G113" s="114">
        <f>24+10+10</f>
        <v>44</v>
      </c>
      <c r="H113" s="114">
        <f t="shared" ref="H113:H157" si="5">F113-G113</f>
        <v>1108</v>
      </c>
      <c r="I113" s="161"/>
      <c r="J113" s="161"/>
      <c r="K113" s="161"/>
      <c r="L113" s="161"/>
      <c r="M113" s="161"/>
    </row>
    <row r="114" spans="1:13" x14ac:dyDescent="0.25">
      <c r="A114" s="360"/>
      <c r="B114" s="314"/>
      <c r="C114" s="114" t="s">
        <v>69</v>
      </c>
      <c r="D114" s="113">
        <v>46.925060000000002</v>
      </c>
      <c r="E114" s="114">
        <v>24</v>
      </c>
      <c r="F114" s="114">
        <v>720</v>
      </c>
      <c r="G114" s="114">
        <f>8+24</f>
        <v>32</v>
      </c>
      <c r="H114" s="114">
        <f t="shared" si="5"/>
        <v>688</v>
      </c>
      <c r="I114" s="161"/>
      <c r="J114" s="161"/>
      <c r="K114" s="161"/>
      <c r="L114" s="161"/>
      <c r="M114" s="161"/>
    </row>
    <row r="115" spans="1:13" x14ac:dyDescent="0.25">
      <c r="A115" s="360"/>
      <c r="B115" s="314"/>
      <c r="C115" s="114" t="s">
        <v>67</v>
      </c>
      <c r="D115" s="113">
        <v>58.656325000000002</v>
      </c>
      <c r="E115" s="114">
        <v>12</v>
      </c>
      <c r="F115" s="114">
        <v>180</v>
      </c>
      <c r="G115" s="114">
        <v>3</v>
      </c>
      <c r="H115" s="114">
        <f t="shared" si="5"/>
        <v>177</v>
      </c>
      <c r="I115" s="161"/>
      <c r="J115" s="161"/>
      <c r="K115" s="161"/>
      <c r="L115" s="161"/>
      <c r="M115" s="161"/>
    </row>
    <row r="116" spans="1:13" x14ac:dyDescent="0.25">
      <c r="A116" s="360"/>
      <c r="B116" s="314" t="s">
        <v>162</v>
      </c>
      <c r="C116" s="114" t="s">
        <v>74</v>
      </c>
      <c r="D116" s="113">
        <v>20.375354999999999</v>
      </c>
      <c r="E116" s="114">
        <v>63</v>
      </c>
      <c r="F116" s="114">
        <f>1008+1764-504</f>
        <v>2268</v>
      </c>
      <c r="G116" s="114">
        <f>63+20+20+63+4+10</f>
        <v>180</v>
      </c>
      <c r="H116" s="114">
        <f t="shared" si="5"/>
        <v>2088</v>
      </c>
      <c r="I116" s="161"/>
      <c r="J116" s="161"/>
      <c r="K116" s="161"/>
      <c r="L116" s="161"/>
      <c r="M116" s="161"/>
    </row>
    <row r="117" spans="1:13" x14ac:dyDescent="0.25">
      <c r="A117" s="360"/>
      <c r="B117" s="314"/>
      <c r="C117" s="114" t="s">
        <v>59</v>
      </c>
      <c r="D117" s="113">
        <v>23.462530000000001</v>
      </c>
      <c r="E117" s="114">
        <v>36</v>
      </c>
      <c r="F117" s="114">
        <f>252+1008</f>
        <v>1260</v>
      </c>
      <c r="G117" s="114">
        <f>10+10</f>
        <v>20</v>
      </c>
      <c r="H117" s="114">
        <f t="shared" si="5"/>
        <v>1240</v>
      </c>
      <c r="I117" s="161"/>
      <c r="J117" s="161"/>
      <c r="K117" s="161"/>
      <c r="L117" s="161"/>
      <c r="M117" s="161"/>
    </row>
    <row r="118" spans="1:13" x14ac:dyDescent="0.25">
      <c r="A118" s="360"/>
      <c r="B118" s="308" t="s">
        <v>159</v>
      </c>
      <c r="C118" s="114" t="s">
        <v>50</v>
      </c>
      <c r="D118" s="113">
        <v>16.670745</v>
      </c>
      <c r="E118" s="114">
        <v>45</v>
      </c>
      <c r="F118" s="114">
        <f>1260+1395+90</f>
        <v>2745</v>
      </c>
      <c r="G118" s="114">
        <f>90+90+22+25+45+45+10+10+10+45</f>
        <v>392</v>
      </c>
      <c r="H118" s="114">
        <f t="shared" si="5"/>
        <v>2353</v>
      </c>
      <c r="I118" s="161"/>
      <c r="J118" s="161"/>
      <c r="K118" s="161"/>
      <c r="L118" s="161"/>
      <c r="M118" s="161"/>
    </row>
    <row r="119" spans="1:13" x14ac:dyDescent="0.25">
      <c r="A119" s="360"/>
      <c r="B119" s="308"/>
      <c r="C119" s="114" t="s">
        <v>55</v>
      </c>
      <c r="D119" s="113">
        <v>20.375354999999999</v>
      </c>
      <c r="E119" s="114">
        <v>40</v>
      </c>
      <c r="F119" s="114">
        <f>1200+800+79+136</f>
        <v>2215</v>
      </c>
      <c r="G119" s="114">
        <f>80+80+10+40+40+10+10+40+10</f>
        <v>320</v>
      </c>
      <c r="H119" s="114">
        <f t="shared" si="5"/>
        <v>1895</v>
      </c>
      <c r="I119" s="161"/>
      <c r="J119" s="161"/>
      <c r="K119" s="161"/>
      <c r="L119" s="161"/>
      <c r="M119" s="161"/>
    </row>
    <row r="120" spans="1:13" x14ac:dyDescent="0.25">
      <c r="A120" s="360"/>
      <c r="B120" s="308"/>
      <c r="C120" s="114" t="s">
        <v>54</v>
      </c>
      <c r="D120" s="113">
        <v>23.462530000000001</v>
      </c>
      <c r="E120" s="114">
        <v>28</v>
      </c>
      <c r="F120" s="114">
        <f>672+336</f>
        <v>1008</v>
      </c>
      <c r="G120" s="114">
        <f>10+28+28+10+15+28+10</f>
        <v>129</v>
      </c>
      <c r="H120" s="114">
        <f t="shared" si="5"/>
        <v>879</v>
      </c>
      <c r="I120" s="161"/>
      <c r="J120" s="161"/>
      <c r="K120" s="161"/>
      <c r="L120" s="161"/>
      <c r="M120" s="161"/>
    </row>
    <row r="121" spans="1:13" x14ac:dyDescent="0.25">
      <c r="A121" s="360"/>
      <c r="B121" s="357"/>
      <c r="C121" s="114" t="s">
        <v>53</v>
      </c>
      <c r="D121" s="113">
        <v>25</v>
      </c>
      <c r="E121" s="114">
        <v>28</v>
      </c>
      <c r="F121" s="114">
        <v>360</v>
      </c>
      <c r="G121" s="114">
        <f>28+10+10</f>
        <v>48</v>
      </c>
      <c r="H121" s="114">
        <f t="shared" si="5"/>
        <v>312</v>
      </c>
      <c r="I121" s="161"/>
      <c r="J121" s="161"/>
      <c r="K121" s="161"/>
      <c r="L121" s="161"/>
      <c r="M121" s="161"/>
    </row>
    <row r="122" spans="1:13" x14ac:dyDescent="0.25">
      <c r="A122" s="360"/>
      <c r="B122" s="314" t="s">
        <v>68</v>
      </c>
      <c r="C122" s="114" t="s">
        <v>55</v>
      </c>
      <c r="D122" s="113">
        <v>23.462530000000001</v>
      </c>
      <c r="E122" s="114">
        <v>28</v>
      </c>
      <c r="F122" s="114">
        <f>728+56</f>
        <v>784</v>
      </c>
      <c r="G122" s="114">
        <f>20+56+20+56+28+10+15</f>
        <v>205</v>
      </c>
      <c r="H122" s="114">
        <f t="shared" si="5"/>
        <v>579</v>
      </c>
      <c r="I122" s="161"/>
      <c r="J122" s="161"/>
      <c r="K122" s="161"/>
      <c r="L122" s="161"/>
      <c r="M122" s="161"/>
    </row>
    <row r="123" spans="1:13" x14ac:dyDescent="0.25">
      <c r="A123" s="360"/>
      <c r="B123" s="314"/>
      <c r="C123" s="114" t="s">
        <v>53</v>
      </c>
      <c r="D123" s="113">
        <v>46.925060000000002</v>
      </c>
      <c r="E123" s="114">
        <v>18</v>
      </c>
      <c r="F123" s="114">
        <f>396+36</f>
        <v>432</v>
      </c>
      <c r="G123" s="114">
        <f>10+10+15</f>
        <v>35</v>
      </c>
      <c r="H123" s="114">
        <f t="shared" si="5"/>
        <v>397</v>
      </c>
      <c r="I123" s="161"/>
      <c r="J123" s="161"/>
      <c r="K123" s="161"/>
      <c r="L123" s="161"/>
      <c r="M123" s="161"/>
    </row>
    <row r="124" spans="1:13" x14ac:dyDescent="0.25">
      <c r="A124" s="360"/>
      <c r="B124" s="356" t="s">
        <v>163</v>
      </c>
      <c r="C124" s="114" t="s">
        <v>51</v>
      </c>
      <c r="D124" s="113">
        <v>18.523050000000001</v>
      </c>
      <c r="E124" s="114">
        <v>48</v>
      </c>
      <c r="F124" s="114">
        <v>1344</v>
      </c>
      <c r="G124" s="114">
        <f>25+25+24+48+48+10+48</f>
        <v>228</v>
      </c>
      <c r="H124" s="114">
        <f t="shared" si="5"/>
        <v>1116</v>
      </c>
      <c r="I124" s="161"/>
      <c r="J124" s="161"/>
      <c r="K124" s="161"/>
      <c r="L124" s="161"/>
      <c r="M124" s="161"/>
    </row>
    <row r="125" spans="1:13" x14ac:dyDescent="0.25">
      <c r="A125" s="360"/>
      <c r="B125" s="308"/>
      <c r="C125" s="114" t="s">
        <v>30</v>
      </c>
      <c r="D125" s="113">
        <v>23.462530000000001</v>
      </c>
      <c r="E125" s="114">
        <v>28</v>
      </c>
      <c r="F125" s="114">
        <f>392+588+144+26+588+392</f>
        <v>2130</v>
      </c>
      <c r="G125" s="114">
        <f>45+56+45+56+14+28+10+28+28</f>
        <v>310</v>
      </c>
      <c r="H125" s="114">
        <f t="shared" si="5"/>
        <v>1820</v>
      </c>
      <c r="I125" s="161"/>
      <c r="J125" s="161"/>
      <c r="K125" s="161"/>
      <c r="L125" s="161"/>
      <c r="M125" s="161"/>
    </row>
    <row r="126" spans="1:13" x14ac:dyDescent="0.25">
      <c r="A126" s="360"/>
      <c r="B126" s="308"/>
      <c r="C126" s="114" t="s">
        <v>29</v>
      </c>
      <c r="D126" s="113">
        <v>46.925060000000002</v>
      </c>
      <c r="E126" s="114">
        <v>24</v>
      </c>
      <c r="F126" s="114">
        <f>576+480+48+43+144+144</f>
        <v>1435</v>
      </c>
      <c r="G126" s="114">
        <f>15+15+10+24+10+24+15+24+24+10</f>
        <v>171</v>
      </c>
      <c r="H126" s="114">
        <f t="shared" si="5"/>
        <v>1264</v>
      </c>
      <c r="I126" s="161"/>
      <c r="J126" s="161"/>
      <c r="K126" s="161"/>
      <c r="L126" s="161"/>
      <c r="M126" s="161"/>
    </row>
    <row r="127" spans="1:13" x14ac:dyDescent="0.25">
      <c r="A127" s="360"/>
      <c r="B127" s="357"/>
      <c r="C127" s="114" t="s">
        <v>121</v>
      </c>
      <c r="D127" s="113">
        <v>53</v>
      </c>
      <c r="E127" s="114">
        <v>15</v>
      </c>
      <c r="F127" s="114">
        <v>225</v>
      </c>
      <c r="G127" s="114">
        <v>15</v>
      </c>
      <c r="H127" s="114">
        <f t="shared" si="5"/>
        <v>210</v>
      </c>
      <c r="I127" s="161"/>
      <c r="J127" s="161"/>
      <c r="K127" s="161"/>
      <c r="L127" s="161"/>
      <c r="M127" s="161"/>
    </row>
    <row r="128" spans="1:13" x14ac:dyDescent="0.25">
      <c r="A128" s="360"/>
      <c r="B128" s="356" t="s">
        <v>164</v>
      </c>
      <c r="C128" s="114" t="s">
        <v>72</v>
      </c>
      <c r="D128" s="113">
        <v>15</v>
      </c>
      <c r="E128" s="114">
        <v>72</v>
      </c>
      <c r="F128" s="114">
        <v>5832</v>
      </c>
      <c r="G128" s="114">
        <f>36+72</f>
        <v>108</v>
      </c>
      <c r="H128" s="114">
        <f t="shared" si="5"/>
        <v>5724</v>
      </c>
      <c r="I128" s="161"/>
      <c r="J128" s="161"/>
      <c r="K128" s="161"/>
      <c r="L128" s="161"/>
      <c r="M128" s="161"/>
    </row>
    <row r="129" spans="1:13" x14ac:dyDescent="0.25">
      <c r="A129" s="360"/>
      <c r="B129" s="308"/>
      <c r="C129" s="114" t="s">
        <v>73</v>
      </c>
      <c r="D129" s="113">
        <v>20.375354999999999</v>
      </c>
      <c r="E129" s="114">
        <v>48</v>
      </c>
      <c r="F129" s="114">
        <f>1008+96+1536</f>
        <v>2640</v>
      </c>
      <c r="G129" s="114">
        <f>336+36+96+36+96+24+48+10+15+48</f>
        <v>745</v>
      </c>
      <c r="H129" s="114">
        <f t="shared" si="5"/>
        <v>1895</v>
      </c>
      <c r="I129" s="161"/>
      <c r="J129" s="161"/>
      <c r="K129" s="161"/>
      <c r="L129" s="161"/>
      <c r="M129" s="161"/>
    </row>
    <row r="130" spans="1:13" x14ac:dyDescent="0.25">
      <c r="A130" s="360"/>
      <c r="B130" s="308"/>
      <c r="C130" s="114" t="s">
        <v>48</v>
      </c>
      <c r="D130" s="113">
        <v>46.925060000000002</v>
      </c>
      <c r="E130" s="114">
        <v>24</v>
      </c>
      <c r="F130" s="114">
        <f>672+624+48</f>
        <v>1344</v>
      </c>
      <c r="G130" s="114">
        <f>10+168+24+10+15+24+10</f>
        <v>261</v>
      </c>
      <c r="H130" s="114">
        <f t="shared" si="5"/>
        <v>1083</v>
      </c>
      <c r="I130" s="161"/>
      <c r="J130" s="161"/>
      <c r="K130" s="161"/>
      <c r="L130" s="161"/>
      <c r="M130" s="161"/>
    </row>
    <row r="131" spans="1:13" x14ac:dyDescent="0.25">
      <c r="A131" s="360"/>
      <c r="B131" s="357"/>
      <c r="C131" s="114" t="s">
        <v>47</v>
      </c>
      <c r="D131" s="113">
        <v>50</v>
      </c>
      <c r="E131" s="114">
        <v>12</v>
      </c>
      <c r="F131" s="114">
        <f>144+360</f>
        <v>504</v>
      </c>
      <c r="G131" s="114">
        <v>12</v>
      </c>
      <c r="H131" s="114">
        <f t="shared" si="5"/>
        <v>492</v>
      </c>
      <c r="I131" s="161"/>
      <c r="J131" s="161"/>
      <c r="K131" s="161"/>
      <c r="L131" s="161"/>
      <c r="M131" s="161"/>
    </row>
    <row r="132" spans="1:13" x14ac:dyDescent="0.25">
      <c r="A132" s="360"/>
      <c r="B132" s="356" t="s">
        <v>160</v>
      </c>
      <c r="C132" s="114" t="s">
        <v>40</v>
      </c>
      <c r="D132" s="113">
        <v>26.685749999999999</v>
      </c>
      <c r="E132" s="114">
        <v>42</v>
      </c>
      <c r="F132" s="114">
        <v>1008</v>
      </c>
      <c r="G132" s="114">
        <f>20+42+4+70+15</f>
        <v>151</v>
      </c>
      <c r="H132" s="114">
        <f t="shared" si="5"/>
        <v>857</v>
      </c>
      <c r="I132" s="161"/>
      <c r="J132" s="161"/>
      <c r="K132" s="161"/>
      <c r="L132" s="161"/>
      <c r="M132" s="161"/>
    </row>
    <row r="133" spans="1:13" x14ac:dyDescent="0.25">
      <c r="A133" s="360"/>
      <c r="B133" s="357"/>
      <c r="C133" s="114" t="s">
        <v>80</v>
      </c>
      <c r="D133" s="113">
        <v>30</v>
      </c>
      <c r="E133" s="114">
        <v>24</v>
      </c>
      <c r="F133" s="114">
        <f>1920-1536+192</f>
        <v>576</v>
      </c>
      <c r="G133" s="114">
        <f>70+24</f>
        <v>94</v>
      </c>
      <c r="H133" s="114">
        <f t="shared" si="5"/>
        <v>482</v>
      </c>
      <c r="I133" s="161"/>
      <c r="J133" s="161"/>
      <c r="K133" s="161"/>
      <c r="L133" s="161"/>
      <c r="M133" s="161"/>
    </row>
    <row r="134" spans="1:13" x14ac:dyDescent="0.25">
      <c r="A134" s="360"/>
      <c r="B134" s="314" t="s">
        <v>165</v>
      </c>
      <c r="C134" s="114" t="s">
        <v>71</v>
      </c>
      <c r="D134" s="113">
        <v>16.670745</v>
      </c>
      <c r="E134" s="114">
        <v>84</v>
      </c>
      <c r="F134" s="114">
        <f>2016+1344</f>
        <v>3360</v>
      </c>
      <c r="G134" s="114">
        <f>20+20+84+4+30</f>
        <v>158</v>
      </c>
      <c r="H134" s="114">
        <f t="shared" si="5"/>
        <v>3202</v>
      </c>
      <c r="I134" s="161"/>
      <c r="J134" s="161"/>
      <c r="K134" s="161"/>
      <c r="L134" s="161"/>
      <c r="M134" s="161"/>
    </row>
    <row r="135" spans="1:13" x14ac:dyDescent="0.25">
      <c r="A135" s="360"/>
      <c r="B135" s="314"/>
      <c r="C135" s="114" t="s">
        <v>50</v>
      </c>
      <c r="D135" s="113">
        <v>20.375354999999999</v>
      </c>
      <c r="E135" s="114">
        <v>45</v>
      </c>
      <c r="F135" s="114">
        <v>810</v>
      </c>
      <c r="G135" s="114">
        <f>20+20+2</f>
        <v>42</v>
      </c>
      <c r="H135" s="114">
        <f t="shared" si="5"/>
        <v>768</v>
      </c>
      <c r="I135" s="161"/>
      <c r="J135" s="161"/>
      <c r="K135" s="161"/>
      <c r="L135" s="161"/>
      <c r="M135" s="161"/>
    </row>
    <row r="136" spans="1:13" x14ac:dyDescent="0.25">
      <c r="A136" s="360"/>
      <c r="B136" s="356"/>
      <c r="C136" s="118" t="s">
        <v>55</v>
      </c>
      <c r="D136" s="117">
        <v>23.462530000000001</v>
      </c>
      <c r="E136" s="118">
        <v>40</v>
      </c>
      <c r="F136" s="118">
        <v>1200</v>
      </c>
      <c r="G136" s="118"/>
      <c r="H136" s="118">
        <f t="shared" si="5"/>
        <v>1200</v>
      </c>
      <c r="I136" s="161"/>
      <c r="J136" s="161"/>
      <c r="K136" s="161"/>
      <c r="L136" s="161"/>
      <c r="M136" s="161"/>
    </row>
    <row r="137" spans="1:13" ht="15.75" thickBot="1" x14ac:dyDescent="0.3">
      <c r="A137" s="361"/>
      <c r="B137" s="126" t="s">
        <v>35</v>
      </c>
      <c r="C137" s="126" t="s">
        <v>27</v>
      </c>
      <c r="D137" s="107">
        <v>30</v>
      </c>
      <c r="E137" s="126">
        <v>24</v>
      </c>
      <c r="F137" s="126">
        <v>840</v>
      </c>
      <c r="G137" s="116"/>
      <c r="H137" s="116">
        <f t="shared" si="5"/>
        <v>840</v>
      </c>
      <c r="I137" s="161"/>
      <c r="J137" s="161"/>
      <c r="K137" s="161"/>
      <c r="L137" s="161"/>
      <c r="M137" s="161"/>
    </row>
    <row r="138" spans="1:13" ht="12.75" customHeight="1" thickTop="1" x14ac:dyDescent="0.25">
      <c r="A138" s="359" t="s">
        <v>141</v>
      </c>
      <c r="B138" s="310" t="s">
        <v>32</v>
      </c>
      <c r="C138" s="151" t="s">
        <v>30</v>
      </c>
      <c r="D138" s="108">
        <v>20</v>
      </c>
      <c r="E138" s="151">
        <v>36</v>
      </c>
      <c r="F138" s="151">
        <f>864</f>
        <v>864</v>
      </c>
      <c r="G138" s="112"/>
      <c r="H138" s="112">
        <f t="shared" si="5"/>
        <v>864</v>
      </c>
      <c r="I138" s="161"/>
      <c r="J138" s="161"/>
      <c r="K138" s="161"/>
      <c r="L138" s="161"/>
      <c r="M138" s="161"/>
    </row>
    <row r="139" spans="1:13" ht="15" customHeight="1" x14ac:dyDescent="0.25">
      <c r="A139" s="360"/>
      <c r="B139" s="311"/>
      <c r="C139" s="152" t="s">
        <v>66</v>
      </c>
      <c r="D139" s="105">
        <v>23</v>
      </c>
      <c r="E139" s="152">
        <v>24</v>
      </c>
      <c r="F139" s="152">
        <v>336</v>
      </c>
      <c r="G139" s="114"/>
      <c r="H139" s="114">
        <f t="shared" si="5"/>
        <v>336</v>
      </c>
      <c r="I139" s="161"/>
      <c r="J139" s="161"/>
      <c r="K139" s="161"/>
      <c r="L139" s="161"/>
      <c r="M139" s="161"/>
    </row>
    <row r="140" spans="1:13" x14ac:dyDescent="0.25">
      <c r="A140" s="360"/>
      <c r="B140" s="311" t="s">
        <v>58</v>
      </c>
      <c r="C140" s="152" t="s">
        <v>50</v>
      </c>
      <c r="D140" s="105">
        <v>17</v>
      </c>
      <c r="E140" s="152">
        <v>45</v>
      </c>
      <c r="F140" s="152">
        <f>540+90</f>
        <v>630</v>
      </c>
      <c r="G140" s="114"/>
      <c r="H140" s="114">
        <f t="shared" si="5"/>
        <v>630</v>
      </c>
      <c r="I140" s="161"/>
      <c r="J140" s="161"/>
      <c r="K140" s="161"/>
      <c r="L140" s="161"/>
      <c r="M140" s="161"/>
    </row>
    <row r="141" spans="1:13" x14ac:dyDescent="0.25">
      <c r="A141" s="360"/>
      <c r="B141" s="311"/>
      <c r="C141" s="152" t="s">
        <v>55</v>
      </c>
      <c r="D141" s="105">
        <v>27</v>
      </c>
      <c r="E141" s="152">
        <v>40</v>
      </c>
      <c r="F141" s="152">
        <f>145+240</f>
        <v>385</v>
      </c>
      <c r="G141" s="114"/>
      <c r="H141" s="114">
        <f t="shared" si="5"/>
        <v>385</v>
      </c>
      <c r="I141" s="161"/>
      <c r="J141" s="161"/>
      <c r="K141" s="161"/>
      <c r="L141" s="161"/>
      <c r="M141" s="161"/>
    </row>
    <row r="142" spans="1:13" x14ac:dyDescent="0.25">
      <c r="A142" s="360"/>
      <c r="B142" s="311" t="s">
        <v>163</v>
      </c>
      <c r="C142" s="152" t="s">
        <v>30</v>
      </c>
      <c r="D142" s="105">
        <v>23</v>
      </c>
      <c r="E142" s="152">
        <v>28</v>
      </c>
      <c r="F142" s="152">
        <v>356</v>
      </c>
      <c r="G142" s="114"/>
      <c r="H142" s="114">
        <f t="shared" si="5"/>
        <v>356</v>
      </c>
      <c r="I142" s="161"/>
      <c r="J142" s="161"/>
      <c r="K142" s="161"/>
      <c r="L142" s="161"/>
      <c r="M142" s="161"/>
    </row>
    <row r="143" spans="1:13" x14ac:dyDescent="0.25">
      <c r="A143" s="360"/>
      <c r="B143" s="311"/>
      <c r="C143" s="152" t="s">
        <v>29</v>
      </c>
      <c r="D143" s="105">
        <v>47</v>
      </c>
      <c r="E143" s="152">
        <v>24</v>
      </c>
      <c r="F143" s="152">
        <f>250+24</f>
        <v>274</v>
      </c>
      <c r="G143" s="114"/>
      <c r="H143" s="114">
        <f t="shared" si="5"/>
        <v>274</v>
      </c>
      <c r="I143" s="161"/>
      <c r="J143" s="161"/>
      <c r="K143" s="161"/>
      <c r="L143" s="161"/>
      <c r="M143" s="161"/>
    </row>
    <row r="144" spans="1:13" x14ac:dyDescent="0.25">
      <c r="A144" s="360"/>
      <c r="B144" s="320" t="s">
        <v>49</v>
      </c>
      <c r="C144" s="152" t="s">
        <v>73</v>
      </c>
      <c r="D144" s="105">
        <v>20</v>
      </c>
      <c r="E144" s="152">
        <v>48</v>
      </c>
      <c r="F144" s="152">
        <v>1308</v>
      </c>
      <c r="G144" s="114"/>
      <c r="H144" s="114">
        <f t="shared" si="5"/>
        <v>1308</v>
      </c>
      <c r="I144" s="161"/>
      <c r="J144" s="161"/>
      <c r="K144" s="161"/>
      <c r="L144" s="161"/>
      <c r="M144" s="161"/>
    </row>
    <row r="145" spans="1:13" ht="15.75" thickBot="1" x14ac:dyDescent="0.3">
      <c r="A145" s="360"/>
      <c r="B145" s="306"/>
      <c r="C145" s="126" t="s">
        <v>48</v>
      </c>
      <c r="D145" s="107">
        <v>47</v>
      </c>
      <c r="E145" s="126">
        <v>24</v>
      </c>
      <c r="F145" s="126">
        <f>638+24</f>
        <v>662</v>
      </c>
      <c r="G145" s="116"/>
      <c r="H145" s="116">
        <f t="shared" si="5"/>
        <v>662</v>
      </c>
      <c r="I145" s="161"/>
      <c r="J145" s="161"/>
      <c r="K145" s="161"/>
      <c r="L145" s="161"/>
      <c r="M145" s="161"/>
    </row>
    <row r="146" spans="1:13" ht="15.75" thickTop="1" x14ac:dyDescent="0.25">
      <c r="A146" s="329" t="s">
        <v>134</v>
      </c>
      <c r="B146" s="310" t="s">
        <v>32</v>
      </c>
      <c r="C146" s="151" t="s">
        <v>72</v>
      </c>
      <c r="D146" s="108">
        <v>17</v>
      </c>
      <c r="E146" s="151">
        <v>72</v>
      </c>
      <c r="F146" s="153">
        <v>555</v>
      </c>
      <c r="G146" s="151"/>
      <c r="H146" s="112">
        <f t="shared" si="5"/>
        <v>555</v>
      </c>
      <c r="I146" s="161"/>
      <c r="J146" s="161"/>
      <c r="K146" s="161"/>
      <c r="L146" s="161"/>
      <c r="M146" s="161"/>
    </row>
    <row r="147" spans="1:13" x14ac:dyDescent="0.25">
      <c r="A147" s="330"/>
      <c r="B147" s="311"/>
      <c r="C147" s="152" t="s">
        <v>30</v>
      </c>
      <c r="D147" s="105">
        <v>20</v>
      </c>
      <c r="E147" s="152">
        <v>36</v>
      </c>
      <c r="F147" s="152">
        <v>571</v>
      </c>
      <c r="G147" s="152"/>
      <c r="H147" s="114">
        <f t="shared" si="5"/>
        <v>571</v>
      </c>
      <c r="I147" s="161"/>
      <c r="J147" s="161"/>
      <c r="K147" s="161"/>
      <c r="L147" s="161"/>
      <c r="M147" s="161"/>
    </row>
    <row r="148" spans="1:13" x14ac:dyDescent="0.25">
      <c r="A148" s="330"/>
      <c r="B148" s="311"/>
      <c r="C148" s="152" t="s">
        <v>66</v>
      </c>
      <c r="D148" s="105">
        <v>23</v>
      </c>
      <c r="E148" s="152">
        <v>24</v>
      </c>
      <c r="F148" s="152">
        <v>931</v>
      </c>
      <c r="G148" s="152">
        <v>10</v>
      </c>
      <c r="H148" s="114">
        <f t="shared" si="5"/>
        <v>921</v>
      </c>
      <c r="I148" s="161"/>
      <c r="J148" s="161"/>
      <c r="K148" s="161"/>
      <c r="L148" s="161"/>
      <c r="M148" s="161"/>
    </row>
    <row r="149" spans="1:13" x14ac:dyDescent="0.25">
      <c r="A149" s="330"/>
      <c r="B149" s="311"/>
      <c r="C149" s="152" t="s">
        <v>69</v>
      </c>
      <c r="D149" s="105">
        <v>47</v>
      </c>
      <c r="E149" s="152">
        <v>24</v>
      </c>
      <c r="F149" s="152">
        <v>456</v>
      </c>
      <c r="G149" s="152">
        <v>5</v>
      </c>
      <c r="H149" s="114">
        <f t="shared" si="5"/>
        <v>451</v>
      </c>
      <c r="I149" s="161"/>
      <c r="J149" s="161"/>
      <c r="K149" s="161"/>
      <c r="L149" s="161"/>
      <c r="M149" s="161"/>
    </row>
    <row r="150" spans="1:13" x14ac:dyDescent="0.25">
      <c r="A150" s="330"/>
      <c r="B150" s="320" t="s">
        <v>58</v>
      </c>
      <c r="C150" s="152" t="s">
        <v>55</v>
      </c>
      <c r="D150" s="105">
        <v>20</v>
      </c>
      <c r="E150" s="152">
        <v>40</v>
      </c>
      <c r="F150" s="152">
        <v>154</v>
      </c>
      <c r="G150" s="152">
        <v>10</v>
      </c>
      <c r="H150" s="114">
        <f t="shared" si="5"/>
        <v>144</v>
      </c>
      <c r="I150" s="161"/>
      <c r="J150" s="161"/>
      <c r="K150" s="161"/>
      <c r="L150" s="161"/>
      <c r="M150" s="161"/>
    </row>
    <row r="151" spans="1:13" x14ac:dyDescent="0.25">
      <c r="A151" s="330"/>
      <c r="B151" s="319"/>
      <c r="C151" s="152" t="s">
        <v>54</v>
      </c>
      <c r="D151" s="105">
        <v>23</v>
      </c>
      <c r="E151" s="152">
        <v>28</v>
      </c>
      <c r="F151" s="152">
        <v>303</v>
      </c>
      <c r="G151" s="152"/>
      <c r="H151" s="114">
        <f t="shared" si="5"/>
        <v>303</v>
      </c>
      <c r="I151" s="161"/>
      <c r="J151" s="161"/>
      <c r="K151" s="161"/>
      <c r="L151" s="161"/>
      <c r="M151" s="161"/>
    </row>
    <row r="152" spans="1:13" x14ac:dyDescent="0.25">
      <c r="A152" s="330"/>
      <c r="B152" s="152" t="s">
        <v>56</v>
      </c>
      <c r="C152" s="152" t="s">
        <v>54</v>
      </c>
      <c r="D152" s="105">
        <v>23</v>
      </c>
      <c r="E152" s="152">
        <v>28</v>
      </c>
      <c r="F152" s="152">
        <v>336</v>
      </c>
      <c r="G152" s="152"/>
      <c r="H152" s="114">
        <f t="shared" si="5"/>
        <v>336</v>
      </c>
      <c r="I152" s="161"/>
      <c r="J152" s="161"/>
      <c r="K152" s="161"/>
      <c r="L152" s="161"/>
      <c r="M152" s="161"/>
    </row>
    <row r="153" spans="1:13" x14ac:dyDescent="0.25">
      <c r="A153" s="330"/>
      <c r="B153" s="152" t="s">
        <v>68</v>
      </c>
      <c r="C153" s="152" t="s">
        <v>53</v>
      </c>
      <c r="D153" s="105">
        <v>47</v>
      </c>
      <c r="E153" s="152">
        <v>18</v>
      </c>
      <c r="F153" s="152">
        <v>18</v>
      </c>
      <c r="G153" s="152"/>
      <c r="H153" s="114">
        <f t="shared" si="5"/>
        <v>18</v>
      </c>
      <c r="I153" s="161"/>
      <c r="J153" s="161"/>
      <c r="K153" s="161"/>
      <c r="L153" s="161"/>
      <c r="M153" s="161"/>
    </row>
    <row r="154" spans="1:13" x14ac:dyDescent="0.25">
      <c r="A154" s="330"/>
      <c r="B154" s="311" t="s">
        <v>49</v>
      </c>
      <c r="C154" s="47" t="s">
        <v>48</v>
      </c>
      <c r="D154" s="105">
        <v>47</v>
      </c>
      <c r="E154" s="152">
        <v>24</v>
      </c>
      <c r="F154" s="152">
        <v>35</v>
      </c>
      <c r="G154" s="152"/>
      <c r="H154" s="114">
        <f t="shared" si="5"/>
        <v>35</v>
      </c>
      <c r="I154" s="161"/>
      <c r="J154" s="161"/>
      <c r="K154" s="161"/>
      <c r="L154" s="161"/>
      <c r="M154" s="161"/>
    </row>
    <row r="155" spans="1:13" x14ac:dyDescent="0.25">
      <c r="A155" s="330"/>
      <c r="B155" s="311"/>
      <c r="C155" s="47" t="s">
        <v>47</v>
      </c>
      <c r="D155" s="105">
        <v>50</v>
      </c>
      <c r="E155" s="152">
        <v>12</v>
      </c>
      <c r="F155" s="152">
        <v>32</v>
      </c>
      <c r="G155" s="152"/>
      <c r="H155" s="114">
        <f t="shared" si="5"/>
        <v>32</v>
      </c>
      <c r="I155" s="161"/>
      <c r="J155" s="161"/>
      <c r="K155" s="161"/>
      <c r="L155" s="161"/>
      <c r="M155" s="161"/>
    </row>
    <row r="156" spans="1:13" x14ac:dyDescent="0.25">
      <c r="A156" s="330"/>
      <c r="B156" s="311" t="s">
        <v>28</v>
      </c>
      <c r="C156" s="152" t="s">
        <v>27</v>
      </c>
      <c r="D156" s="105">
        <v>30</v>
      </c>
      <c r="E156" s="152">
        <v>24</v>
      </c>
      <c r="F156" s="152">
        <v>352</v>
      </c>
      <c r="G156" s="152"/>
      <c r="H156" s="114">
        <f t="shared" si="5"/>
        <v>352</v>
      </c>
      <c r="I156" s="161"/>
      <c r="J156" s="161"/>
      <c r="K156" s="161"/>
      <c r="L156" s="161"/>
      <c r="M156" s="161"/>
    </row>
    <row r="157" spans="1:13" ht="15.75" thickBot="1" x14ac:dyDescent="0.3">
      <c r="A157" s="331"/>
      <c r="B157" s="312"/>
      <c r="C157" s="126" t="s">
        <v>157</v>
      </c>
      <c r="D157" s="107">
        <v>35</v>
      </c>
      <c r="E157" s="126">
        <v>12</v>
      </c>
      <c r="F157" s="154">
        <v>48</v>
      </c>
      <c r="G157" s="126"/>
      <c r="H157" s="116">
        <f t="shared" si="5"/>
        <v>48</v>
      </c>
      <c r="I157" s="161"/>
      <c r="J157" s="161"/>
      <c r="K157" s="161"/>
      <c r="L157" s="161"/>
      <c r="M157" s="161"/>
    </row>
    <row r="158" spans="1:13" ht="15.75" thickTop="1" x14ac:dyDescent="0.25">
      <c r="A158" s="383" t="s">
        <v>70</v>
      </c>
      <c r="B158" s="304" t="s">
        <v>32</v>
      </c>
      <c r="C158" s="151" t="s">
        <v>72</v>
      </c>
      <c r="D158" s="108">
        <v>11</v>
      </c>
      <c r="E158" s="151">
        <v>72</v>
      </c>
      <c r="F158" s="151">
        <v>1728</v>
      </c>
      <c r="G158" s="151"/>
      <c r="H158" s="151">
        <f t="shared" si="4"/>
        <v>1728</v>
      </c>
      <c r="I158" s="161"/>
      <c r="J158" s="161"/>
      <c r="K158" s="161"/>
      <c r="L158" s="161"/>
      <c r="M158" s="161"/>
    </row>
    <row r="159" spans="1:13" x14ac:dyDescent="0.25">
      <c r="A159" s="384"/>
      <c r="B159" s="305"/>
      <c r="C159" s="153" t="s">
        <v>30</v>
      </c>
      <c r="D159" s="109">
        <v>13</v>
      </c>
      <c r="E159" s="153">
        <v>36</v>
      </c>
      <c r="F159" s="153">
        <v>1290</v>
      </c>
      <c r="G159" s="153">
        <v>20</v>
      </c>
      <c r="H159" s="153">
        <f>F159-G159</f>
        <v>1270</v>
      </c>
      <c r="I159" s="161"/>
      <c r="J159" s="161"/>
      <c r="K159" s="161"/>
      <c r="L159" s="161"/>
      <c r="M159" s="161"/>
    </row>
    <row r="160" spans="1:13" x14ac:dyDescent="0.25">
      <c r="A160" s="384"/>
      <c r="B160" s="305"/>
      <c r="C160" s="153" t="s">
        <v>66</v>
      </c>
      <c r="D160" s="109">
        <v>20</v>
      </c>
      <c r="E160" s="153">
        <v>24</v>
      </c>
      <c r="F160" s="153">
        <v>672</v>
      </c>
      <c r="G160" s="153">
        <v>20</v>
      </c>
      <c r="H160" s="153">
        <f>F160-G160</f>
        <v>652</v>
      </c>
      <c r="I160" s="161"/>
      <c r="J160" s="161"/>
      <c r="K160" s="161"/>
      <c r="L160" s="161"/>
      <c r="M160" s="161"/>
    </row>
    <row r="161" spans="1:13" x14ac:dyDescent="0.25">
      <c r="A161" s="384"/>
      <c r="B161" s="319"/>
      <c r="C161" s="152" t="s">
        <v>67</v>
      </c>
      <c r="D161" s="105">
        <v>59</v>
      </c>
      <c r="E161" s="152">
        <v>12</v>
      </c>
      <c r="F161" s="152">
        <v>24</v>
      </c>
      <c r="G161" s="152"/>
      <c r="H161" s="152">
        <f t="shared" si="4"/>
        <v>24</v>
      </c>
      <c r="I161" s="161"/>
      <c r="J161" s="161"/>
      <c r="K161" s="161"/>
      <c r="L161" s="161"/>
      <c r="M161" s="161"/>
    </row>
    <row r="162" spans="1:13" x14ac:dyDescent="0.25">
      <c r="A162" s="384"/>
      <c r="B162" s="320" t="s">
        <v>60</v>
      </c>
      <c r="C162" s="152" t="s">
        <v>74</v>
      </c>
      <c r="D162" s="105">
        <v>13</v>
      </c>
      <c r="E162" s="152">
        <v>48</v>
      </c>
      <c r="F162" s="152">
        <v>1764</v>
      </c>
      <c r="G162" s="152"/>
      <c r="H162" s="152">
        <f t="shared" si="4"/>
        <v>1764</v>
      </c>
      <c r="I162" s="161"/>
      <c r="J162" s="161"/>
      <c r="K162" s="161"/>
      <c r="L162" s="161"/>
      <c r="M162" s="161"/>
    </row>
    <row r="163" spans="1:13" x14ac:dyDescent="0.25">
      <c r="A163" s="384"/>
      <c r="B163" s="305"/>
      <c r="C163" s="152" t="s">
        <v>59</v>
      </c>
      <c r="D163" s="105">
        <v>23</v>
      </c>
      <c r="E163" s="152">
        <v>36</v>
      </c>
      <c r="F163" s="152">
        <v>1008</v>
      </c>
      <c r="G163" s="152">
        <v>20</v>
      </c>
      <c r="H163" s="152">
        <f t="shared" si="4"/>
        <v>988</v>
      </c>
      <c r="I163" s="161"/>
      <c r="J163" s="161"/>
      <c r="K163" s="161"/>
      <c r="L163" s="161"/>
      <c r="M163" s="161"/>
    </row>
    <row r="164" spans="1:13" x14ac:dyDescent="0.25">
      <c r="A164" s="384"/>
      <c r="B164" s="319"/>
      <c r="C164" s="152" t="s">
        <v>69</v>
      </c>
      <c r="D164" s="105">
        <v>47</v>
      </c>
      <c r="E164" s="152">
        <v>24</v>
      </c>
      <c r="F164" s="152">
        <v>432</v>
      </c>
      <c r="G164" s="152">
        <v>10</v>
      </c>
      <c r="H164" s="152">
        <f t="shared" si="4"/>
        <v>422</v>
      </c>
      <c r="I164" s="161"/>
      <c r="J164" s="161"/>
      <c r="K164" s="161"/>
      <c r="L164" s="161"/>
      <c r="M164" s="161"/>
    </row>
    <row r="165" spans="1:13" x14ac:dyDescent="0.25">
      <c r="A165" s="384"/>
      <c r="B165" s="311" t="s">
        <v>58</v>
      </c>
      <c r="C165" s="152" t="s">
        <v>50</v>
      </c>
      <c r="D165" s="105">
        <v>11</v>
      </c>
      <c r="E165" s="152">
        <v>45</v>
      </c>
      <c r="F165" s="152">
        <f>269+1664</f>
        <v>1933</v>
      </c>
      <c r="G165" s="152">
        <v>20</v>
      </c>
      <c r="H165" s="152">
        <f t="shared" si="4"/>
        <v>1913</v>
      </c>
      <c r="I165" s="161"/>
      <c r="J165" s="161"/>
      <c r="K165" s="161"/>
      <c r="L165" s="161"/>
      <c r="M165" s="161"/>
    </row>
    <row r="166" spans="1:13" x14ac:dyDescent="0.25">
      <c r="A166" s="384"/>
      <c r="B166" s="311"/>
      <c r="C166" s="152" t="s">
        <v>55</v>
      </c>
      <c r="D166" s="105">
        <v>13</v>
      </c>
      <c r="E166" s="152">
        <v>40</v>
      </c>
      <c r="F166" s="152">
        <v>1509</v>
      </c>
      <c r="G166" s="152">
        <v>20</v>
      </c>
      <c r="H166" s="152">
        <f t="shared" si="4"/>
        <v>1489</v>
      </c>
      <c r="I166" s="161"/>
      <c r="J166" s="161"/>
      <c r="K166" s="161"/>
      <c r="L166" s="161"/>
      <c r="M166" s="161"/>
    </row>
    <row r="167" spans="1:13" x14ac:dyDescent="0.25">
      <c r="A167" s="384"/>
      <c r="B167" s="311"/>
      <c r="C167" s="152" t="s">
        <v>54</v>
      </c>
      <c r="D167" s="105">
        <v>15</v>
      </c>
      <c r="E167" s="152">
        <v>28</v>
      </c>
      <c r="F167" s="152">
        <v>532</v>
      </c>
      <c r="G167" s="152">
        <v>20</v>
      </c>
      <c r="H167" s="152">
        <f t="shared" si="4"/>
        <v>512</v>
      </c>
      <c r="I167" s="161"/>
      <c r="J167" s="161"/>
      <c r="K167" s="161"/>
      <c r="L167" s="161"/>
      <c r="M167" s="161"/>
    </row>
    <row r="168" spans="1:13" x14ac:dyDescent="0.25">
      <c r="A168" s="384"/>
      <c r="B168" s="152" t="s">
        <v>68</v>
      </c>
      <c r="C168" s="152" t="s">
        <v>55</v>
      </c>
      <c r="D168" s="105">
        <v>15</v>
      </c>
      <c r="E168" s="152">
        <v>28</v>
      </c>
      <c r="F168" s="152">
        <v>392</v>
      </c>
      <c r="G168" s="152"/>
      <c r="H168" s="152">
        <f t="shared" si="4"/>
        <v>392</v>
      </c>
      <c r="I168" s="161"/>
      <c r="J168" s="161"/>
      <c r="K168" s="161"/>
      <c r="L168" s="161"/>
      <c r="M168" s="161"/>
    </row>
    <row r="169" spans="1:13" x14ac:dyDescent="0.25">
      <c r="A169" s="384"/>
      <c r="B169" s="320" t="s">
        <v>31</v>
      </c>
      <c r="C169" s="152" t="s">
        <v>51</v>
      </c>
      <c r="D169" s="105">
        <v>12</v>
      </c>
      <c r="E169" s="152">
        <v>48</v>
      </c>
      <c r="F169" s="152">
        <v>1343</v>
      </c>
      <c r="G169" s="152"/>
      <c r="H169" s="152">
        <f t="shared" si="4"/>
        <v>1343</v>
      </c>
      <c r="I169" s="161"/>
      <c r="J169" s="161"/>
      <c r="K169" s="161"/>
      <c r="L169" s="161"/>
      <c r="M169" s="161"/>
    </row>
    <row r="170" spans="1:13" x14ac:dyDescent="0.25">
      <c r="A170" s="384"/>
      <c r="B170" s="319"/>
      <c r="C170" s="152" t="s">
        <v>29</v>
      </c>
      <c r="D170" s="105">
        <v>47</v>
      </c>
      <c r="E170" s="152">
        <v>24</v>
      </c>
      <c r="F170" s="152">
        <v>48</v>
      </c>
      <c r="G170" s="152"/>
      <c r="H170" s="152">
        <f t="shared" si="4"/>
        <v>48</v>
      </c>
      <c r="I170" s="161"/>
      <c r="J170" s="161"/>
      <c r="K170" s="161"/>
      <c r="L170" s="161"/>
      <c r="M170" s="161"/>
    </row>
    <row r="171" spans="1:13" x14ac:dyDescent="0.25">
      <c r="A171" s="384"/>
      <c r="B171" s="320" t="s">
        <v>49</v>
      </c>
      <c r="C171" s="152" t="s">
        <v>73</v>
      </c>
      <c r="D171" s="105">
        <v>13</v>
      </c>
      <c r="E171" s="152">
        <v>48</v>
      </c>
      <c r="F171" s="152">
        <v>1248</v>
      </c>
      <c r="G171" s="152">
        <v>20</v>
      </c>
      <c r="H171" s="152">
        <f t="shared" si="4"/>
        <v>1228</v>
      </c>
      <c r="I171" s="161"/>
      <c r="J171" s="161"/>
      <c r="K171" s="161"/>
      <c r="L171" s="161"/>
      <c r="M171" s="161"/>
    </row>
    <row r="172" spans="1:13" x14ac:dyDescent="0.25">
      <c r="A172" s="384"/>
      <c r="B172" s="319"/>
      <c r="C172" s="152" t="s">
        <v>48</v>
      </c>
      <c r="D172" s="105">
        <v>47</v>
      </c>
      <c r="E172" s="152">
        <v>24</v>
      </c>
      <c r="F172" s="152">
        <v>144</v>
      </c>
      <c r="G172" s="152"/>
      <c r="H172" s="152">
        <f t="shared" si="4"/>
        <v>144</v>
      </c>
      <c r="I172" s="161"/>
      <c r="J172" s="161"/>
      <c r="K172" s="161"/>
      <c r="L172" s="161"/>
      <c r="M172" s="161"/>
    </row>
    <row r="173" spans="1:13" x14ac:dyDescent="0.25">
      <c r="A173" s="384"/>
      <c r="B173" s="320" t="s">
        <v>44</v>
      </c>
      <c r="C173" s="152" t="s">
        <v>40</v>
      </c>
      <c r="D173" s="105">
        <v>17</v>
      </c>
      <c r="E173" s="152">
        <v>42</v>
      </c>
      <c r="F173" s="152">
        <v>588</v>
      </c>
      <c r="G173" s="152"/>
      <c r="H173" s="152">
        <f t="shared" si="4"/>
        <v>588</v>
      </c>
      <c r="I173" s="161"/>
      <c r="J173" s="161"/>
      <c r="K173" s="161"/>
      <c r="L173" s="161"/>
      <c r="M173" s="161"/>
    </row>
    <row r="174" spans="1:13" x14ac:dyDescent="0.25">
      <c r="A174" s="384"/>
      <c r="B174" s="319"/>
      <c r="C174" s="152" t="s">
        <v>80</v>
      </c>
      <c r="D174" s="105">
        <v>29</v>
      </c>
      <c r="E174" s="152">
        <v>24</v>
      </c>
      <c r="F174" s="152">
        <v>336</v>
      </c>
      <c r="G174" s="152"/>
      <c r="H174" s="152">
        <f t="shared" si="4"/>
        <v>336</v>
      </c>
      <c r="I174" s="161"/>
      <c r="J174" s="161"/>
      <c r="K174" s="161"/>
      <c r="L174" s="161"/>
      <c r="M174" s="161"/>
    </row>
    <row r="175" spans="1:13" x14ac:dyDescent="0.25">
      <c r="A175" s="384"/>
      <c r="B175" s="311" t="s">
        <v>65</v>
      </c>
      <c r="C175" s="152" t="s">
        <v>71</v>
      </c>
      <c r="D175" s="105">
        <v>11</v>
      </c>
      <c r="E175" s="152">
        <v>84</v>
      </c>
      <c r="F175" s="152">
        <v>2352</v>
      </c>
      <c r="G175" s="152"/>
      <c r="H175" s="152">
        <f t="shared" si="4"/>
        <v>2352</v>
      </c>
      <c r="I175" s="161"/>
      <c r="J175" s="161"/>
      <c r="K175" s="161"/>
      <c r="L175" s="161"/>
      <c r="M175" s="161"/>
    </row>
    <row r="176" spans="1:13" x14ac:dyDescent="0.25">
      <c r="A176" s="384"/>
      <c r="B176" s="311"/>
      <c r="C176" s="152" t="s">
        <v>50</v>
      </c>
      <c r="D176" s="105">
        <v>13</v>
      </c>
      <c r="E176" s="152">
        <v>45</v>
      </c>
      <c r="F176" s="152">
        <v>1260</v>
      </c>
      <c r="G176" s="152"/>
      <c r="H176" s="152">
        <f t="shared" si="4"/>
        <v>1260</v>
      </c>
      <c r="I176" s="161"/>
      <c r="J176" s="161"/>
      <c r="K176" s="161"/>
      <c r="L176" s="161"/>
      <c r="M176" s="161"/>
    </row>
    <row r="177" spans="1:13" x14ac:dyDescent="0.25">
      <c r="A177" s="384"/>
      <c r="B177" s="320"/>
      <c r="C177" s="154" t="s">
        <v>55</v>
      </c>
      <c r="D177" s="106">
        <v>15</v>
      </c>
      <c r="E177" s="154">
        <v>40</v>
      </c>
      <c r="F177" s="154">
        <v>800</v>
      </c>
      <c r="G177" s="154"/>
      <c r="H177" s="152">
        <f t="shared" si="4"/>
        <v>800</v>
      </c>
      <c r="I177" s="161"/>
      <c r="J177" s="161"/>
      <c r="K177" s="161"/>
      <c r="L177" s="161"/>
      <c r="M177" s="161"/>
    </row>
    <row r="178" spans="1:13" x14ac:dyDescent="0.25">
      <c r="A178" s="384"/>
      <c r="B178" s="154" t="s">
        <v>35</v>
      </c>
      <c r="C178" s="154" t="s">
        <v>27</v>
      </c>
      <c r="D178" s="106">
        <v>33</v>
      </c>
      <c r="E178" s="154">
        <v>24</v>
      </c>
      <c r="F178" s="154">
        <v>192</v>
      </c>
      <c r="G178" s="154"/>
      <c r="H178" s="152">
        <f t="shared" si="4"/>
        <v>192</v>
      </c>
      <c r="I178" s="161"/>
      <c r="J178" s="161"/>
      <c r="K178" s="161"/>
      <c r="L178" s="161"/>
      <c r="M178" s="161"/>
    </row>
    <row r="179" spans="1:13" ht="15.75" thickBot="1" x14ac:dyDescent="0.3">
      <c r="A179" s="384"/>
      <c r="B179" s="154" t="s">
        <v>28</v>
      </c>
      <c r="C179" s="152" t="s">
        <v>27</v>
      </c>
      <c r="D179" s="105">
        <v>33</v>
      </c>
      <c r="E179" s="152">
        <v>24</v>
      </c>
      <c r="F179" s="152">
        <v>960</v>
      </c>
      <c r="G179" s="152">
        <v>10</v>
      </c>
      <c r="H179" s="152">
        <f t="shared" si="4"/>
        <v>950</v>
      </c>
      <c r="I179" s="161"/>
      <c r="J179" s="161"/>
      <c r="K179" s="161"/>
      <c r="L179" s="161"/>
      <c r="M179" s="161"/>
    </row>
    <row r="180" spans="1:13" ht="15.75" thickTop="1" x14ac:dyDescent="0.25">
      <c r="A180" s="383" t="s">
        <v>77</v>
      </c>
      <c r="B180" s="304" t="s">
        <v>32</v>
      </c>
      <c r="C180" s="151" t="s">
        <v>72</v>
      </c>
      <c r="D180" s="108">
        <v>10.5</v>
      </c>
      <c r="E180" s="151">
        <v>72</v>
      </c>
      <c r="F180" s="151">
        <f>288+72+72</f>
        <v>432</v>
      </c>
      <c r="G180" s="151"/>
      <c r="H180" s="151">
        <f>F180-G180</f>
        <v>432</v>
      </c>
      <c r="I180" s="161"/>
      <c r="J180" s="161"/>
      <c r="K180" s="161"/>
      <c r="L180" s="161"/>
      <c r="M180" s="161"/>
    </row>
    <row r="181" spans="1:13" x14ac:dyDescent="0.25">
      <c r="A181" s="384"/>
      <c r="B181" s="305"/>
      <c r="C181" s="152" t="s">
        <v>30</v>
      </c>
      <c r="D181" s="105">
        <v>12.6</v>
      </c>
      <c r="E181" s="152">
        <v>36</v>
      </c>
      <c r="F181" s="152">
        <f>648+36+36+36</f>
        <v>756</v>
      </c>
      <c r="G181" s="152"/>
      <c r="H181" s="152">
        <f t="shared" si="4"/>
        <v>756</v>
      </c>
      <c r="I181" s="161"/>
      <c r="J181" s="161"/>
      <c r="K181" s="161"/>
      <c r="L181" s="161"/>
      <c r="M181" s="161"/>
    </row>
    <row r="182" spans="1:13" x14ac:dyDescent="0.25">
      <c r="A182" s="384"/>
      <c r="B182" s="319"/>
      <c r="C182" s="152" t="s">
        <v>66</v>
      </c>
      <c r="D182" s="105">
        <v>14.700000000000001</v>
      </c>
      <c r="E182" s="152">
        <v>24</v>
      </c>
      <c r="F182" s="152">
        <v>192</v>
      </c>
      <c r="G182" s="152"/>
      <c r="H182" s="152">
        <f t="shared" si="4"/>
        <v>192</v>
      </c>
      <c r="I182" s="161"/>
      <c r="J182" s="161"/>
      <c r="K182" s="161"/>
      <c r="L182" s="161"/>
      <c r="M182" s="161"/>
    </row>
    <row r="183" spans="1:13" x14ac:dyDescent="0.25">
      <c r="A183" s="384"/>
      <c r="B183" s="320" t="s">
        <v>60</v>
      </c>
      <c r="C183" s="152" t="s">
        <v>74</v>
      </c>
      <c r="D183" s="105">
        <v>12.6</v>
      </c>
      <c r="E183" s="152">
        <v>48</v>
      </c>
      <c r="F183" s="152">
        <f>882+63+63</f>
        <v>1008</v>
      </c>
      <c r="G183" s="152"/>
      <c r="H183" s="152">
        <f t="shared" si="4"/>
        <v>1008</v>
      </c>
      <c r="I183" s="161"/>
      <c r="J183" s="161"/>
      <c r="K183" s="161"/>
      <c r="L183" s="161"/>
      <c r="M183" s="161"/>
    </row>
    <row r="184" spans="1:13" x14ac:dyDescent="0.25">
      <c r="A184" s="384"/>
      <c r="B184" s="319"/>
      <c r="C184" s="152" t="s">
        <v>59</v>
      </c>
      <c r="D184" s="105">
        <v>14.700000000000001</v>
      </c>
      <c r="E184" s="152">
        <v>36</v>
      </c>
      <c r="F184" s="152">
        <f>648+36+36</f>
        <v>720</v>
      </c>
      <c r="G184" s="152">
        <v>10</v>
      </c>
      <c r="H184" s="152">
        <f t="shared" si="4"/>
        <v>710</v>
      </c>
      <c r="I184" s="161"/>
      <c r="J184" s="161"/>
      <c r="K184" s="161"/>
      <c r="L184" s="161"/>
      <c r="M184" s="161"/>
    </row>
    <row r="185" spans="1:13" x14ac:dyDescent="0.25">
      <c r="A185" s="384"/>
      <c r="B185" s="320" t="s">
        <v>120</v>
      </c>
      <c r="C185" s="152" t="s">
        <v>50</v>
      </c>
      <c r="D185" s="105">
        <v>10.5</v>
      </c>
      <c r="E185" s="152">
        <v>45</v>
      </c>
      <c r="F185" s="152">
        <f>1350+45+45</f>
        <v>1440</v>
      </c>
      <c r="G185" s="152"/>
      <c r="H185" s="152">
        <f t="shared" si="4"/>
        <v>1440</v>
      </c>
      <c r="I185" s="161"/>
      <c r="J185" s="161"/>
      <c r="K185" s="161"/>
      <c r="L185" s="161"/>
      <c r="M185" s="161"/>
    </row>
    <row r="186" spans="1:13" x14ac:dyDescent="0.25">
      <c r="A186" s="384"/>
      <c r="B186" s="305"/>
      <c r="C186" s="152" t="s">
        <v>55</v>
      </c>
      <c r="D186" s="105">
        <v>12.6</v>
      </c>
      <c r="E186" s="152">
        <v>40</v>
      </c>
      <c r="F186" s="152">
        <f>560+100+40+80</f>
        <v>780</v>
      </c>
      <c r="G186" s="152">
        <v>10</v>
      </c>
      <c r="H186" s="152">
        <f t="shared" si="4"/>
        <v>770</v>
      </c>
      <c r="I186" s="161"/>
      <c r="J186" s="161"/>
      <c r="K186" s="161"/>
      <c r="L186" s="161"/>
      <c r="M186" s="161"/>
    </row>
    <row r="187" spans="1:13" x14ac:dyDescent="0.25">
      <c r="A187" s="384"/>
      <c r="B187" s="319"/>
      <c r="C187" s="152" t="s">
        <v>54</v>
      </c>
      <c r="D187" s="105">
        <v>14.700000000000001</v>
      </c>
      <c r="E187" s="152">
        <v>28</v>
      </c>
      <c r="F187" s="152">
        <f>784+28+28</f>
        <v>840</v>
      </c>
      <c r="G187" s="152">
        <v>10</v>
      </c>
      <c r="H187" s="152">
        <f t="shared" si="4"/>
        <v>830</v>
      </c>
      <c r="I187" s="161"/>
      <c r="J187" s="161"/>
      <c r="K187" s="161"/>
      <c r="L187" s="161"/>
      <c r="M187" s="161"/>
    </row>
    <row r="188" spans="1:13" x14ac:dyDescent="0.25">
      <c r="A188" s="384"/>
      <c r="B188" s="154" t="s">
        <v>68</v>
      </c>
      <c r="C188" s="154" t="s">
        <v>55</v>
      </c>
      <c r="D188" s="106">
        <v>14.700000000000001</v>
      </c>
      <c r="E188" s="154">
        <v>28</v>
      </c>
      <c r="F188" s="154">
        <f>504+28+28</f>
        <v>560</v>
      </c>
      <c r="G188" s="154"/>
      <c r="H188" s="152">
        <f t="shared" si="4"/>
        <v>560</v>
      </c>
      <c r="I188" s="161"/>
      <c r="J188" s="161"/>
      <c r="K188" s="161"/>
      <c r="L188" s="161"/>
      <c r="M188" s="161"/>
    </row>
    <row r="189" spans="1:13" x14ac:dyDescent="0.25">
      <c r="A189" s="384"/>
      <c r="B189" s="154" t="s">
        <v>31</v>
      </c>
      <c r="C189" s="154" t="s">
        <v>30</v>
      </c>
      <c r="D189" s="106">
        <v>14.700000000000001</v>
      </c>
      <c r="E189" s="154">
        <v>28</v>
      </c>
      <c r="F189" s="154">
        <f>504+28+28</f>
        <v>560</v>
      </c>
      <c r="G189" s="154"/>
      <c r="H189" s="152">
        <f t="shared" si="4"/>
        <v>560</v>
      </c>
      <c r="I189" s="161"/>
      <c r="J189" s="161"/>
      <c r="K189" s="161"/>
      <c r="L189" s="161"/>
      <c r="M189" s="161"/>
    </row>
    <row r="190" spans="1:13" x14ac:dyDescent="0.25">
      <c r="A190" s="384"/>
      <c r="B190" s="154" t="s">
        <v>49</v>
      </c>
      <c r="C190" s="154" t="s">
        <v>73</v>
      </c>
      <c r="D190" s="106">
        <v>12.6</v>
      </c>
      <c r="E190" s="154">
        <v>48</v>
      </c>
      <c r="F190" s="154">
        <f>864+48</f>
        <v>912</v>
      </c>
      <c r="G190" s="154"/>
      <c r="H190" s="152">
        <f t="shared" si="4"/>
        <v>912</v>
      </c>
      <c r="I190" s="161"/>
      <c r="J190" s="161"/>
      <c r="K190" s="161"/>
      <c r="L190" s="161"/>
      <c r="M190" s="161"/>
    </row>
    <row r="191" spans="1:13" x14ac:dyDescent="0.25">
      <c r="A191" s="384"/>
      <c r="B191" s="320" t="s">
        <v>65</v>
      </c>
      <c r="C191" s="154" t="s">
        <v>71</v>
      </c>
      <c r="D191" s="106">
        <v>10.5</v>
      </c>
      <c r="E191" s="154">
        <v>84</v>
      </c>
      <c r="F191" s="154">
        <v>1512</v>
      </c>
      <c r="G191" s="154"/>
      <c r="H191" s="152">
        <f t="shared" si="4"/>
        <v>1512</v>
      </c>
      <c r="I191" s="161"/>
      <c r="J191" s="161"/>
      <c r="K191" s="161"/>
      <c r="L191" s="161"/>
      <c r="M191" s="161"/>
    </row>
    <row r="192" spans="1:13" x14ac:dyDescent="0.25">
      <c r="A192" s="384"/>
      <c r="B192" s="305"/>
      <c r="C192" s="154" t="s">
        <v>50</v>
      </c>
      <c r="D192" s="106">
        <v>12.6</v>
      </c>
      <c r="E192" s="154">
        <v>45</v>
      </c>
      <c r="F192" s="154">
        <v>810</v>
      </c>
      <c r="G192" s="154"/>
      <c r="H192" s="152">
        <f t="shared" si="4"/>
        <v>810</v>
      </c>
      <c r="I192" s="161"/>
      <c r="J192" s="161"/>
      <c r="K192" s="161"/>
      <c r="L192" s="161"/>
      <c r="M192" s="161"/>
    </row>
    <row r="193" spans="1:13" ht="15.75" thickBot="1" x14ac:dyDescent="0.3">
      <c r="A193" s="384"/>
      <c r="B193" s="305"/>
      <c r="C193" s="154" t="s">
        <v>55</v>
      </c>
      <c r="D193" s="106">
        <v>14.700000000000001</v>
      </c>
      <c r="E193" s="154">
        <v>40</v>
      </c>
      <c r="F193" s="154">
        <v>400</v>
      </c>
      <c r="G193" s="154"/>
      <c r="H193" s="154">
        <f t="shared" si="4"/>
        <v>400</v>
      </c>
      <c r="I193" s="161"/>
      <c r="J193" s="161"/>
      <c r="K193" s="161"/>
      <c r="L193" s="161"/>
      <c r="M193" s="161"/>
    </row>
    <row r="194" spans="1:13" ht="15.75" thickTop="1" x14ac:dyDescent="0.25">
      <c r="A194" s="329" t="s">
        <v>142</v>
      </c>
      <c r="B194" s="310" t="s">
        <v>32</v>
      </c>
      <c r="C194" s="151" t="s">
        <v>66</v>
      </c>
      <c r="D194" s="108">
        <v>27</v>
      </c>
      <c r="E194" s="151">
        <v>24</v>
      </c>
      <c r="F194" s="151">
        <v>840</v>
      </c>
      <c r="G194" s="151">
        <v>48</v>
      </c>
      <c r="H194" s="151">
        <f t="shared" si="4"/>
        <v>792</v>
      </c>
      <c r="I194" s="161"/>
      <c r="J194" s="161"/>
      <c r="K194" s="161"/>
      <c r="L194" s="161"/>
      <c r="M194" s="161"/>
    </row>
    <row r="195" spans="1:13" x14ac:dyDescent="0.25">
      <c r="A195" s="330"/>
      <c r="B195" s="311"/>
      <c r="C195" s="152" t="s">
        <v>69</v>
      </c>
      <c r="D195" s="105">
        <v>59</v>
      </c>
      <c r="E195" s="152">
        <v>24</v>
      </c>
      <c r="F195" s="152">
        <v>720</v>
      </c>
      <c r="G195" s="152">
        <v>48</v>
      </c>
      <c r="H195" s="152">
        <f t="shared" si="4"/>
        <v>672</v>
      </c>
      <c r="I195" s="161"/>
      <c r="J195" s="161"/>
      <c r="K195" s="161"/>
      <c r="L195" s="161"/>
      <c r="M195" s="161"/>
    </row>
    <row r="196" spans="1:13" x14ac:dyDescent="0.25">
      <c r="A196" s="330"/>
      <c r="B196" s="311"/>
      <c r="C196" s="152" t="s">
        <v>67</v>
      </c>
      <c r="D196" s="105">
        <v>88</v>
      </c>
      <c r="E196" s="152">
        <v>12</v>
      </c>
      <c r="F196" s="152">
        <v>300</v>
      </c>
      <c r="G196" s="152"/>
      <c r="H196" s="152">
        <f t="shared" si="4"/>
        <v>300</v>
      </c>
      <c r="I196" s="161"/>
      <c r="J196" s="161"/>
      <c r="K196" s="161"/>
      <c r="L196" s="161"/>
      <c r="M196" s="161"/>
    </row>
    <row r="197" spans="1:13" x14ac:dyDescent="0.25">
      <c r="A197" s="330"/>
      <c r="B197" s="152" t="s">
        <v>162</v>
      </c>
      <c r="C197" s="152" t="s">
        <v>74</v>
      </c>
      <c r="D197" s="105">
        <v>24</v>
      </c>
      <c r="E197" s="152">
        <v>63</v>
      </c>
      <c r="F197" s="152">
        <v>2016</v>
      </c>
      <c r="G197" s="152"/>
      <c r="H197" s="152">
        <f t="shared" si="4"/>
        <v>2016</v>
      </c>
      <c r="I197" s="161"/>
      <c r="J197" s="161"/>
      <c r="K197" s="161"/>
      <c r="L197" s="161"/>
      <c r="M197" s="161"/>
    </row>
    <row r="198" spans="1:13" x14ac:dyDescent="0.25">
      <c r="A198" s="330"/>
      <c r="B198" s="311" t="s">
        <v>68</v>
      </c>
      <c r="C198" s="152" t="s">
        <v>55</v>
      </c>
      <c r="D198" s="105">
        <v>15</v>
      </c>
      <c r="E198" s="152">
        <v>28</v>
      </c>
      <c r="F198" s="152">
        <f>784+196</f>
        <v>980</v>
      </c>
      <c r="G198" s="152">
        <v>28</v>
      </c>
      <c r="H198" s="152">
        <f t="shared" si="4"/>
        <v>952</v>
      </c>
      <c r="I198" s="161"/>
      <c r="J198" s="161"/>
      <c r="K198" s="161"/>
      <c r="L198" s="161"/>
      <c r="M198" s="161"/>
    </row>
    <row r="199" spans="1:13" x14ac:dyDescent="0.25">
      <c r="A199" s="330"/>
      <c r="B199" s="311"/>
      <c r="C199" s="152" t="s">
        <v>53</v>
      </c>
      <c r="D199" s="105">
        <v>33</v>
      </c>
      <c r="E199" s="152">
        <v>18</v>
      </c>
      <c r="F199" s="152">
        <v>540</v>
      </c>
      <c r="G199" s="152"/>
      <c r="H199" s="152">
        <f t="shared" si="4"/>
        <v>540</v>
      </c>
      <c r="I199" s="161"/>
      <c r="J199" s="161"/>
      <c r="K199" s="161"/>
      <c r="L199" s="161"/>
      <c r="M199" s="161"/>
    </row>
    <row r="200" spans="1:13" x14ac:dyDescent="0.25">
      <c r="A200" s="330"/>
      <c r="B200" s="311" t="s">
        <v>159</v>
      </c>
      <c r="C200" s="152" t="s">
        <v>55</v>
      </c>
      <c r="D200" s="105">
        <v>27</v>
      </c>
      <c r="E200" s="152">
        <v>40</v>
      </c>
      <c r="F200" s="152">
        <v>1200</v>
      </c>
      <c r="G200" s="152"/>
      <c r="H200" s="152">
        <f t="shared" si="4"/>
        <v>1200</v>
      </c>
      <c r="I200" s="161"/>
      <c r="J200" s="161"/>
      <c r="K200" s="161"/>
      <c r="L200" s="161"/>
      <c r="M200" s="161"/>
    </row>
    <row r="201" spans="1:13" x14ac:dyDescent="0.25">
      <c r="A201" s="330"/>
      <c r="B201" s="311"/>
      <c r="C201" s="152" t="s">
        <v>54</v>
      </c>
      <c r="D201" s="105">
        <v>31</v>
      </c>
      <c r="E201" s="152">
        <v>28</v>
      </c>
      <c r="F201" s="152">
        <v>672</v>
      </c>
      <c r="G201" s="152"/>
      <c r="H201" s="152">
        <f t="shared" si="4"/>
        <v>672</v>
      </c>
      <c r="I201" s="161"/>
      <c r="J201" s="161"/>
      <c r="K201" s="161"/>
      <c r="L201" s="161"/>
      <c r="M201" s="161"/>
    </row>
    <row r="202" spans="1:13" x14ac:dyDescent="0.25">
      <c r="A202" s="330"/>
      <c r="B202" s="311" t="s">
        <v>163</v>
      </c>
      <c r="C202" s="152" t="s">
        <v>30</v>
      </c>
      <c r="D202" s="105">
        <v>27</v>
      </c>
      <c r="E202" s="152">
        <v>28</v>
      </c>
      <c r="F202" s="152">
        <v>784</v>
      </c>
      <c r="G202" s="152">
        <f>56+28</f>
        <v>84</v>
      </c>
      <c r="H202" s="152">
        <f t="shared" si="4"/>
        <v>700</v>
      </c>
      <c r="I202" s="161"/>
      <c r="J202" s="161"/>
      <c r="K202" s="161"/>
      <c r="L202" s="161"/>
      <c r="M202" s="161"/>
    </row>
    <row r="203" spans="1:13" x14ac:dyDescent="0.25">
      <c r="A203" s="330"/>
      <c r="B203" s="311"/>
      <c r="C203" s="152" t="s">
        <v>121</v>
      </c>
      <c r="D203" s="105">
        <v>88</v>
      </c>
      <c r="E203" s="152">
        <v>15</v>
      </c>
      <c r="F203" s="152">
        <v>375</v>
      </c>
      <c r="G203" s="152"/>
      <c r="H203" s="152">
        <f t="shared" si="4"/>
        <v>375</v>
      </c>
      <c r="I203" s="161"/>
      <c r="J203" s="161"/>
      <c r="K203" s="161"/>
      <c r="L203" s="161"/>
      <c r="M203" s="161"/>
    </row>
    <row r="204" spans="1:13" x14ac:dyDescent="0.25">
      <c r="A204" s="330"/>
      <c r="B204" s="311" t="s">
        <v>49</v>
      </c>
      <c r="C204" s="152" t="s">
        <v>73</v>
      </c>
      <c r="D204" s="105">
        <v>28</v>
      </c>
      <c r="E204" s="152">
        <v>48</v>
      </c>
      <c r="F204" s="152">
        <v>1536</v>
      </c>
      <c r="G204" s="152"/>
      <c r="H204" s="152">
        <f t="shared" si="4"/>
        <v>1536</v>
      </c>
      <c r="I204" s="161"/>
      <c r="J204" s="161"/>
      <c r="K204" s="161"/>
      <c r="L204" s="161"/>
      <c r="M204" s="161"/>
    </row>
    <row r="205" spans="1:13" x14ac:dyDescent="0.25">
      <c r="A205" s="330"/>
      <c r="B205" s="311"/>
      <c r="C205" s="152" t="s">
        <v>47</v>
      </c>
      <c r="D205" s="105">
        <v>88</v>
      </c>
      <c r="E205" s="152">
        <v>12</v>
      </c>
      <c r="F205" s="152">
        <v>288</v>
      </c>
      <c r="G205" s="152">
        <v>12</v>
      </c>
      <c r="H205" s="152">
        <f t="shared" si="4"/>
        <v>276</v>
      </c>
      <c r="I205" s="161"/>
      <c r="J205" s="161"/>
      <c r="K205" s="161"/>
      <c r="L205" s="161"/>
      <c r="M205" s="161"/>
    </row>
    <row r="206" spans="1:13" x14ac:dyDescent="0.25">
      <c r="A206" s="330"/>
      <c r="B206" s="311" t="s">
        <v>37</v>
      </c>
      <c r="C206" s="152" t="s">
        <v>71</v>
      </c>
      <c r="D206" s="105">
        <v>20</v>
      </c>
      <c r="E206" s="152">
        <v>84</v>
      </c>
      <c r="F206" s="152">
        <v>2016</v>
      </c>
      <c r="G206" s="152"/>
      <c r="H206" s="152">
        <f t="shared" si="4"/>
        <v>2016</v>
      </c>
      <c r="I206" s="161"/>
      <c r="J206" s="161"/>
      <c r="K206" s="161"/>
      <c r="L206" s="161"/>
      <c r="M206" s="161"/>
    </row>
    <row r="207" spans="1:13" x14ac:dyDescent="0.25">
      <c r="A207" s="330"/>
      <c r="B207" s="311"/>
      <c r="C207" s="152" t="s">
        <v>55</v>
      </c>
      <c r="D207" s="105">
        <v>27</v>
      </c>
      <c r="E207" s="152">
        <v>40</v>
      </c>
      <c r="F207" s="152">
        <f>720+240</f>
        <v>960</v>
      </c>
      <c r="G207" s="152"/>
      <c r="H207" s="152">
        <f t="shared" si="4"/>
        <v>960</v>
      </c>
      <c r="I207" s="161"/>
      <c r="J207" s="161"/>
      <c r="K207" s="161"/>
      <c r="L207" s="161"/>
      <c r="M207" s="161"/>
    </row>
    <row r="208" spans="1:13" x14ac:dyDescent="0.25">
      <c r="A208" s="330"/>
      <c r="B208" s="311" t="s">
        <v>58</v>
      </c>
      <c r="C208" s="152" t="s">
        <v>71</v>
      </c>
      <c r="D208" s="105">
        <v>20</v>
      </c>
      <c r="E208" s="152">
        <v>84</v>
      </c>
      <c r="F208" s="152">
        <v>2016</v>
      </c>
      <c r="G208" s="152"/>
      <c r="H208" s="152">
        <f t="shared" si="4"/>
        <v>2016</v>
      </c>
      <c r="I208" s="161"/>
      <c r="J208" s="161"/>
      <c r="K208" s="161"/>
      <c r="L208" s="161"/>
      <c r="M208" s="161"/>
    </row>
    <row r="209" spans="1:13" ht="15.75" thickBot="1" x14ac:dyDescent="0.3">
      <c r="A209" s="331"/>
      <c r="B209" s="312"/>
      <c r="C209" s="126" t="s">
        <v>54</v>
      </c>
      <c r="D209" s="107">
        <v>27</v>
      </c>
      <c r="E209" s="126">
        <v>28</v>
      </c>
      <c r="F209" s="126">
        <v>168</v>
      </c>
      <c r="G209" s="126"/>
      <c r="H209" s="126">
        <f t="shared" si="4"/>
        <v>168</v>
      </c>
      <c r="I209" s="161"/>
      <c r="J209" s="161"/>
      <c r="K209" s="161"/>
      <c r="L209" s="161"/>
      <c r="M209" s="161"/>
    </row>
    <row r="210" spans="1:13" ht="16.5" thickTop="1" thickBot="1" x14ac:dyDescent="0.3">
      <c r="A210" s="235" t="s">
        <v>2139</v>
      </c>
      <c r="B210" s="31" t="s">
        <v>58</v>
      </c>
      <c r="C210" s="31" t="s">
        <v>55</v>
      </c>
      <c r="D210" s="110">
        <v>20</v>
      </c>
      <c r="E210" s="31">
        <v>40</v>
      </c>
      <c r="F210" s="31">
        <v>144</v>
      </c>
      <c r="G210" s="31"/>
      <c r="H210" s="31">
        <f t="shared" si="4"/>
        <v>144</v>
      </c>
      <c r="I210" s="161"/>
      <c r="J210" s="161"/>
      <c r="K210" s="161"/>
      <c r="L210" s="161"/>
      <c r="M210" s="161"/>
    </row>
    <row r="211" spans="1:13" ht="16.5" thickTop="1" thickBot="1" x14ac:dyDescent="0.3">
      <c r="A211" s="235" t="s">
        <v>2140</v>
      </c>
      <c r="B211" s="31" t="s">
        <v>58</v>
      </c>
      <c r="C211" s="31" t="s">
        <v>55</v>
      </c>
      <c r="D211" s="110">
        <v>30</v>
      </c>
      <c r="E211" s="31">
        <v>40</v>
      </c>
      <c r="F211" s="31">
        <v>103</v>
      </c>
      <c r="G211" s="31"/>
      <c r="H211" s="31">
        <f t="shared" ref="H211:H212" si="6">F211-G211</f>
        <v>103</v>
      </c>
      <c r="I211" s="161"/>
      <c r="J211" s="161"/>
      <c r="K211" s="161"/>
      <c r="L211" s="161"/>
      <c r="M211" s="161"/>
    </row>
    <row r="212" spans="1:13" ht="16.5" thickTop="1" thickBot="1" x14ac:dyDescent="0.3">
      <c r="A212" s="236" t="s">
        <v>1208</v>
      </c>
      <c r="B212" s="31" t="s">
        <v>58</v>
      </c>
      <c r="C212" s="31" t="s">
        <v>55</v>
      </c>
      <c r="D212" s="129">
        <v>20</v>
      </c>
      <c r="E212" s="148">
        <v>40</v>
      </c>
      <c r="F212" s="148">
        <v>154</v>
      </c>
      <c r="G212" s="148"/>
      <c r="H212" s="31">
        <f t="shared" si="6"/>
        <v>154</v>
      </c>
      <c r="I212" s="161"/>
      <c r="J212" s="161"/>
      <c r="K212" s="161"/>
      <c r="L212" s="161"/>
      <c r="M212" s="161"/>
    </row>
    <row r="213" spans="1:13" ht="15.75" thickTop="1" x14ac:dyDescent="0.25">
      <c r="A213" s="383" t="s">
        <v>75</v>
      </c>
      <c r="B213" s="304" t="s">
        <v>32</v>
      </c>
      <c r="C213" s="151" t="s">
        <v>72</v>
      </c>
      <c r="D213" s="108">
        <v>10.5</v>
      </c>
      <c r="E213" s="151">
        <v>72</v>
      </c>
      <c r="F213" s="151">
        <f>(76*2*72)+144</f>
        <v>11088</v>
      </c>
      <c r="G213" s="151"/>
      <c r="H213" s="151">
        <f>F213-G213</f>
        <v>11088</v>
      </c>
      <c r="I213" s="161"/>
      <c r="J213" s="161"/>
      <c r="K213" s="161"/>
      <c r="L213" s="161"/>
      <c r="M213" s="161"/>
    </row>
    <row r="214" spans="1:13" x14ac:dyDescent="0.25">
      <c r="A214" s="384"/>
      <c r="B214" s="305"/>
      <c r="C214" s="153" t="s">
        <v>30</v>
      </c>
      <c r="D214" s="109">
        <v>12.6</v>
      </c>
      <c r="E214" s="153">
        <v>36</v>
      </c>
      <c r="F214" s="153">
        <f>(36*2*36)+72</f>
        <v>2664</v>
      </c>
      <c r="G214" s="153"/>
      <c r="H214" s="153">
        <f>F214-G214</f>
        <v>2664</v>
      </c>
      <c r="I214" s="161"/>
      <c r="J214" s="161"/>
      <c r="K214" s="161"/>
      <c r="L214" s="161"/>
      <c r="M214" s="161"/>
    </row>
    <row r="215" spans="1:13" x14ac:dyDescent="0.25">
      <c r="A215" s="384"/>
      <c r="B215" s="319"/>
      <c r="C215" s="153" t="s">
        <v>67</v>
      </c>
      <c r="D215" s="109">
        <v>32.549999999999997</v>
      </c>
      <c r="E215" s="153">
        <v>12</v>
      </c>
      <c r="F215" s="153">
        <f>(36*2*12)+24</f>
        <v>888</v>
      </c>
      <c r="G215" s="153">
        <f>10+10</f>
        <v>20</v>
      </c>
      <c r="H215" s="153">
        <f t="shared" ref="H215:H230" si="7">F215-G215</f>
        <v>868</v>
      </c>
      <c r="I215" s="161"/>
      <c r="J215" s="161"/>
      <c r="K215" s="161"/>
      <c r="L215" s="161"/>
      <c r="M215" s="161"/>
    </row>
    <row r="216" spans="1:13" x14ac:dyDescent="0.25">
      <c r="A216" s="384"/>
      <c r="B216" s="320" t="s">
        <v>60</v>
      </c>
      <c r="C216" s="153" t="s">
        <v>74</v>
      </c>
      <c r="D216" s="109">
        <v>12.6</v>
      </c>
      <c r="E216" s="153">
        <v>48</v>
      </c>
      <c r="F216" s="153">
        <f>72*2*48</f>
        <v>6912</v>
      </c>
      <c r="G216" s="153">
        <v>96</v>
      </c>
      <c r="H216" s="153">
        <f t="shared" si="7"/>
        <v>6816</v>
      </c>
      <c r="I216" s="161"/>
      <c r="J216" s="161"/>
      <c r="K216" s="161"/>
      <c r="L216" s="161"/>
      <c r="M216" s="161"/>
    </row>
    <row r="217" spans="1:13" x14ac:dyDescent="0.25">
      <c r="A217" s="384"/>
      <c r="B217" s="319"/>
      <c r="C217" s="153" t="s">
        <v>59</v>
      </c>
      <c r="D217" s="109">
        <v>14.700000000000001</v>
      </c>
      <c r="E217" s="153">
        <v>36</v>
      </c>
      <c r="F217" s="153">
        <f>(36*2*36)+72</f>
        <v>2664</v>
      </c>
      <c r="G217" s="153">
        <f>20+56+10</f>
        <v>86</v>
      </c>
      <c r="H217" s="153">
        <f t="shared" si="7"/>
        <v>2578</v>
      </c>
      <c r="I217" s="161"/>
      <c r="J217" s="161"/>
      <c r="K217" s="161"/>
      <c r="L217" s="161"/>
      <c r="M217" s="161"/>
    </row>
    <row r="218" spans="1:13" x14ac:dyDescent="0.25">
      <c r="A218" s="384"/>
      <c r="B218" s="320" t="s">
        <v>58</v>
      </c>
      <c r="C218" s="153" t="s">
        <v>71</v>
      </c>
      <c r="D218" s="109">
        <v>8.4</v>
      </c>
      <c r="E218" s="153">
        <v>84</v>
      </c>
      <c r="F218" s="153">
        <f>56*2*84</f>
        <v>9408</v>
      </c>
      <c r="G218" s="153"/>
      <c r="H218" s="153">
        <f t="shared" si="7"/>
        <v>9408</v>
      </c>
      <c r="I218" s="161"/>
      <c r="J218" s="161"/>
      <c r="K218" s="161"/>
      <c r="L218" s="161"/>
      <c r="M218" s="161"/>
    </row>
    <row r="219" spans="1:13" x14ac:dyDescent="0.25">
      <c r="A219" s="384"/>
      <c r="B219" s="305"/>
      <c r="C219" s="153" t="s">
        <v>50</v>
      </c>
      <c r="D219" s="109">
        <v>10.5</v>
      </c>
      <c r="E219" s="153">
        <v>45</v>
      </c>
      <c r="F219" s="153">
        <f>11565+90</f>
        <v>11655</v>
      </c>
      <c r="G219" s="153"/>
      <c r="H219" s="153">
        <f t="shared" si="7"/>
        <v>11655</v>
      </c>
      <c r="I219" s="161"/>
      <c r="J219" s="161"/>
      <c r="K219" s="161"/>
      <c r="L219" s="161"/>
      <c r="M219" s="161"/>
    </row>
    <row r="220" spans="1:13" x14ac:dyDescent="0.25">
      <c r="A220" s="384"/>
      <c r="B220" s="305"/>
      <c r="C220" s="153" t="s">
        <v>55</v>
      </c>
      <c r="D220" s="109">
        <v>12.6</v>
      </c>
      <c r="E220" s="153">
        <v>40</v>
      </c>
      <c r="F220" s="153">
        <f>(82*2*40)+273</f>
        <v>6833</v>
      </c>
      <c r="G220" s="153">
        <f>10+10+40</f>
        <v>60</v>
      </c>
      <c r="H220" s="153">
        <f t="shared" si="7"/>
        <v>6773</v>
      </c>
      <c r="I220" s="161"/>
      <c r="J220" s="161"/>
      <c r="K220" s="161"/>
      <c r="L220" s="161"/>
      <c r="M220" s="161"/>
    </row>
    <row r="221" spans="1:13" x14ac:dyDescent="0.25">
      <c r="A221" s="384"/>
      <c r="B221" s="305"/>
      <c r="C221" s="153" t="s">
        <v>54</v>
      </c>
      <c r="D221" s="109">
        <v>14.700000000000001</v>
      </c>
      <c r="E221" s="153">
        <v>28</v>
      </c>
      <c r="F221" s="153">
        <f>108*2*28</f>
        <v>6048</v>
      </c>
      <c r="G221" s="153">
        <f>10+10</f>
        <v>20</v>
      </c>
      <c r="H221" s="153">
        <f t="shared" si="7"/>
        <v>6028</v>
      </c>
      <c r="I221" s="161"/>
      <c r="J221" s="161"/>
      <c r="K221" s="161"/>
      <c r="L221" s="161"/>
      <c r="M221" s="161"/>
    </row>
    <row r="222" spans="1:13" x14ac:dyDescent="0.25">
      <c r="A222" s="384"/>
      <c r="B222" s="152" t="s">
        <v>68</v>
      </c>
      <c r="C222" s="153" t="s">
        <v>53</v>
      </c>
      <c r="D222" s="109">
        <v>26.25</v>
      </c>
      <c r="E222" s="153">
        <v>18</v>
      </c>
      <c r="F222" s="153">
        <f>(36*2*18)+36</f>
        <v>1332</v>
      </c>
      <c r="G222" s="153">
        <f>36+36+10+18</f>
        <v>100</v>
      </c>
      <c r="H222" s="153">
        <f t="shared" si="7"/>
        <v>1232</v>
      </c>
      <c r="I222" s="161"/>
      <c r="J222" s="161"/>
      <c r="K222" s="161"/>
      <c r="L222" s="161"/>
      <c r="M222" s="161"/>
    </row>
    <row r="223" spans="1:13" x14ac:dyDescent="0.25">
      <c r="A223" s="384"/>
      <c r="B223" s="154" t="s">
        <v>138</v>
      </c>
      <c r="C223" s="153" t="s">
        <v>73</v>
      </c>
      <c r="D223" s="119">
        <v>21</v>
      </c>
      <c r="E223" s="153">
        <v>48</v>
      </c>
      <c r="F223" s="153">
        <f>72*2*48</f>
        <v>6912</v>
      </c>
      <c r="G223" s="153"/>
      <c r="H223" s="153">
        <f t="shared" si="7"/>
        <v>6912</v>
      </c>
      <c r="I223" s="161"/>
      <c r="J223" s="161"/>
      <c r="K223" s="161"/>
      <c r="L223" s="161"/>
      <c r="M223" s="161"/>
    </row>
    <row r="224" spans="1:13" x14ac:dyDescent="0.25">
      <c r="A224" s="384"/>
      <c r="B224" s="320" t="s">
        <v>31</v>
      </c>
      <c r="C224" s="153" t="s">
        <v>51</v>
      </c>
      <c r="D224" s="109">
        <v>11.55</v>
      </c>
      <c r="E224" s="153">
        <v>48</v>
      </c>
      <c r="F224" s="153">
        <f>111*2*48</f>
        <v>10656</v>
      </c>
      <c r="G224" s="153">
        <v>48</v>
      </c>
      <c r="H224" s="153">
        <f t="shared" si="7"/>
        <v>10608</v>
      </c>
      <c r="I224" s="161"/>
      <c r="J224" s="161"/>
      <c r="K224" s="161"/>
      <c r="L224" s="161"/>
      <c r="M224" s="161"/>
    </row>
    <row r="225" spans="1:13" x14ac:dyDescent="0.25">
      <c r="A225" s="384"/>
      <c r="B225" s="305"/>
      <c r="C225" s="153" t="s">
        <v>30</v>
      </c>
      <c r="D225" s="109">
        <v>14.700000000000001</v>
      </c>
      <c r="E225" s="153">
        <v>28</v>
      </c>
      <c r="F225" s="153">
        <f>448+5880+56+28+56</f>
        <v>6468</v>
      </c>
      <c r="G225" s="153">
        <f>28+56+20</f>
        <v>104</v>
      </c>
      <c r="H225" s="153">
        <f t="shared" si="7"/>
        <v>6364</v>
      </c>
      <c r="I225" s="161"/>
      <c r="J225" s="161"/>
      <c r="K225" s="161"/>
      <c r="L225" s="161"/>
      <c r="M225" s="161"/>
    </row>
    <row r="226" spans="1:13" x14ac:dyDescent="0.25">
      <c r="A226" s="384"/>
      <c r="B226" s="319"/>
      <c r="C226" s="152" t="s">
        <v>121</v>
      </c>
      <c r="D226" s="105">
        <v>33.6</v>
      </c>
      <c r="E226" s="152">
        <v>15</v>
      </c>
      <c r="F226" s="152">
        <f>50*2*15</f>
        <v>1500</v>
      </c>
      <c r="G226" s="152">
        <f>15+10+10</f>
        <v>35</v>
      </c>
      <c r="H226" s="153">
        <f t="shared" si="7"/>
        <v>1465</v>
      </c>
      <c r="I226" s="161"/>
      <c r="J226" s="161"/>
      <c r="K226" s="161"/>
      <c r="L226" s="161"/>
      <c r="M226" s="161"/>
    </row>
    <row r="227" spans="1:13" x14ac:dyDescent="0.25">
      <c r="A227" s="384"/>
      <c r="B227" s="320" t="s">
        <v>49</v>
      </c>
      <c r="C227" s="152" t="s">
        <v>73</v>
      </c>
      <c r="D227" s="105">
        <v>12.6</v>
      </c>
      <c r="E227" s="152">
        <v>48</v>
      </c>
      <c r="F227" s="152">
        <f>768+4032+98+45</f>
        <v>4943</v>
      </c>
      <c r="G227" s="152"/>
      <c r="H227" s="153">
        <f t="shared" si="7"/>
        <v>4943</v>
      </c>
      <c r="I227" s="161"/>
      <c r="J227" s="161"/>
      <c r="K227" s="161"/>
      <c r="L227" s="161"/>
      <c r="M227" s="161"/>
    </row>
    <row r="228" spans="1:13" x14ac:dyDescent="0.25">
      <c r="A228" s="384"/>
      <c r="B228" s="305"/>
      <c r="C228" s="152" t="s">
        <v>48</v>
      </c>
      <c r="D228" s="105">
        <v>28.35</v>
      </c>
      <c r="E228" s="152">
        <v>24</v>
      </c>
      <c r="F228" s="152">
        <f>384+1728+48+24+48</f>
        <v>2232</v>
      </c>
      <c r="G228" s="152">
        <f>29+10</f>
        <v>39</v>
      </c>
      <c r="H228" s="153">
        <f t="shared" si="7"/>
        <v>2193</v>
      </c>
      <c r="I228" s="161"/>
      <c r="J228" s="161"/>
      <c r="K228" s="161"/>
      <c r="L228" s="161"/>
      <c r="M228" s="161"/>
    </row>
    <row r="229" spans="1:13" x14ac:dyDescent="0.25">
      <c r="A229" s="384"/>
      <c r="B229" s="319"/>
      <c r="C229" s="152" t="s">
        <v>47</v>
      </c>
      <c r="D229" s="105">
        <v>32.549999999999997</v>
      </c>
      <c r="E229" s="152">
        <v>12</v>
      </c>
      <c r="F229" s="152">
        <f>36*2*12</f>
        <v>864</v>
      </c>
      <c r="G229" s="152">
        <f>10+10</f>
        <v>20</v>
      </c>
      <c r="H229" s="153">
        <f t="shared" si="7"/>
        <v>844</v>
      </c>
      <c r="I229" s="161"/>
      <c r="J229" s="161"/>
      <c r="K229" s="161"/>
      <c r="L229" s="161"/>
      <c r="M229" s="161"/>
    </row>
    <row r="230" spans="1:13" x14ac:dyDescent="0.25">
      <c r="A230" s="384"/>
      <c r="B230" s="320" t="s">
        <v>44</v>
      </c>
      <c r="C230" s="152" t="s">
        <v>40</v>
      </c>
      <c r="D230" s="105">
        <v>16.8</v>
      </c>
      <c r="E230" s="152">
        <v>42</v>
      </c>
      <c r="F230" s="152">
        <f>924+6048+42+84</f>
        <v>7098</v>
      </c>
      <c r="G230" s="152">
        <v>42</v>
      </c>
      <c r="H230" s="153">
        <f t="shared" si="7"/>
        <v>7056</v>
      </c>
      <c r="I230" s="161"/>
      <c r="J230" s="161"/>
      <c r="K230" s="161"/>
      <c r="L230" s="161"/>
      <c r="M230" s="161"/>
    </row>
    <row r="231" spans="1:13" x14ac:dyDescent="0.25">
      <c r="A231" s="384"/>
      <c r="B231" s="319"/>
      <c r="C231" s="152" t="s">
        <v>80</v>
      </c>
      <c r="D231" s="105">
        <v>28.35</v>
      </c>
      <c r="E231" s="152">
        <v>24</v>
      </c>
      <c r="F231" s="152">
        <f>107*2*24</f>
        <v>5136</v>
      </c>
      <c r="G231" s="152"/>
      <c r="H231" s="153">
        <f t="shared" ref="H231:H237" si="8">F231-G231</f>
        <v>5136</v>
      </c>
      <c r="I231" s="161"/>
      <c r="J231" s="161"/>
      <c r="K231" s="161"/>
      <c r="L231" s="161"/>
      <c r="M231" s="161"/>
    </row>
    <row r="232" spans="1:13" x14ac:dyDescent="0.25">
      <c r="A232" s="384"/>
      <c r="B232" s="320" t="s">
        <v>65</v>
      </c>
      <c r="C232" s="152" t="s">
        <v>71</v>
      </c>
      <c r="D232" s="105">
        <v>10.5</v>
      </c>
      <c r="E232" s="152">
        <v>84</v>
      </c>
      <c r="F232" s="152">
        <f>(24*2*84)+168</f>
        <v>4200</v>
      </c>
      <c r="G232" s="152">
        <v>45</v>
      </c>
      <c r="H232" s="153">
        <f t="shared" si="8"/>
        <v>4155</v>
      </c>
      <c r="I232" s="161"/>
      <c r="J232" s="161"/>
      <c r="K232" s="161"/>
      <c r="L232" s="161"/>
      <c r="M232" s="161"/>
    </row>
    <row r="233" spans="1:13" x14ac:dyDescent="0.25">
      <c r="A233" s="384"/>
      <c r="B233" s="305"/>
      <c r="C233" s="152" t="s">
        <v>50</v>
      </c>
      <c r="D233" s="105">
        <v>12.6</v>
      </c>
      <c r="E233" s="152">
        <v>45</v>
      </c>
      <c r="F233" s="152">
        <f>810+5760+44+90</f>
        <v>6704</v>
      </c>
      <c r="G233" s="152"/>
      <c r="H233" s="153">
        <f t="shared" si="8"/>
        <v>6704</v>
      </c>
      <c r="I233" s="161"/>
      <c r="J233" s="161"/>
      <c r="K233" s="161"/>
      <c r="L233" s="161"/>
      <c r="M233" s="161"/>
    </row>
    <row r="234" spans="1:13" x14ac:dyDescent="0.25">
      <c r="A234" s="384"/>
      <c r="B234" s="319"/>
      <c r="C234" s="154" t="s">
        <v>55</v>
      </c>
      <c r="D234" s="106">
        <v>15</v>
      </c>
      <c r="E234" s="154">
        <v>40</v>
      </c>
      <c r="F234" s="154">
        <v>4000</v>
      </c>
      <c r="G234" s="154"/>
      <c r="H234" s="153">
        <f t="shared" si="8"/>
        <v>4000</v>
      </c>
      <c r="I234" s="161"/>
      <c r="J234" s="161"/>
      <c r="K234" s="161"/>
      <c r="L234" s="161"/>
      <c r="M234" s="161"/>
    </row>
    <row r="235" spans="1:13" ht="15.75" thickBot="1" x14ac:dyDescent="0.3">
      <c r="A235" s="385"/>
      <c r="B235" s="126" t="s">
        <v>28</v>
      </c>
      <c r="C235" s="126" t="s">
        <v>27</v>
      </c>
      <c r="D235" s="107">
        <v>28.35</v>
      </c>
      <c r="E235" s="126">
        <v>24</v>
      </c>
      <c r="F235" s="154">
        <f>480+3312</f>
        <v>3792</v>
      </c>
      <c r="G235" s="154"/>
      <c r="H235" s="149">
        <f t="shared" si="8"/>
        <v>3792</v>
      </c>
      <c r="I235" s="161"/>
      <c r="J235" s="161"/>
      <c r="K235" s="161"/>
      <c r="L235" s="161"/>
      <c r="M235" s="161"/>
    </row>
    <row r="236" spans="1:13" ht="16.5" thickTop="1" thickBot="1" x14ac:dyDescent="0.3">
      <c r="A236" s="43" t="s">
        <v>1213</v>
      </c>
      <c r="B236" s="149" t="s">
        <v>159</v>
      </c>
      <c r="C236" s="149" t="s">
        <v>55</v>
      </c>
      <c r="D236" s="124">
        <v>20</v>
      </c>
      <c r="E236" s="149">
        <v>40</v>
      </c>
      <c r="F236" s="148">
        <v>119</v>
      </c>
      <c r="G236" s="148"/>
      <c r="H236" s="148">
        <f t="shared" si="8"/>
        <v>119</v>
      </c>
      <c r="I236" s="161"/>
      <c r="J236" s="161"/>
      <c r="K236" s="161"/>
      <c r="L236" s="161"/>
      <c r="M236" s="161"/>
    </row>
    <row r="237" spans="1:13" ht="16.5" thickTop="1" thickBot="1" x14ac:dyDescent="0.3">
      <c r="A237" s="235" t="s">
        <v>1215</v>
      </c>
      <c r="B237" s="31" t="s">
        <v>159</v>
      </c>
      <c r="C237" s="31" t="s">
        <v>55</v>
      </c>
      <c r="D237" s="110">
        <v>30</v>
      </c>
      <c r="E237" s="31">
        <v>40</v>
      </c>
      <c r="F237" s="31">
        <v>75</v>
      </c>
      <c r="G237" s="31"/>
      <c r="H237" s="31">
        <f t="shared" si="8"/>
        <v>75</v>
      </c>
      <c r="I237" s="161"/>
      <c r="J237" s="161"/>
      <c r="K237" s="161"/>
      <c r="L237" s="161"/>
      <c r="M237" s="161"/>
    </row>
    <row r="238" spans="1:13" ht="15.75" thickTop="1" x14ac:dyDescent="0.25">
      <c r="A238" s="349" t="s">
        <v>76</v>
      </c>
      <c r="B238" s="313" t="s">
        <v>161</v>
      </c>
      <c r="C238" s="121" t="s">
        <v>72</v>
      </c>
      <c r="D238" s="120">
        <v>16.670745</v>
      </c>
      <c r="E238" s="121">
        <v>72</v>
      </c>
      <c r="F238" s="121">
        <v>405</v>
      </c>
      <c r="G238" s="121"/>
      <c r="H238" s="112">
        <f>F238-G238</f>
        <v>405</v>
      </c>
      <c r="I238" s="161"/>
      <c r="J238" s="161"/>
      <c r="K238" s="161"/>
      <c r="L238" s="161"/>
      <c r="M238" s="161"/>
    </row>
    <row r="239" spans="1:13" x14ac:dyDescent="0.25">
      <c r="A239" s="386"/>
      <c r="B239" s="357"/>
      <c r="C239" s="152" t="s">
        <v>30</v>
      </c>
      <c r="D239" s="105">
        <v>12.6</v>
      </c>
      <c r="E239" s="152">
        <v>36</v>
      </c>
      <c r="F239" s="152">
        <f>580+36+36</f>
        <v>652</v>
      </c>
      <c r="G239" s="152"/>
      <c r="H239" s="114">
        <f t="shared" ref="H239:H260" si="9">F239-G239</f>
        <v>652</v>
      </c>
      <c r="I239" s="161"/>
      <c r="J239" s="161"/>
      <c r="K239" s="161"/>
      <c r="L239" s="161"/>
      <c r="M239" s="161"/>
    </row>
    <row r="240" spans="1:13" x14ac:dyDescent="0.25">
      <c r="A240" s="350"/>
      <c r="B240" s="314"/>
      <c r="C240" s="114" t="s">
        <v>66</v>
      </c>
      <c r="D240" s="113">
        <v>23.462530000000001</v>
      </c>
      <c r="E240" s="114">
        <v>24</v>
      </c>
      <c r="F240" s="114">
        <f>151+95</f>
        <v>246</v>
      </c>
      <c r="G240" s="114"/>
      <c r="H240" s="114">
        <f t="shared" si="9"/>
        <v>246</v>
      </c>
      <c r="I240" s="161"/>
      <c r="J240" s="161"/>
      <c r="K240" s="161"/>
      <c r="L240" s="161"/>
      <c r="M240" s="161"/>
    </row>
    <row r="241" spans="1:13" x14ac:dyDescent="0.25">
      <c r="A241" s="350"/>
      <c r="B241" s="314"/>
      <c r="C241" s="114" t="s">
        <v>69</v>
      </c>
      <c r="D241" s="113">
        <v>46.925060000000002</v>
      </c>
      <c r="E241" s="114">
        <v>24</v>
      </c>
      <c r="F241" s="114">
        <v>6</v>
      </c>
      <c r="G241" s="114"/>
      <c r="H241" s="114">
        <f t="shared" si="9"/>
        <v>6</v>
      </c>
      <c r="I241" s="161"/>
      <c r="J241" s="161"/>
      <c r="K241" s="161"/>
      <c r="L241" s="161"/>
      <c r="M241" s="161"/>
    </row>
    <row r="242" spans="1:13" x14ac:dyDescent="0.25">
      <c r="A242" s="350"/>
      <c r="B242" s="314"/>
      <c r="C242" s="114" t="s">
        <v>67</v>
      </c>
      <c r="D242" s="113">
        <v>58.656325000000002</v>
      </c>
      <c r="E242" s="114">
        <v>12</v>
      </c>
      <c r="F242" s="114">
        <v>27</v>
      </c>
      <c r="G242" s="114"/>
      <c r="H242" s="114">
        <f t="shared" si="9"/>
        <v>27</v>
      </c>
      <c r="I242" s="161"/>
      <c r="J242" s="161"/>
      <c r="K242" s="161"/>
      <c r="L242" s="161"/>
      <c r="M242" s="161"/>
    </row>
    <row r="243" spans="1:13" x14ac:dyDescent="0.25">
      <c r="A243" s="350"/>
      <c r="B243" s="356" t="s">
        <v>162</v>
      </c>
      <c r="C243" s="114" t="s">
        <v>74</v>
      </c>
      <c r="D243" s="113">
        <v>20.375354999999999</v>
      </c>
      <c r="E243" s="114">
        <v>63</v>
      </c>
      <c r="F243" s="114">
        <v>1512</v>
      </c>
      <c r="G243" s="114"/>
      <c r="H243" s="114">
        <f t="shared" si="9"/>
        <v>1512</v>
      </c>
      <c r="I243" s="161"/>
      <c r="J243" s="161"/>
      <c r="K243" s="161"/>
      <c r="L243" s="161"/>
      <c r="M243" s="161"/>
    </row>
    <row r="244" spans="1:13" x14ac:dyDescent="0.25">
      <c r="A244" s="350"/>
      <c r="B244" s="357"/>
      <c r="C244" s="154" t="s">
        <v>59</v>
      </c>
      <c r="D244" s="106">
        <v>14.700000000000001</v>
      </c>
      <c r="E244" s="154">
        <v>36</v>
      </c>
      <c r="F244" s="154">
        <f>504+1002</f>
        <v>1506</v>
      </c>
      <c r="G244" s="154"/>
      <c r="H244" s="114">
        <f t="shared" si="9"/>
        <v>1506</v>
      </c>
      <c r="I244" s="161"/>
      <c r="J244" s="161"/>
      <c r="K244" s="161"/>
      <c r="L244" s="161"/>
      <c r="M244" s="161"/>
    </row>
    <row r="245" spans="1:13" x14ac:dyDescent="0.25">
      <c r="A245" s="350"/>
      <c r="B245" s="314" t="s">
        <v>159</v>
      </c>
      <c r="C245" s="114" t="s">
        <v>50</v>
      </c>
      <c r="D245" s="113">
        <v>16.670745</v>
      </c>
      <c r="E245" s="114">
        <v>45</v>
      </c>
      <c r="F245" s="114">
        <f>225+585+180</f>
        <v>990</v>
      </c>
      <c r="G245" s="114">
        <v>45</v>
      </c>
      <c r="H245" s="114">
        <f t="shared" si="9"/>
        <v>945</v>
      </c>
      <c r="I245" s="161"/>
      <c r="J245" s="161"/>
      <c r="K245" s="161"/>
      <c r="L245" s="161"/>
      <c r="M245" s="161"/>
    </row>
    <row r="246" spans="1:13" x14ac:dyDescent="0.25">
      <c r="A246" s="350"/>
      <c r="B246" s="314"/>
      <c r="C246" s="114" t="s">
        <v>55</v>
      </c>
      <c r="D246" s="113">
        <v>20.375354999999999</v>
      </c>
      <c r="E246" s="114">
        <v>40</v>
      </c>
      <c r="F246" s="114">
        <f>239+154</f>
        <v>393</v>
      </c>
      <c r="G246" s="114">
        <v>40</v>
      </c>
      <c r="H246" s="114">
        <f t="shared" si="9"/>
        <v>353</v>
      </c>
      <c r="I246" s="161"/>
      <c r="J246" s="161"/>
      <c r="K246" s="161"/>
      <c r="L246" s="161"/>
      <c r="M246" s="161"/>
    </row>
    <row r="247" spans="1:13" x14ac:dyDescent="0.25">
      <c r="A247" s="350"/>
      <c r="B247" s="314"/>
      <c r="C247" s="114" t="s">
        <v>54</v>
      </c>
      <c r="D247" s="113">
        <v>23.462530000000001</v>
      </c>
      <c r="E247" s="114">
        <v>28</v>
      </c>
      <c r="F247" s="114">
        <f>168+140</f>
        <v>308</v>
      </c>
      <c r="G247" s="114"/>
      <c r="H247" s="114">
        <f t="shared" si="9"/>
        <v>308</v>
      </c>
      <c r="I247" s="161"/>
      <c r="J247" s="161"/>
      <c r="K247" s="161"/>
      <c r="L247" s="161"/>
      <c r="M247" s="161"/>
    </row>
    <row r="248" spans="1:13" x14ac:dyDescent="0.25">
      <c r="A248" s="350"/>
      <c r="B248" s="356" t="s">
        <v>163</v>
      </c>
      <c r="C248" s="114" t="s">
        <v>51</v>
      </c>
      <c r="D248" s="113">
        <v>18.523050000000001</v>
      </c>
      <c r="E248" s="114">
        <v>48</v>
      </c>
      <c r="F248" s="114">
        <f>288+48+672</f>
        <v>1008</v>
      </c>
      <c r="G248" s="114">
        <v>48</v>
      </c>
      <c r="H248" s="114">
        <f t="shared" si="9"/>
        <v>960</v>
      </c>
      <c r="I248" s="161"/>
      <c r="J248" s="161"/>
      <c r="K248" s="161"/>
      <c r="L248" s="161"/>
      <c r="M248" s="161"/>
    </row>
    <row r="249" spans="1:13" x14ac:dyDescent="0.25">
      <c r="A249" s="350"/>
      <c r="B249" s="308"/>
      <c r="C249" s="114" t="s">
        <v>30</v>
      </c>
      <c r="D249" s="113">
        <v>23</v>
      </c>
      <c r="E249" s="114">
        <v>28</v>
      </c>
      <c r="F249" s="114">
        <v>420</v>
      </c>
      <c r="G249" s="114">
        <v>28</v>
      </c>
      <c r="H249" s="114">
        <f t="shared" si="9"/>
        <v>392</v>
      </c>
      <c r="I249" s="161"/>
      <c r="J249" s="161"/>
      <c r="K249" s="161"/>
      <c r="L249" s="161"/>
      <c r="M249" s="161"/>
    </row>
    <row r="250" spans="1:13" x14ac:dyDescent="0.25">
      <c r="A250" s="350"/>
      <c r="B250" s="308"/>
      <c r="C250" s="114" t="s">
        <v>29</v>
      </c>
      <c r="D250" s="113">
        <v>46.925060000000002</v>
      </c>
      <c r="E250" s="114">
        <v>24</v>
      </c>
      <c r="F250" s="114">
        <v>144</v>
      </c>
      <c r="G250" s="114">
        <v>24</v>
      </c>
      <c r="H250" s="114">
        <f t="shared" si="9"/>
        <v>120</v>
      </c>
      <c r="I250" s="161"/>
      <c r="J250" s="161"/>
      <c r="K250" s="161"/>
      <c r="L250" s="161"/>
      <c r="M250" s="161"/>
    </row>
    <row r="251" spans="1:13" x14ac:dyDescent="0.25">
      <c r="A251" s="350"/>
      <c r="B251" s="356" t="s">
        <v>164</v>
      </c>
      <c r="C251" s="114" t="s">
        <v>73</v>
      </c>
      <c r="D251" s="113">
        <v>20.375354999999999</v>
      </c>
      <c r="E251" s="114">
        <v>48</v>
      </c>
      <c r="F251" s="114">
        <f>1152+316+1200</f>
        <v>2668</v>
      </c>
      <c r="G251" s="114">
        <v>48</v>
      </c>
      <c r="H251" s="114">
        <f t="shared" si="9"/>
        <v>2620</v>
      </c>
      <c r="I251" s="161"/>
      <c r="J251" s="161"/>
      <c r="K251" s="161"/>
      <c r="L251" s="161"/>
      <c r="M251" s="161"/>
    </row>
    <row r="252" spans="1:13" x14ac:dyDescent="0.25">
      <c r="A252" s="350"/>
      <c r="B252" s="357"/>
      <c r="C252" s="114" t="s">
        <v>48</v>
      </c>
      <c r="D252" s="113">
        <v>28</v>
      </c>
      <c r="E252" s="114">
        <v>24</v>
      </c>
      <c r="F252" s="114">
        <f>504+672+31</f>
        <v>1207</v>
      </c>
      <c r="G252" s="114">
        <v>24</v>
      </c>
      <c r="H252" s="114">
        <f t="shared" si="9"/>
        <v>1183</v>
      </c>
      <c r="I252" s="161"/>
      <c r="J252" s="161"/>
      <c r="K252" s="161"/>
      <c r="L252" s="161"/>
      <c r="M252" s="161"/>
    </row>
    <row r="253" spans="1:13" ht="30" x14ac:dyDescent="0.25">
      <c r="A253" s="350"/>
      <c r="B253" s="114" t="s">
        <v>160</v>
      </c>
      <c r="C253" s="114" t="s">
        <v>40</v>
      </c>
      <c r="D253" s="113">
        <v>26.685749999999999</v>
      </c>
      <c r="E253" s="114">
        <v>42</v>
      </c>
      <c r="F253" s="114">
        <f>210+42</f>
        <v>252</v>
      </c>
      <c r="G253" s="114"/>
      <c r="H253" s="114">
        <f t="shared" si="9"/>
        <v>252</v>
      </c>
      <c r="I253" s="161"/>
      <c r="J253" s="161"/>
      <c r="K253" s="161"/>
      <c r="L253" s="161"/>
      <c r="M253" s="161"/>
    </row>
    <row r="254" spans="1:13" x14ac:dyDescent="0.25">
      <c r="A254" s="350"/>
      <c r="B254" s="320" t="s">
        <v>68</v>
      </c>
      <c r="C254" s="152" t="s">
        <v>55</v>
      </c>
      <c r="D254" s="105">
        <v>14.700000000000001</v>
      </c>
      <c r="E254" s="152">
        <v>28</v>
      </c>
      <c r="F254" s="152">
        <f>344+28</f>
        <v>372</v>
      </c>
      <c r="G254" s="152">
        <v>28</v>
      </c>
      <c r="H254" s="114">
        <f t="shared" si="9"/>
        <v>344</v>
      </c>
      <c r="I254" s="161"/>
      <c r="J254" s="161"/>
      <c r="K254" s="161"/>
      <c r="L254" s="161"/>
      <c r="M254" s="161"/>
    </row>
    <row r="255" spans="1:13" x14ac:dyDescent="0.25">
      <c r="A255" s="350"/>
      <c r="B255" s="319"/>
      <c r="C255" s="153" t="s">
        <v>53</v>
      </c>
      <c r="D255" s="109">
        <v>26</v>
      </c>
      <c r="E255" s="153">
        <v>18</v>
      </c>
      <c r="F255" s="153">
        <f>18+18+34</f>
        <v>70</v>
      </c>
      <c r="G255" s="153">
        <v>18</v>
      </c>
      <c r="H255" s="114">
        <f t="shared" si="9"/>
        <v>52</v>
      </c>
      <c r="I255" s="161"/>
      <c r="J255" s="161"/>
      <c r="K255" s="161"/>
      <c r="L255" s="161"/>
      <c r="M255" s="161"/>
    </row>
    <row r="256" spans="1:13" x14ac:dyDescent="0.25">
      <c r="A256" s="350"/>
      <c r="B256" s="357" t="s">
        <v>165</v>
      </c>
      <c r="C256" s="123" t="s">
        <v>71</v>
      </c>
      <c r="D256" s="122">
        <v>16.670745</v>
      </c>
      <c r="E256" s="123">
        <v>84</v>
      </c>
      <c r="F256" s="123">
        <v>1975</v>
      </c>
      <c r="G256" s="123"/>
      <c r="H256" s="114">
        <f t="shared" si="9"/>
        <v>1975</v>
      </c>
      <c r="I256" s="161"/>
      <c r="J256" s="161"/>
      <c r="K256" s="161"/>
      <c r="L256" s="161"/>
      <c r="M256" s="161"/>
    </row>
    <row r="257" spans="1:13" x14ac:dyDescent="0.25">
      <c r="A257" s="350"/>
      <c r="B257" s="314"/>
      <c r="C257" s="114" t="s">
        <v>50</v>
      </c>
      <c r="D257" s="113">
        <v>20.375354999999999</v>
      </c>
      <c r="E257" s="114">
        <v>45</v>
      </c>
      <c r="F257" s="114">
        <v>908</v>
      </c>
      <c r="G257" s="114"/>
      <c r="H257" s="114">
        <f t="shared" si="9"/>
        <v>908</v>
      </c>
      <c r="I257" s="161"/>
      <c r="J257" s="161"/>
      <c r="K257" s="161"/>
      <c r="L257" s="161"/>
      <c r="M257" s="161"/>
    </row>
    <row r="258" spans="1:13" ht="15.75" thickBot="1" x14ac:dyDescent="0.3">
      <c r="A258" s="351"/>
      <c r="B258" s="315"/>
      <c r="C258" s="116" t="s">
        <v>55</v>
      </c>
      <c r="D258" s="115">
        <v>23.462530000000001</v>
      </c>
      <c r="E258" s="116">
        <v>40</v>
      </c>
      <c r="F258" s="116">
        <v>865</v>
      </c>
      <c r="G258" s="116"/>
      <c r="H258" s="116">
        <f t="shared" si="9"/>
        <v>865</v>
      </c>
      <c r="I258" s="161"/>
      <c r="J258" s="161"/>
      <c r="K258" s="161"/>
      <c r="L258" s="161"/>
      <c r="M258" s="161"/>
    </row>
    <row r="259" spans="1:13" ht="15.75" thickTop="1" x14ac:dyDescent="0.25">
      <c r="A259" s="359" t="s">
        <v>300</v>
      </c>
      <c r="B259" s="112" t="s">
        <v>164</v>
      </c>
      <c r="C259" s="112" t="s">
        <v>48</v>
      </c>
      <c r="D259" s="111">
        <v>59</v>
      </c>
      <c r="E259" s="112">
        <v>24</v>
      </c>
      <c r="F259" s="112">
        <v>168</v>
      </c>
      <c r="G259" s="112"/>
      <c r="H259" s="112">
        <f t="shared" si="9"/>
        <v>168</v>
      </c>
      <c r="I259" s="161"/>
      <c r="J259" s="161"/>
      <c r="K259" s="161"/>
      <c r="L259" s="161"/>
      <c r="M259" s="161"/>
    </row>
    <row r="260" spans="1:13" ht="15.75" thickBot="1" x14ac:dyDescent="0.3">
      <c r="A260" s="361"/>
      <c r="B260" s="116" t="s">
        <v>159</v>
      </c>
      <c r="C260" s="116" t="s">
        <v>55</v>
      </c>
      <c r="D260" s="115">
        <v>30</v>
      </c>
      <c r="E260" s="116">
        <v>40</v>
      </c>
      <c r="F260" s="116">
        <f>160+57</f>
        <v>217</v>
      </c>
      <c r="G260" s="116"/>
      <c r="H260" s="116">
        <f t="shared" si="9"/>
        <v>217</v>
      </c>
      <c r="I260" s="161"/>
      <c r="J260" s="161"/>
      <c r="K260" s="161"/>
      <c r="L260" s="161"/>
      <c r="M260" s="161"/>
    </row>
    <row r="261" spans="1:13" ht="15.75" thickTop="1" x14ac:dyDescent="0.25">
      <c r="A261" s="359" t="s">
        <v>9</v>
      </c>
      <c r="B261" s="313" t="s">
        <v>161</v>
      </c>
      <c r="C261" s="112" t="s">
        <v>72</v>
      </c>
      <c r="D261" s="111">
        <v>16.670745</v>
      </c>
      <c r="E261" s="112">
        <v>72</v>
      </c>
      <c r="F261" s="112">
        <v>1728</v>
      </c>
      <c r="G261" s="112"/>
      <c r="H261" s="112">
        <f>F261-G261</f>
        <v>1728</v>
      </c>
      <c r="I261" s="161"/>
      <c r="J261" s="161"/>
      <c r="K261" s="161"/>
      <c r="L261" s="161"/>
      <c r="M261" s="161"/>
    </row>
    <row r="262" spans="1:13" x14ac:dyDescent="0.25">
      <c r="A262" s="360"/>
      <c r="B262" s="357"/>
      <c r="C262" s="152" t="s">
        <v>30</v>
      </c>
      <c r="D262" s="105">
        <v>12.6</v>
      </c>
      <c r="E262" s="152">
        <v>36</v>
      </c>
      <c r="F262" s="152">
        <v>251</v>
      </c>
      <c r="G262" s="123"/>
      <c r="H262" s="123">
        <f>F262-G262</f>
        <v>251</v>
      </c>
      <c r="I262" s="161"/>
      <c r="J262" s="161"/>
      <c r="K262" s="161"/>
      <c r="L262" s="161"/>
      <c r="M262" s="161"/>
    </row>
    <row r="263" spans="1:13" x14ac:dyDescent="0.25">
      <c r="A263" s="360"/>
      <c r="B263" s="314"/>
      <c r="C263" s="114" t="s">
        <v>66</v>
      </c>
      <c r="D263" s="113">
        <v>23.462530000000001</v>
      </c>
      <c r="E263" s="114">
        <v>24</v>
      </c>
      <c r="F263" s="114">
        <v>144</v>
      </c>
      <c r="G263" s="114"/>
      <c r="H263" s="123">
        <f t="shared" ref="H263:H283" si="10">F263-G263</f>
        <v>144</v>
      </c>
      <c r="I263" s="161"/>
      <c r="J263" s="161"/>
      <c r="K263" s="161"/>
      <c r="L263" s="161"/>
      <c r="M263" s="161"/>
    </row>
    <row r="264" spans="1:13" x14ac:dyDescent="0.25">
      <c r="A264" s="360"/>
      <c r="B264" s="356" t="s">
        <v>162</v>
      </c>
      <c r="C264" s="114" t="s">
        <v>74</v>
      </c>
      <c r="D264" s="113">
        <v>20.375354999999999</v>
      </c>
      <c r="E264" s="114">
        <v>63</v>
      </c>
      <c r="F264" s="114">
        <v>1197</v>
      </c>
      <c r="G264" s="114"/>
      <c r="H264" s="123">
        <f t="shared" si="10"/>
        <v>1197</v>
      </c>
      <c r="I264" s="161"/>
      <c r="J264" s="161"/>
      <c r="K264" s="161"/>
      <c r="L264" s="161"/>
      <c r="M264" s="161"/>
    </row>
    <row r="265" spans="1:13" x14ac:dyDescent="0.25">
      <c r="A265" s="360"/>
      <c r="B265" s="357"/>
      <c r="C265" s="153" t="s">
        <v>59</v>
      </c>
      <c r="D265" s="109">
        <v>14.700000000000001</v>
      </c>
      <c r="E265" s="153">
        <v>36</v>
      </c>
      <c r="F265" s="153">
        <v>72</v>
      </c>
      <c r="G265" s="153"/>
      <c r="H265" s="123">
        <f t="shared" si="10"/>
        <v>72</v>
      </c>
      <c r="I265" s="161"/>
      <c r="J265" s="161"/>
      <c r="K265" s="161"/>
      <c r="L265" s="161"/>
      <c r="M265" s="161"/>
    </row>
    <row r="266" spans="1:13" x14ac:dyDescent="0.25">
      <c r="A266" s="360"/>
      <c r="B266" s="314" t="s">
        <v>159</v>
      </c>
      <c r="C266" s="114" t="s">
        <v>50</v>
      </c>
      <c r="D266" s="113">
        <v>16.670745</v>
      </c>
      <c r="E266" s="114">
        <v>45</v>
      </c>
      <c r="F266" s="114">
        <v>1034</v>
      </c>
      <c r="G266" s="114"/>
      <c r="H266" s="123">
        <f t="shared" si="10"/>
        <v>1034</v>
      </c>
      <c r="I266" s="161"/>
      <c r="J266" s="161"/>
      <c r="K266" s="161"/>
      <c r="L266" s="161"/>
      <c r="M266" s="161"/>
    </row>
    <row r="267" spans="1:13" x14ac:dyDescent="0.25">
      <c r="A267" s="360"/>
      <c r="B267" s="314"/>
      <c r="C267" s="114" t="s">
        <v>55</v>
      </c>
      <c r="D267" s="113">
        <v>20.375354999999999</v>
      </c>
      <c r="E267" s="114">
        <v>40</v>
      </c>
      <c r="F267" s="114">
        <v>940</v>
      </c>
      <c r="G267" s="114"/>
      <c r="H267" s="123">
        <f t="shared" si="10"/>
        <v>940</v>
      </c>
      <c r="I267" s="161"/>
      <c r="J267" s="161"/>
      <c r="K267" s="161"/>
      <c r="L267" s="161"/>
      <c r="M267" s="161"/>
    </row>
    <row r="268" spans="1:13" x14ac:dyDescent="0.25">
      <c r="A268" s="360"/>
      <c r="B268" s="314"/>
      <c r="C268" s="114" t="s">
        <v>54</v>
      </c>
      <c r="D268" s="113">
        <v>23.462530000000001</v>
      </c>
      <c r="E268" s="114">
        <v>28</v>
      </c>
      <c r="F268" s="114">
        <v>476</v>
      </c>
      <c r="G268" s="114"/>
      <c r="H268" s="123">
        <f t="shared" si="10"/>
        <v>476</v>
      </c>
      <c r="I268" s="161"/>
      <c r="J268" s="161"/>
      <c r="K268" s="161"/>
      <c r="L268" s="161"/>
      <c r="M268" s="161"/>
    </row>
    <row r="269" spans="1:13" x14ac:dyDescent="0.25">
      <c r="A269" s="360"/>
      <c r="B269" s="114" t="s">
        <v>163</v>
      </c>
      <c r="C269" s="114" t="s">
        <v>51</v>
      </c>
      <c r="D269" s="113">
        <v>18.523050000000001</v>
      </c>
      <c r="E269" s="114">
        <v>48</v>
      </c>
      <c r="F269" s="114">
        <v>1008</v>
      </c>
      <c r="G269" s="114"/>
      <c r="H269" s="123">
        <f t="shared" si="10"/>
        <v>1008</v>
      </c>
      <c r="I269" s="161"/>
      <c r="J269" s="161"/>
      <c r="K269" s="161"/>
      <c r="L269" s="161"/>
      <c r="M269" s="161"/>
    </row>
    <row r="270" spans="1:13" x14ac:dyDescent="0.25">
      <c r="A270" s="360"/>
      <c r="B270" s="356" t="s">
        <v>164</v>
      </c>
      <c r="C270" s="152" t="s">
        <v>72</v>
      </c>
      <c r="D270" s="105">
        <v>10.5</v>
      </c>
      <c r="E270" s="152">
        <v>72</v>
      </c>
      <c r="F270" s="152">
        <v>2592</v>
      </c>
      <c r="G270" s="152"/>
      <c r="H270" s="123">
        <f t="shared" si="10"/>
        <v>2592</v>
      </c>
      <c r="I270" s="161"/>
      <c r="J270" s="161"/>
      <c r="K270" s="161"/>
      <c r="L270" s="161"/>
      <c r="M270" s="161"/>
    </row>
    <row r="271" spans="1:13" x14ac:dyDescent="0.25">
      <c r="A271" s="360"/>
      <c r="B271" s="308"/>
      <c r="C271" s="114" t="s">
        <v>73</v>
      </c>
      <c r="D271" s="113">
        <v>20.375354999999999</v>
      </c>
      <c r="E271" s="114">
        <v>48</v>
      </c>
      <c r="F271" s="114">
        <v>588</v>
      </c>
      <c r="G271" s="114"/>
      <c r="H271" s="123">
        <f t="shared" si="10"/>
        <v>588</v>
      </c>
      <c r="I271" s="161"/>
      <c r="J271" s="161"/>
      <c r="K271" s="161"/>
      <c r="L271" s="161"/>
      <c r="M271" s="161"/>
    </row>
    <row r="272" spans="1:13" ht="13.5" customHeight="1" x14ac:dyDescent="0.25">
      <c r="A272" s="360"/>
      <c r="B272" s="357"/>
      <c r="C272" s="114" t="s">
        <v>48</v>
      </c>
      <c r="D272" s="113">
        <v>46.925060000000002</v>
      </c>
      <c r="E272" s="114">
        <v>24</v>
      </c>
      <c r="F272" s="114">
        <v>24</v>
      </c>
      <c r="G272" s="114"/>
      <c r="H272" s="123">
        <f t="shared" si="10"/>
        <v>24</v>
      </c>
      <c r="I272" s="161"/>
      <c r="J272" s="161"/>
      <c r="K272" s="161"/>
      <c r="L272" s="161"/>
      <c r="M272" s="161"/>
    </row>
    <row r="273" spans="1:13" ht="30" x14ac:dyDescent="0.25">
      <c r="A273" s="360"/>
      <c r="B273" s="118" t="s">
        <v>160</v>
      </c>
      <c r="C273" s="114" t="s">
        <v>40</v>
      </c>
      <c r="D273" s="113">
        <v>26.685749999999999</v>
      </c>
      <c r="E273" s="114">
        <v>42</v>
      </c>
      <c r="F273" s="114">
        <v>336</v>
      </c>
      <c r="G273" s="114"/>
      <c r="H273" s="123">
        <f t="shared" si="10"/>
        <v>336</v>
      </c>
      <c r="I273" s="161"/>
      <c r="J273" s="161"/>
      <c r="K273" s="161"/>
      <c r="L273" s="161"/>
      <c r="M273" s="161"/>
    </row>
    <row r="274" spans="1:13" x14ac:dyDescent="0.25">
      <c r="A274" s="360"/>
      <c r="B274" s="320" t="s">
        <v>68</v>
      </c>
      <c r="C274" s="154" t="s">
        <v>55</v>
      </c>
      <c r="D274" s="106">
        <v>14.700000000000001</v>
      </c>
      <c r="E274" s="154">
        <v>28</v>
      </c>
      <c r="F274" s="154">
        <v>504</v>
      </c>
      <c r="G274" s="154"/>
      <c r="H274" s="123">
        <f t="shared" si="10"/>
        <v>504</v>
      </c>
      <c r="I274" s="161"/>
      <c r="J274" s="161"/>
      <c r="K274" s="161"/>
      <c r="L274" s="161"/>
      <c r="M274" s="161"/>
    </row>
    <row r="275" spans="1:13" x14ac:dyDescent="0.25">
      <c r="A275" s="360"/>
      <c r="B275" s="319"/>
      <c r="C275" s="154" t="s">
        <v>53</v>
      </c>
      <c r="D275" s="106">
        <v>26</v>
      </c>
      <c r="E275" s="154">
        <v>18</v>
      </c>
      <c r="F275" s="154">
        <v>36</v>
      </c>
      <c r="G275" s="154"/>
      <c r="H275" s="123">
        <f t="shared" si="10"/>
        <v>36</v>
      </c>
      <c r="I275" s="161"/>
      <c r="J275" s="161"/>
      <c r="K275" s="161"/>
      <c r="L275" s="161"/>
      <c r="M275" s="161"/>
    </row>
    <row r="276" spans="1:13" x14ac:dyDescent="0.25">
      <c r="A276" s="360"/>
      <c r="B276" s="154" t="s">
        <v>28</v>
      </c>
      <c r="C276" s="154" t="s">
        <v>27</v>
      </c>
      <c r="D276" s="106">
        <v>33</v>
      </c>
      <c r="E276" s="154">
        <v>24</v>
      </c>
      <c r="F276" s="154">
        <v>240</v>
      </c>
      <c r="G276" s="154"/>
      <c r="H276" s="123">
        <f t="shared" si="10"/>
        <v>240</v>
      </c>
      <c r="I276" s="161"/>
      <c r="J276" s="161"/>
      <c r="K276" s="161"/>
      <c r="L276" s="161"/>
      <c r="M276" s="161"/>
    </row>
    <row r="277" spans="1:13" ht="14.25" customHeight="1" x14ac:dyDescent="0.25">
      <c r="A277" s="360"/>
      <c r="B277" s="314" t="s">
        <v>165</v>
      </c>
      <c r="C277" s="114" t="s">
        <v>71</v>
      </c>
      <c r="D277" s="113">
        <v>16.670745</v>
      </c>
      <c r="E277" s="114">
        <v>84</v>
      </c>
      <c r="F277" s="114">
        <v>2016</v>
      </c>
      <c r="G277" s="114"/>
      <c r="H277" s="123">
        <f t="shared" si="10"/>
        <v>2016</v>
      </c>
      <c r="I277" s="161"/>
      <c r="J277" s="161"/>
      <c r="K277" s="161"/>
      <c r="L277" s="161"/>
      <c r="M277" s="161"/>
    </row>
    <row r="278" spans="1:13" x14ac:dyDescent="0.25">
      <c r="A278" s="360"/>
      <c r="B278" s="314"/>
      <c r="C278" s="114" t="s">
        <v>50</v>
      </c>
      <c r="D278" s="113">
        <v>20.375354999999999</v>
      </c>
      <c r="E278" s="114">
        <v>45</v>
      </c>
      <c r="F278" s="114">
        <v>945</v>
      </c>
      <c r="G278" s="114"/>
      <c r="H278" s="123">
        <f t="shared" si="10"/>
        <v>945</v>
      </c>
      <c r="I278" s="161"/>
      <c r="J278" s="161"/>
      <c r="K278" s="161"/>
      <c r="L278" s="161"/>
      <c r="M278" s="161"/>
    </row>
    <row r="279" spans="1:13" ht="15.75" thickBot="1" x14ac:dyDescent="0.3">
      <c r="A279" s="360"/>
      <c r="B279" s="356"/>
      <c r="C279" s="118" t="s">
        <v>55</v>
      </c>
      <c r="D279" s="117">
        <v>23.462530000000001</v>
      </c>
      <c r="E279" s="118">
        <v>40</v>
      </c>
      <c r="F279" s="118">
        <v>480</v>
      </c>
      <c r="G279" s="118"/>
      <c r="H279" s="125">
        <f t="shared" si="10"/>
        <v>480</v>
      </c>
      <c r="I279" s="161"/>
      <c r="J279" s="161"/>
      <c r="K279" s="161"/>
      <c r="L279" s="161"/>
      <c r="M279" s="161"/>
    </row>
    <row r="280" spans="1:13" ht="16.5" thickTop="1" thickBot="1" x14ac:dyDescent="0.3">
      <c r="A280" s="237" t="s">
        <v>104</v>
      </c>
      <c r="B280" s="36" t="s">
        <v>120</v>
      </c>
      <c r="C280" s="36" t="s">
        <v>55</v>
      </c>
      <c r="D280" s="130">
        <v>30</v>
      </c>
      <c r="E280" s="36">
        <v>40</v>
      </c>
      <c r="F280" s="36">
        <v>140</v>
      </c>
      <c r="G280" s="36"/>
      <c r="H280" s="36">
        <f t="shared" si="10"/>
        <v>140</v>
      </c>
      <c r="I280" s="161"/>
      <c r="J280" s="161"/>
      <c r="K280" s="161"/>
      <c r="L280" s="161"/>
      <c r="M280" s="161"/>
    </row>
    <row r="281" spans="1:13" ht="16.5" thickTop="1" thickBot="1" x14ac:dyDescent="0.3">
      <c r="A281" s="237" t="s">
        <v>127</v>
      </c>
      <c r="B281" s="36" t="s">
        <v>120</v>
      </c>
      <c r="C281" s="36" t="s">
        <v>55</v>
      </c>
      <c r="D281" s="130">
        <v>20</v>
      </c>
      <c r="E281" s="36">
        <v>40</v>
      </c>
      <c r="F281" s="36">
        <v>144</v>
      </c>
      <c r="G281" s="36"/>
      <c r="H281" s="36">
        <f t="shared" si="10"/>
        <v>144</v>
      </c>
      <c r="I281" s="161"/>
      <c r="J281" s="161"/>
      <c r="K281" s="161"/>
      <c r="L281" s="161"/>
      <c r="M281" s="161"/>
    </row>
    <row r="282" spans="1:13" ht="15.75" thickTop="1" x14ac:dyDescent="0.25">
      <c r="A282" s="359" t="s">
        <v>169</v>
      </c>
      <c r="B282" s="121" t="s">
        <v>120</v>
      </c>
      <c r="C282" s="121" t="s">
        <v>55</v>
      </c>
      <c r="D282" s="120">
        <v>30</v>
      </c>
      <c r="E282" s="121">
        <v>40</v>
      </c>
      <c r="F282" s="121">
        <v>145</v>
      </c>
      <c r="G282" s="121"/>
      <c r="H282" s="121">
        <f t="shared" si="10"/>
        <v>145</v>
      </c>
      <c r="I282" s="161"/>
      <c r="J282" s="161"/>
      <c r="K282" s="161"/>
      <c r="L282" s="161"/>
      <c r="M282" s="161"/>
    </row>
    <row r="283" spans="1:13" ht="15.75" thickBot="1" x14ac:dyDescent="0.3">
      <c r="A283" s="361"/>
      <c r="B283" s="116" t="s">
        <v>163</v>
      </c>
      <c r="C283" s="116" t="s">
        <v>29</v>
      </c>
      <c r="D283" s="115">
        <v>47</v>
      </c>
      <c r="E283" s="116">
        <v>24</v>
      </c>
      <c r="F283" s="116">
        <v>144</v>
      </c>
      <c r="G283" s="116"/>
      <c r="H283" s="116">
        <f t="shared" si="10"/>
        <v>144</v>
      </c>
      <c r="I283" s="161"/>
      <c r="J283" s="161"/>
      <c r="K283" s="161"/>
      <c r="L283" s="161"/>
      <c r="M283" s="161"/>
    </row>
    <row r="284" spans="1:13" ht="15.75" thickTop="1" x14ac:dyDescent="0.25">
      <c r="A284" s="359" t="s">
        <v>1712</v>
      </c>
      <c r="B284" s="304" t="s">
        <v>32</v>
      </c>
      <c r="C284" s="151" t="s">
        <v>72</v>
      </c>
      <c r="D284" s="108">
        <v>10.5</v>
      </c>
      <c r="E284" s="151">
        <v>72</v>
      </c>
      <c r="F284" s="151">
        <f>1296+144</f>
        <v>1440</v>
      </c>
      <c r="G284" s="151"/>
      <c r="H284" s="151">
        <f>F284-G284</f>
        <v>1440</v>
      </c>
      <c r="I284" s="161"/>
      <c r="J284" s="161"/>
      <c r="K284" s="161"/>
      <c r="L284" s="161"/>
      <c r="M284" s="161"/>
    </row>
    <row r="285" spans="1:13" x14ac:dyDescent="0.25">
      <c r="A285" s="360"/>
      <c r="B285" s="305"/>
      <c r="C285" s="152" t="s">
        <v>30</v>
      </c>
      <c r="D285" s="105">
        <v>12.6</v>
      </c>
      <c r="E285" s="152">
        <v>36</v>
      </c>
      <c r="F285" s="152">
        <f>648+720+36</f>
        <v>1404</v>
      </c>
      <c r="G285" s="152"/>
      <c r="H285" s="152">
        <f>F285-G285</f>
        <v>1404</v>
      </c>
      <c r="I285" s="161"/>
      <c r="J285" s="161"/>
      <c r="K285" s="161"/>
      <c r="L285" s="161"/>
      <c r="M285" s="161"/>
    </row>
    <row r="286" spans="1:13" x14ac:dyDescent="0.25">
      <c r="A286" s="360"/>
      <c r="B286" s="305"/>
      <c r="C286" s="152" t="s">
        <v>66</v>
      </c>
      <c r="D286" s="105">
        <v>17</v>
      </c>
      <c r="E286" s="152">
        <v>24</v>
      </c>
      <c r="F286" s="152">
        <f>480+240+24+24</f>
        <v>768</v>
      </c>
      <c r="G286" s="152"/>
      <c r="H286" s="152">
        <f>F286-G286</f>
        <v>768</v>
      </c>
      <c r="I286" s="161"/>
      <c r="J286" s="161"/>
      <c r="K286" s="161"/>
      <c r="L286" s="161"/>
      <c r="M286" s="161"/>
    </row>
    <row r="287" spans="1:13" x14ac:dyDescent="0.25">
      <c r="A287" s="360"/>
      <c r="B287" s="305"/>
      <c r="C287" s="152" t="s">
        <v>69</v>
      </c>
      <c r="D287" s="105">
        <v>28.35</v>
      </c>
      <c r="E287" s="152">
        <v>24</v>
      </c>
      <c r="F287" s="152">
        <f>432+24+24</f>
        <v>480</v>
      </c>
      <c r="G287" s="152"/>
      <c r="H287" s="152">
        <f t="shared" ref="H287:H303" si="11">F287-G287</f>
        <v>480</v>
      </c>
      <c r="I287" s="161"/>
      <c r="J287" s="161"/>
      <c r="K287" s="161"/>
      <c r="L287" s="161"/>
      <c r="M287" s="161"/>
    </row>
    <row r="288" spans="1:13" x14ac:dyDescent="0.25">
      <c r="A288" s="360"/>
      <c r="B288" s="319"/>
      <c r="C288" s="152" t="s">
        <v>67</v>
      </c>
      <c r="D288" s="105">
        <v>34.65</v>
      </c>
      <c r="E288" s="152">
        <v>12</v>
      </c>
      <c r="F288" s="152">
        <f>168+24</f>
        <v>192</v>
      </c>
      <c r="G288" s="152"/>
      <c r="H288" s="152">
        <f t="shared" si="11"/>
        <v>192</v>
      </c>
      <c r="I288" s="161"/>
      <c r="J288" s="161"/>
      <c r="K288" s="161"/>
      <c r="L288" s="161"/>
      <c r="M288" s="161"/>
    </row>
    <row r="289" spans="1:13" x14ac:dyDescent="0.25">
      <c r="A289" s="360"/>
      <c r="B289" s="320" t="s">
        <v>60</v>
      </c>
      <c r="C289" s="152" t="s">
        <v>74</v>
      </c>
      <c r="D289" s="105">
        <v>12.6</v>
      </c>
      <c r="E289" s="152">
        <v>63</v>
      </c>
      <c r="F289" s="152">
        <f>1416+63+126+63</f>
        <v>1668</v>
      </c>
      <c r="G289" s="152"/>
      <c r="H289" s="152">
        <f t="shared" si="11"/>
        <v>1668</v>
      </c>
      <c r="I289" s="161"/>
      <c r="J289" s="161"/>
      <c r="K289" s="161"/>
      <c r="L289" s="161"/>
      <c r="M289" s="161"/>
    </row>
    <row r="290" spans="1:13" x14ac:dyDescent="0.25">
      <c r="A290" s="360"/>
      <c r="B290" s="319"/>
      <c r="C290" s="152" t="s">
        <v>59</v>
      </c>
      <c r="D290" s="105">
        <v>14.700000000000001</v>
      </c>
      <c r="E290" s="152">
        <v>36</v>
      </c>
      <c r="F290" s="152">
        <f>576+36+36</f>
        <v>648</v>
      </c>
      <c r="G290" s="152"/>
      <c r="H290" s="152">
        <f t="shared" si="11"/>
        <v>648</v>
      </c>
      <c r="I290" s="161"/>
      <c r="J290" s="161"/>
      <c r="K290" s="161"/>
      <c r="L290" s="161"/>
      <c r="M290" s="161"/>
    </row>
    <row r="291" spans="1:13" x14ac:dyDescent="0.25">
      <c r="A291" s="360"/>
      <c r="B291" s="320" t="s">
        <v>120</v>
      </c>
      <c r="C291" s="152" t="s">
        <v>50</v>
      </c>
      <c r="D291" s="105">
        <v>10.5</v>
      </c>
      <c r="E291" s="152">
        <v>45</v>
      </c>
      <c r="F291" s="152">
        <f>94+45+45+45</f>
        <v>229</v>
      </c>
      <c r="G291" s="152"/>
      <c r="H291" s="152">
        <f t="shared" si="11"/>
        <v>229</v>
      </c>
      <c r="I291" s="161"/>
      <c r="J291" s="161"/>
      <c r="K291" s="161"/>
      <c r="L291" s="161"/>
      <c r="M291" s="161"/>
    </row>
    <row r="292" spans="1:13" x14ac:dyDescent="0.25">
      <c r="A292" s="360"/>
      <c r="B292" s="305"/>
      <c r="C292" s="152" t="s">
        <v>55</v>
      </c>
      <c r="D292" s="105">
        <v>12.6</v>
      </c>
      <c r="E292" s="152">
        <v>40</v>
      </c>
      <c r="F292" s="152">
        <f>480+40+80+111</f>
        <v>711</v>
      </c>
      <c r="G292" s="152"/>
      <c r="H292" s="152">
        <f t="shared" si="11"/>
        <v>711</v>
      </c>
      <c r="I292" s="161"/>
      <c r="J292" s="161"/>
      <c r="K292" s="161"/>
      <c r="L292" s="161"/>
      <c r="M292" s="161"/>
    </row>
    <row r="293" spans="1:13" x14ac:dyDescent="0.25">
      <c r="A293" s="360"/>
      <c r="B293" s="305"/>
      <c r="C293" s="152" t="s">
        <v>54</v>
      </c>
      <c r="D293" s="113">
        <v>23.462530000000001</v>
      </c>
      <c r="E293" s="114">
        <v>28</v>
      </c>
      <c r="F293" s="152">
        <v>28</v>
      </c>
      <c r="G293" s="152"/>
      <c r="H293" s="152">
        <f t="shared" si="11"/>
        <v>28</v>
      </c>
      <c r="I293" s="161"/>
      <c r="J293" s="161"/>
      <c r="K293" s="161"/>
      <c r="L293" s="161"/>
      <c r="M293" s="161"/>
    </row>
    <row r="294" spans="1:13" x14ac:dyDescent="0.25">
      <c r="A294" s="360"/>
      <c r="B294" s="319"/>
      <c r="C294" s="152" t="s">
        <v>53</v>
      </c>
      <c r="D294" s="105">
        <v>26.25</v>
      </c>
      <c r="E294" s="152">
        <v>28</v>
      </c>
      <c r="F294" s="152">
        <f>652+28+56</f>
        <v>736</v>
      </c>
      <c r="G294" s="152"/>
      <c r="H294" s="152">
        <f t="shared" si="11"/>
        <v>736</v>
      </c>
      <c r="I294" s="161"/>
      <c r="J294" s="161"/>
      <c r="K294" s="161"/>
      <c r="L294" s="161"/>
      <c r="M294" s="161"/>
    </row>
    <row r="295" spans="1:13" x14ac:dyDescent="0.25">
      <c r="A295" s="360"/>
      <c r="B295" s="320" t="s">
        <v>68</v>
      </c>
      <c r="C295" s="152" t="s">
        <v>55</v>
      </c>
      <c r="D295" s="105">
        <v>14.700000000000001</v>
      </c>
      <c r="E295" s="152">
        <v>28</v>
      </c>
      <c r="F295" s="152">
        <f>420+56</f>
        <v>476</v>
      </c>
      <c r="G295" s="152"/>
      <c r="H295" s="152">
        <f t="shared" si="11"/>
        <v>476</v>
      </c>
      <c r="I295" s="161"/>
      <c r="J295" s="161"/>
      <c r="K295" s="161"/>
      <c r="L295" s="161"/>
      <c r="M295" s="161"/>
    </row>
    <row r="296" spans="1:13" x14ac:dyDescent="0.25">
      <c r="A296" s="360"/>
      <c r="B296" s="319"/>
      <c r="C296" s="152" t="s">
        <v>53</v>
      </c>
      <c r="D296" s="105">
        <v>26.25</v>
      </c>
      <c r="E296" s="152">
        <v>18</v>
      </c>
      <c r="F296" s="152">
        <f>72+18+36+18</f>
        <v>144</v>
      </c>
      <c r="G296" s="152"/>
      <c r="H296" s="152">
        <f t="shared" si="11"/>
        <v>144</v>
      </c>
      <c r="I296" s="161"/>
      <c r="J296" s="161"/>
      <c r="K296" s="161"/>
      <c r="L296" s="161"/>
      <c r="M296" s="161"/>
    </row>
    <row r="297" spans="1:13" x14ac:dyDescent="0.25">
      <c r="A297" s="360"/>
      <c r="B297" s="320" t="s">
        <v>31</v>
      </c>
      <c r="C297" s="152" t="s">
        <v>51</v>
      </c>
      <c r="D297" s="105">
        <v>11.55</v>
      </c>
      <c r="E297" s="152">
        <v>48</v>
      </c>
      <c r="F297" s="152">
        <f>696+48+48+96</f>
        <v>888</v>
      </c>
      <c r="G297" s="152"/>
      <c r="H297" s="152">
        <f t="shared" si="11"/>
        <v>888</v>
      </c>
      <c r="I297" s="161"/>
      <c r="J297" s="161"/>
      <c r="K297" s="161"/>
      <c r="L297" s="161"/>
      <c r="M297" s="161"/>
    </row>
    <row r="298" spans="1:13" x14ac:dyDescent="0.25">
      <c r="A298" s="360"/>
      <c r="B298" s="319"/>
      <c r="C298" s="152" t="s">
        <v>30</v>
      </c>
      <c r="D298" s="105">
        <v>14.700000000000001</v>
      </c>
      <c r="E298" s="152">
        <v>28</v>
      </c>
      <c r="F298" s="152">
        <f>84+28+28+28+28</f>
        <v>196</v>
      </c>
      <c r="G298" s="152"/>
      <c r="H298" s="152">
        <f t="shared" si="11"/>
        <v>196</v>
      </c>
      <c r="I298" s="161"/>
      <c r="J298" s="161"/>
      <c r="K298" s="161"/>
      <c r="L298" s="161"/>
      <c r="M298" s="161"/>
    </row>
    <row r="299" spans="1:13" x14ac:dyDescent="0.25">
      <c r="A299" s="360"/>
      <c r="B299" s="153" t="s">
        <v>49</v>
      </c>
      <c r="C299" s="152" t="s">
        <v>48</v>
      </c>
      <c r="D299" s="105">
        <v>28.35</v>
      </c>
      <c r="E299" s="152">
        <v>24</v>
      </c>
      <c r="F299" s="152">
        <f>288+24+24</f>
        <v>336</v>
      </c>
      <c r="G299" s="152"/>
      <c r="H299" s="152">
        <f t="shared" si="11"/>
        <v>336</v>
      </c>
      <c r="I299" s="161"/>
      <c r="J299" s="161"/>
      <c r="K299" s="161"/>
      <c r="L299" s="161"/>
      <c r="M299" s="161"/>
    </row>
    <row r="300" spans="1:13" x14ac:dyDescent="0.25">
      <c r="A300" s="360"/>
      <c r="B300" s="153" t="s">
        <v>44</v>
      </c>
      <c r="C300" s="152" t="s">
        <v>40</v>
      </c>
      <c r="D300" s="105">
        <v>16.8</v>
      </c>
      <c r="E300" s="152">
        <v>42</v>
      </c>
      <c r="F300" s="152">
        <f>756+42+42</f>
        <v>840</v>
      </c>
      <c r="G300" s="152"/>
      <c r="H300" s="152">
        <f t="shared" si="11"/>
        <v>840</v>
      </c>
      <c r="I300" s="161"/>
      <c r="J300" s="161"/>
      <c r="K300" s="161"/>
      <c r="L300" s="161"/>
      <c r="M300" s="161"/>
    </row>
    <row r="301" spans="1:13" x14ac:dyDescent="0.25">
      <c r="A301" s="360"/>
      <c r="B301" s="320" t="s">
        <v>37</v>
      </c>
      <c r="C301" s="152" t="s">
        <v>71</v>
      </c>
      <c r="D301" s="105">
        <v>10.5</v>
      </c>
      <c r="E301" s="152">
        <v>84</v>
      </c>
      <c r="F301" s="152">
        <f>924+168+168</f>
        <v>1260</v>
      </c>
      <c r="G301" s="152"/>
      <c r="H301" s="152">
        <f t="shared" si="11"/>
        <v>1260</v>
      </c>
      <c r="I301" s="161"/>
      <c r="J301" s="161"/>
      <c r="K301" s="161"/>
      <c r="L301" s="161"/>
      <c r="M301" s="161"/>
    </row>
    <row r="302" spans="1:13" x14ac:dyDescent="0.25">
      <c r="A302" s="360"/>
      <c r="B302" s="305"/>
      <c r="C302" s="152" t="s">
        <v>50</v>
      </c>
      <c r="D302" s="105">
        <v>12.6</v>
      </c>
      <c r="E302" s="152">
        <v>45</v>
      </c>
      <c r="F302" s="152">
        <f>810+45+45+45</f>
        <v>945</v>
      </c>
      <c r="G302" s="152"/>
      <c r="H302" s="152">
        <f t="shared" si="11"/>
        <v>945</v>
      </c>
      <c r="I302" s="161"/>
      <c r="J302" s="161"/>
      <c r="K302" s="161"/>
      <c r="L302" s="161"/>
      <c r="M302" s="161"/>
    </row>
    <row r="303" spans="1:13" ht="15.75" thickBot="1" x14ac:dyDescent="0.3">
      <c r="A303" s="361"/>
      <c r="B303" s="306"/>
      <c r="C303" s="154" t="s">
        <v>55</v>
      </c>
      <c r="D303" s="106">
        <v>14.700000000000001</v>
      </c>
      <c r="E303" s="154">
        <v>40</v>
      </c>
      <c r="F303" s="154">
        <f>640+80</f>
        <v>720</v>
      </c>
      <c r="G303" s="154"/>
      <c r="H303" s="154">
        <f t="shared" si="11"/>
        <v>720</v>
      </c>
      <c r="I303" s="161"/>
      <c r="J303" s="161"/>
      <c r="K303" s="161"/>
      <c r="L303" s="161"/>
      <c r="M303" s="161"/>
    </row>
    <row r="304" spans="1:13" ht="15.75" thickTop="1" x14ac:dyDescent="0.25">
      <c r="A304" s="360" t="s">
        <v>582</v>
      </c>
      <c r="B304" s="308" t="s">
        <v>161</v>
      </c>
      <c r="C304" s="151" t="s">
        <v>72</v>
      </c>
      <c r="D304" s="108">
        <v>12.6</v>
      </c>
      <c r="E304" s="151">
        <v>72</v>
      </c>
      <c r="F304" s="151">
        <v>1320</v>
      </c>
      <c r="G304" s="151">
        <f>10+2</f>
        <v>12</v>
      </c>
      <c r="H304" s="151">
        <f>F304-G304</f>
        <v>1308</v>
      </c>
      <c r="I304" s="161"/>
      <c r="J304" s="161"/>
      <c r="K304" s="161"/>
      <c r="L304" s="161"/>
      <c r="M304" s="161"/>
    </row>
    <row r="305" spans="1:13" x14ac:dyDescent="0.25">
      <c r="A305" s="360"/>
      <c r="B305" s="308"/>
      <c r="C305" s="152" t="s">
        <v>30</v>
      </c>
      <c r="D305" s="105">
        <v>14.700000000000001</v>
      </c>
      <c r="E305" s="152">
        <v>36</v>
      </c>
      <c r="F305" s="152">
        <v>1893</v>
      </c>
      <c r="G305" s="152">
        <f>5+2</f>
        <v>7</v>
      </c>
      <c r="H305" s="152">
        <f>F305-G305</f>
        <v>1886</v>
      </c>
      <c r="I305" s="161"/>
      <c r="J305" s="161"/>
      <c r="K305" s="161"/>
      <c r="L305" s="161"/>
      <c r="M305" s="161"/>
    </row>
    <row r="306" spans="1:13" x14ac:dyDescent="0.25">
      <c r="A306" s="360"/>
      <c r="B306" s="308"/>
      <c r="C306" s="152" t="s">
        <v>66</v>
      </c>
      <c r="D306" s="105">
        <v>16.8</v>
      </c>
      <c r="E306" s="152">
        <v>24</v>
      </c>
      <c r="F306" s="152">
        <v>604</v>
      </c>
      <c r="G306" s="152">
        <v>2</v>
      </c>
      <c r="H306" s="152">
        <f>F306-G306</f>
        <v>602</v>
      </c>
      <c r="I306" s="161"/>
      <c r="J306" s="161"/>
      <c r="K306" s="161"/>
      <c r="L306" s="161"/>
      <c r="M306" s="161"/>
    </row>
    <row r="307" spans="1:13" x14ac:dyDescent="0.25">
      <c r="A307" s="360"/>
      <c r="B307" s="308"/>
      <c r="C307" s="152" t="s">
        <v>69</v>
      </c>
      <c r="D307" s="105">
        <v>34.65</v>
      </c>
      <c r="E307" s="152">
        <v>24</v>
      </c>
      <c r="F307" s="152">
        <v>414</v>
      </c>
      <c r="G307" s="152">
        <v>2</v>
      </c>
      <c r="H307" s="152">
        <f>F307-G307</f>
        <v>412</v>
      </c>
      <c r="I307" s="161"/>
      <c r="J307" s="161"/>
      <c r="K307" s="161"/>
      <c r="L307" s="161"/>
      <c r="M307" s="161"/>
    </row>
    <row r="308" spans="1:13" x14ac:dyDescent="0.25">
      <c r="A308" s="360"/>
      <c r="B308" s="356" t="s">
        <v>162</v>
      </c>
      <c r="C308" s="114" t="s">
        <v>74</v>
      </c>
      <c r="D308" s="113">
        <v>23.546249999999997</v>
      </c>
      <c r="E308" s="114">
        <v>63</v>
      </c>
      <c r="F308" s="114">
        <v>1042</v>
      </c>
      <c r="G308" s="114">
        <f>10+2</f>
        <v>12</v>
      </c>
      <c r="H308" s="152">
        <f t="shared" ref="H308:H319" si="12">F308-G308</f>
        <v>1030</v>
      </c>
      <c r="I308" s="161"/>
      <c r="J308" s="161"/>
      <c r="K308" s="161"/>
      <c r="L308" s="161"/>
      <c r="M308" s="161"/>
    </row>
    <row r="309" spans="1:13" x14ac:dyDescent="0.25">
      <c r="A309" s="360"/>
      <c r="B309" s="357"/>
      <c r="C309" s="114" t="s">
        <v>59</v>
      </c>
      <c r="D309" s="113">
        <v>26</v>
      </c>
      <c r="E309" s="114">
        <v>36</v>
      </c>
      <c r="F309" s="114">
        <v>1046</v>
      </c>
      <c r="G309" s="114">
        <f>5+2</f>
        <v>7</v>
      </c>
      <c r="H309" s="152">
        <f t="shared" si="12"/>
        <v>1039</v>
      </c>
      <c r="I309" s="161"/>
      <c r="J309" s="161"/>
      <c r="K309" s="161"/>
      <c r="L309" s="161"/>
      <c r="M309" s="161"/>
    </row>
    <row r="310" spans="1:13" x14ac:dyDescent="0.25">
      <c r="A310" s="360"/>
      <c r="B310" s="314" t="s">
        <v>159</v>
      </c>
      <c r="C310" s="114" t="s">
        <v>50</v>
      </c>
      <c r="D310" s="113">
        <v>23.546249999999997</v>
      </c>
      <c r="E310" s="114">
        <v>45</v>
      </c>
      <c r="F310" s="114">
        <v>494</v>
      </c>
      <c r="G310" s="114">
        <f>5+2+45</f>
        <v>52</v>
      </c>
      <c r="H310" s="152">
        <f t="shared" si="12"/>
        <v>442</v>
      </c>
      <c r="I310" s="161"/>
      <c r="J310" s="161"/>
      <c r="K310" s="161"/>
      <c r="L310" s="161"/>
      <c r="M310" s="161"/>
    </row>
    <row r="311" spans="1:13" x14ac:dyDescent="0.25">
      <c r="A311" s="360"/>
      <c r="B311" s="314"/>
      <c r="C311" s="114" t="s">
        <v>55</v>
      </c>
      <c r="D311" s="113">
        <v>26</v>
      </c>
      <c r="E311" s="114">
        <v>40</v>
      </c>
      <c r="F311" s="114">
        <v>50</v>
      </c>
      <c r="G311" s="114">
        <f>5+2+40</f>
        <v>47</v>
      </c>
      <c r="H311" s="152">
        <f t="shared" si="12"/>
        <v>3</v>
      </c>
      <c r="I311" s="161"/>
      <c r="J311" s="161"/>
      <c r="K311" s="161"/>
      <c r="L311" s="161"/>
      <c r="M311" s="161"/>
    </row>
    <row r="312" spans="1:13" x14ac:dyDescent="0.25">
      <c r="A312" s="360"/>
      <c r="B312" s="314"/>
      <c r="C312" s="114" t="s">
        <v>54</v>
      </c>
      <c r="D312" s="113">
        <v>26.549705000000003</v>
      </c>
      <c r="E312" s="114">
        <v>28</v>
      </c>
      <c r="F312" s="114">
        <v>438</v>
      </c>
      <c r="G312" s="114">
        <v>2</v>
      </c>
      <c r="H312" s="152">
        <f t="shared" si="12"/>
        <v>436</v>
      </c>
      <c r="I312" s="161"/>
      <c r="J312" s="161"/>
      <c r="K312" s="161"/>
      <c r="L312" s="161"/>
      <c r="M312" s="161"/>
    </row>
    <row r="313" spans="1:13" x14ac:dyDescent="0.25">
      <c r="A313" s="360"/>
      <c r="B313" s="152" t="s">
        <v>68</v>
      </c>
      <c r="C313" s="152" t="s">
        <v>55</v>
      </c>
      <c r="D313" s="105">
        <v>14.700000000000001</v>
      </c>
      <c r="E313" s="152">
        <v>28</v>
      </c>
      <c r="F313" s="152">
        <v>463</v>
      </c>
      <c r="G313" s="152">
        <v>2</v>
      </c>
      <c r="H313" s="152">
        <f t="shared" si="12"/>
        <v>461</v>
      </c>
      <c r="I313" s="161"/>
      <c r="J313" s="161"/>
      <c r="K313" s="161"/>
      <c r="L313" s="161"/>
      <c r="M313" s="161"/>
    </row>
    <row r="314" spans="1:13" x14ac:dyDescent="0.25">
      <c r="A314" s="360"/>
      <c r="B314" s="356" t="s">
        <v>163</v>
      </c>
      <c r="C314" s="153" t="s">
        <v>30</v>
      </c>
      <c r="D314" s="109">
        <v>45</v>
      </c>
      <c r="E314" s="153">
        <v>28</v>
      </c>
      <c r="F314" s="153">
        <v>280</v>
      </c>
      <c r="G314" s="153">
        <f>5+2+28</f>
        <v>35</v>
      </c>
      <c r="H314" s="152">
        <f t="shared" si="12"/>
        <v>245</v>
      </c>
      <c r="I314" s="161"/>
      <c r="J314" s="161"/>
      <c r="K314" s="161"/>
      <c r="L314" s="161"/>
      <c r="M314" s="161"/>
    </row>
    <row r="315" spans="1:13" x14ac:dyDescent="0.25">
      <c r="A315" s="360"/>
      <c r="B315" s="357"/>
      <c r="C315" s="123" t="s">
        <v>121</v>
      </c>
      <c r="D315" s="122">
        <v>88</v>
      </c>
      <c r="E315" s="123">
        <v>15</v>
      </c>
      <c r="F315" s="123">
        <v>35</v>
      </c>
      <c r="G315" s="123">
        <v>2</v>
      </c>
      <c r="H315" s="152">
        <f t="shared" si="12"/>
        <v>33</v>
      </c>
      <c r="I315" s="161"/>
      <c r="J315" s="161"/>
      <c r="K315" s="161"/>
      <c r="L315" s="161"/>
      <c r="M315" s="161"/>
    </row>
    <row r="316" spans="1:13" x14ac:dyDescent="0.25">
      <c r="A316" s="360"/>
      <c r="B316" s="314" t="s">
        <v>165</v>
      </c>
      <c r="C316" s="114" t="s">
        <v>71</v>
      </c>
      <c r="D316" s="113">
        <v>20.375354999999999</v>
      </c>
      <c r="E316" s="114">
        <v>84</v>
      </c>
      <c r="F316" s="114">
        <v>2016</v>
      </c>
      <c r="G316" s="114">
        <v>2</v>
      </c>
      <c r="H316" s="152">
        <f t="shared" si="12"/>
        <v>2014</v>
      </c>
      <c r="I316" s="161"/>
      <c r="J316" s="161"/>
      <c r="K316" s="161"/>
      <c r="L316" s="161"/>
      <c r="M316" s="161"/>
    </row>
    <row r="317" spans="1:13" x14ac:dyDescent="0.25">
      <c r="A317" s="360"/>
      <c r="B317" s="314"/>
      <c r="C317" s="114" t="s">
        <v>50</v>
      </c>
      <c r="D317" s="113">
        <v>23.462530000000001</v>
      </c>
      <c r="E317" s="114">
        <v>45</v>
      </c>
      <c r="F317" s="114">
        <v>715</v>
      </c>
      <c r="G317" s="114">
        <v>2</v>
      </c>
      <c r="H317" s="152">
        <f t="shared" si="12"/>
        <v>713</v>
      </c>
      <c r="I317" s="161"/>
      <c r="J317" s="161"/>
      <c r="K317" s="161"/>
      <c r="L317" s="161"/>
      <c r="M317" s="161"/>
    </row>
    <row r="318" spans="1:13" ht="15.75" thickBot="1" x14ac:dyDescent="0.3">
      <c r="A318" s="361"/>
      <c r="B318" s="356"/>
      <c r="C318" s="118" t="s">
        <v>55</v>
      </c>
      <c r="D318" s="117">
        <v>26.549705000000003</v>
      </c>
      <c r="E318" s="118">
        <v>40</v>
      </c>
      <c r="F318" s="118">
        <v>554</v>
      </c>
      <c r="G318" s="118">
        <v>2</v>
      </c>
      <c r="H318" s="154">
        <f t="shared" si="12"/>
        <v>552</v>
      </c>
      <c r="I318" s="161"/>
      <c r="J318" s="161"/>
      <c r="K318" s="161"/>
      <c r="L318" s="161"/>
      <c r="M318" s="161"/>
    </row>
    <row r="319" spans="1:13" ht="16.5" thickTop="1" thickBot="1" x14ac:dyDescent="0.3">
      <c r="A319" s="238" t="s">
        <v>1713</v>
      </c>
      <c r="B319" s="112" t="s">
        <v>159</v>
      </c>
      <c r="C319" s="112" t="s">
        <v>55</v>
      </c>
      <c r="D319" s="111">
        <v>35</v>
      </c>
      <c r="E319" s="36">
        <v>40</v>
      </c>
      <c r="F319" s="36">
        <v>140</v>
      </c>
      <c r="G319" s="36"/>
      <c r="H319" s="31">
        <f t="shared" si="12"/>
        <v>140</v>
      </c>
      <c r="I319" s="161"/>
      <c r="J319" s="161"/>
      <c r="K319" s="161"/>
      <c r="L319" s="161"/>
      <c r="M319" s="161"/>
    </row>
    <row r="320" spans="1:13" ht="15.75" thickTop="1" x14ac:dyDescent="0.25">
      <c r="A320" s="359" t="s">
        <v>583</v>
      </c>
      <c r="B320" s="307" t="s">
        <v>159</v>
      </c>
      <c r="C320" s="121" t="s">
        <v>50</v>
      </c>
      <c r="D320" s="120">
        <v>24</v>
      </c>
      <c r="E320" s="121">
        <v>45</v>
      </c>
      <c r="F320" s="121">
        <v>1260</v>
      </c>
      <c r="G320" s="121"/>
      <c r="H320" s="148">
        <f>F320-G320</f>
        <v>1260</v>
      </c>
      <c r="I320" s="161"/>
      <c r="J320" s="161"/>
      <c r="K320" s="161"/>
      <c r="L320" s="161"/>
      <c r="M320" s="161"/>
    </row>
    <row r="321" spans="1:13" ht="15.75" thickBot="1" x14ac:dyDescent="0.3">
      <c r="A321" s="361"/>
      <c r="B321" s="309"/>
      <c r="C321" s="116" t="s">
        <v>55</v>
      </c>
      <c r="D321" s="115">
        <v>27</v>
      </c>
      <c r="E321" s="116">
        <v>40</v>
      </c>
      <c r="F321" s="116">
        <v>144</v>
      </c>
      <c r="G321" s="116"/>
      <c r="H321" s="126">
        <f>F321-G321</f>
        <v>144</v>
      </c>
      <c r="I321" s="161"/>
      <c r="J321" s="161"/>
      <c r="K321" s="161"/>
      <c r="L321" s="161"/>
      <c r="M321" s="161"/>
    </row>
    <row r="322" spans="1:13" ht="16.5" thickTop="1" thickBot="1" x14ac:dyDescent="0.3">
      <c r="A322" s="239" t="s">
        <v>1714</v>
      </c>
      <c r="B322" s="112" t="s">
        <v>159</v>
      </c>
      <c r="C322" s="112" t="s">
        <v>55</v>
      </c>
      <c r="D322" s="111">
        <v>35</v>
      </c>
      <c r="E322" s="112">
        <v>40</v>
      </c>
      <c r="F322" s="112">
        <v>70</v>
      </c>
      <c r="G322" s="112"/>
      <c r="H322" s="151">
        <f>F322-G322</f>
        <v>70</v>
      </c>
      <c r="I322" s="161"/>
      <c r="J322" s="161"/>
      <c r="K322" s="161"/>
      <c r="L322" s="161"/>
      <c r="M322" s="161"/>
    </row>
    <row r="323" spans="1:13" ht="15.75" thickTop="1" x14ac:dyDescent="0.25">
      <c r="A323" s="349" t="s">
        <v>26</v>
      </c>
      <c r="B323" s="313" t="s">
        <v>161</v>
      </c>
      <c r="C323" s="112" t="s">
        <v>72</v>
      </c>
      <c r="D323" s="111">
        <v>20.375354999999999</v>
      </c>
      <c r="E323" s="112">
        <v>72</v>
      </c>
      <c r="F323" s="112">
        <v>1728</v>
      </c>
      <c r="G323" s="112"/>
      <c r="H323" s="112">
        <f>F323-G323</f>
        <v>1728</v>
      </c>
      <c r="I323" s="161"/>
      <c r="J323" s="161"/>
      <c r="K323" s="161"/>
      <c r="L323" s="161"/>
      <c r="M323" s="161"/>
    </row>
    <row r="324" spans="1:13" x14ac:dyDescent="0.25">
      <c r="A324" s="350"/>
      <c r="B324" s="314"/>
      <c r="C324" s="114" t="s">
        <v>66</v>
      </c>
      <c r="D324" s="113">
        <v>26.549705000000003</v>
      </c>
      <c r="E324" s="114">
        <v>24</v>
      </c>
      <c r="F324" s="114">
        <v>655</v>
      </c>
      <c r="G324" s="114"/>
      <c r="H324" s="114">
        <f>F324-G324</f>
        <v>655</v>
      </c>
      <c r="I324" s="161"/>
      <c r="J324" s="161"/>
      <c r="K324" s="161"/>
      <c r="L324" s="161"/>
      <c r="M324" s="161"/>
    </row>
    <row r="325" spans="1:13" x14ac:dyDescent="0.25">
      <c r="A325" s="350"/>
      <c r="B325" s="314"/>
      <c r="C325" s="114" t="s">
        <v>67</v>
      </c>
      <c r="D325" s="113">
        <v>88.293205</v>
      </c>
      <c r="E325" s="114">
        <v>12</v>
      </c>
      <c r="F325" s="114">
        <v>60</v>
      </c>
      <c r="G325" s="114"/>
      <c r="H325" s="114">
        <f t="shared" ref="H325:H339" si="13">F325-G325</f>
        <v>60</v>
      </c>
      <c r="I325" s="161"/>
      <c r="J325" s="161"/>
      <c r="K325" s="161"/>
      <c r="L325" s="161"/>
      <c r="M325" s="161"/>
    </row>
    <row r="326" spans="1:13" x14ac:dyDescent="0.25">
      <c r="A326" s="350"/>
      <c r="B326" s="314" t="s">
        <v>162</v>
      </c>
      <c r="C326" s="114" t="s">
        <v>74</v>
      </c>
      <c r="D326" s="113">
        <v>23.546249999999997</v>
      </c>
      <c r="E326" s="114">
        <v>63</v>
      </c>
      <c r="F326" s="114">
        <v>1449</v>
      </c>
      <c r="G326" s="114"/>
      <c r="H326" s="114">
        <f t="shared" si="13"/>
        <v>1449</v>
      </c>
      <c r="I326" s="161"/>
      <c r="J326" s="161"/>
      <c r="K326" s="161"/>
      <c r="L326" s="161"/>
      <c r="M326" s="161"/>
    </row>
    <row r="327" spans="1:13" x14ac:dyDescent="0.25">
      <c r="A327" s="350"/>
      <c r="B327" s="314"/>
      <c r="C327" s="114" t="s">
        <v>59</v>
      </c>
      <c r="D327" s="113">
        <v>15</v>
      </c>
      <c r="E327" s="114">
        <v>36</v>
      </c>
      <c r="F327" s="114">
        <v>468</v>
      </c>
      <c r="G327" s="114"/>
      <c r="H327" s="114">
        <f t="shared" si="13"/>
        <v>468</v>
      </c>
      <c r="I327" s="161"/>
      <c r="J327" s="161"/>
      <c r="K327" s="161"/>
      <c r="L327" s="161"/>
      <c r="M327" s="161"/>
    </row>
    <row r="328" spans="1:13" x14ac:dyDescent="0.25">
      <c r="A328" s="350"/>
      <c r="B328" s="314" t="s">
        <v>159</v>
      </c>
      <c r="C328" s="114" t="s">
        <v>55</v>
      </c>
      <c r="D328" s="113">
        <v>26.549705000000003</v>
      </c>
      <c r="E328" s="114">
        <v>40</v>
      </c>
      <c r="F328" s="114">
        <v>758</v>
      </c>
      <c r="G328" s="114"/>
      <c r="H328" s="114">
        <f t="shared" si="13"/>
        <v>758</v>
      </c>
      <c r="I328" s="161"/>
      <c r="J328" s="161"/>
      <c r="K328" s="161"/>
      <c r="L328" s="161"/>
      <c r="M328" s="161"/>
    </row>
    <row r="329" spans="1:13" x14ac:dyDescent="0.25">
      <c r="A329" s="350"/>
      <c r="B329" s="314"/>
      <c r="C329" s="114" t="s">
        <v>54</v>
      </c>
      <c r="D329" s="113">
        <v>26.549705000000003</v>
      </c>
      <c r="E329" s="114">
        <v>28</v>
      </c>
      <c r="F329" s="114">
        <v>470</v>
      </c>
      <c r="G329" s="114"/>
      <c r="H329" s="114">
        <f t="shared" si="13"/>
        <v>470</v>
      </c>
      <c r="I329" s="161"/>
      <c r="J329" s="161"/>
      <c r="K329" s="161"/>
      <c r="L329" s="161"/>
      <c r="M329" s="161"/>
    </row>
    <row r="330" spans="1:13" x14ac:dyDescent="0.25">
      <c r="A330" s="350"/>
      <c r="B330" s="314" t="s">
        <v>68</v>
      </c>
      <c r="C330" s="152" t="s">
        <v>55</v>
      </c>
      <c r="D330" s="105">
        <v>14.700000000000001</v>
      </c>
      <c r="E330" s="152">
        <v>28</v>
      </c>
      <c r="F330" s="152">
        <v>504</v>
      </c>
      <c r="G330" s="152"/>
      <c r="H330" s="152">
        <f t="shared" si="13"/>
        <v>504</v>
      </c>
      <c r="I330" s="161"/>
      <c r="J330" s="161"/>
      <c r="K330" s="161"/>
      <c r="L330" s="161"/>
      <c r="M330" s="161"/>
    </row>
    <row r="331" spans="1:13" x14ac:dyDescent="0.25">
      <c r="A331" s="350"/>
      <c r="B331" s="314"/>
      <c r="C331" s="152" t="s">
        <v>53</v>
      </c>
      <c r="D331" s="105">
        <v>32.549999999999997</v>
      </c>
      <c r="E331" s="152">
        <v>18</v>
      </c>
      <c r="F331" s="152">
        <v>288</v>
      </c>
      <c r="G331" s="152"/>
      <c r="H331" s="152">
        <f t="shared" si="13"/>
        <v>288</v>
      </c>
      <c r="I331" s="161"/>
      <c r="J331" s="161"/>
      <c r="K331" s="161"/>
      <c r="L331" s="161"/>
      <c r="M331" s="161"/>
    </row>
    <row r="332" spans="1:13" x14ac:dyDescent="0.25">
      <c r="A332" s="350"/>
      <c r="B332" s="114" t="s">
        <v>163</v>
      </c>
      <c r="C332" s="114" t="s">
        <v>30</v>
      </c>
      <c r="D332" s="113">
        <v>26.549705000000003</v>
      </c>
      <c r="E332" s="114">
        <v>28</v>
      </c>
      <c r="F332" s="114">
        <v>554</v>
      </c>
      <c r="G332" s="114"/>
      <c r="H332" s="114">
        <f t="shared" si="13"/>
        <v>554</v>
      </c>
      <c r="I332" s="161"/>
      <c r="J332" s="161"/>
      <c r="K332" s="161"/>
      <c r="L332" s="161"/>
      <c r="M332" s="161"/>
    </row>
    <row r="333" spans="1:13" x14ac:dyDescent="0.25">
      <c r="A333" s="350"/>
      <c r="B333" s="314" t="s">
        <v>164</v>
      </c>
      <c r="C333" s="114" t="s">
        <v>72</v>
      </c>
      <c r="D333" s="113">
        <v>18.523050000000001</v>
      </c>
      <c r="E333" s="114">
        <v>72</v>
      </c>
      <c r="F333" s="114">
        <v>2592</v>
      </c>
      <c r="G333" s="114"/>
      <c r="H333" s="114">
        <f t="shared" si="13"/>
        <v>2592</v>
      </c>
      <c r="I333" s="161"/>
      <c r="J333" s="161"/>
      <c r="K333" s="161"/>
      <c r="L333" s="161"/>
      <c r="M333" s="161"/>
    </row>
    <row r="334" spans="1:13" x14ac:dyDescent="0.25">
      <c r="A334" s="350"/>
      <c r="B334" s="314"/>
      <c r="C334" s="114" t="s">
        <v>73</v>
      </c>
      <c r="D334" s="113">
        <v>28</v>
      </c>
      <c r="E334" s="114">
        <v>48</v>
      </c>
      <c r="F334" s="114">
        <v>336</v>
      </c>
      <c r="G334" s="114"/>
      <c r="H334" s="114">
        <f t="shared" si="13"/>
        <v>336</v>
      </c>
      <c r="I334" s="161"/>
      <c r="J334" s="161"/>
      <c r="K334" s="161"/>
      <c r="L334" s="161"/>
      <c r="M334" s="161"/>
    </row>
    <row r="335" spans="1:13" x14ac:dyDescent="0.25">
      <c r="A335" s="350"/>
      <c r="B335" s="314"/>
      <c r="C335" s="114" t="s">
        <v>48</v>
      </c>
      <c r="D335" s="113">
        <v>58.656325000000002</v>
      </c>
      <c r="E335" s="114">
        <v>24</v>
      </c>
      <c r="F335" s="114">
        <v>336</v>
      </c>
      <c r="G335" s="114"/>
      <c r="H335" s="114">
        <f t="shared" si="13"/>
        <v>336</v>
      </c>
      <c r="I335" s="161"/>
      <c r="J335" s="161"/>
      <c r="K335" s="161"/>
      <c r="L335" s="161"/>
      <c r="M335" s="161"/>
    </row>
    <row r="336" spans="1:13" ht="30" x14ac:dyDescent="0.25">
      <c r="A336" s="350"/>
      <c r="B336" s="123" t="s">
        <v>160</v>
      </c>
      <c r="C336" s="114" t="s">
        <v>80</v>
      </c>
      <c r="D336" s="113">
        <v>58.656325000000002</v>
      </c>
      <c r="E336" s="114">
        <v>24</v>
      </c>
      <c r="F336" s="114">
        <v>240</v>
      </c>
      <c r="G336" s="114"/>
      <c r="H336" s="114">
        <f t="shared" si="13"/>
        <v>240</v>
      </c>
      <c r="I336" s="161"/>
      <c r="J336" s="161"/>
      <c r="K336" s="161"/>
      <c r="L336" s="161"/>
      <c r="M336" s="161"/>
    </row>
    <row r="337" spans="1:13" x14ac:dyDescent="0.25">
      <c r="A337" s="350"/>
      <c r="B337" s="314" t="s">
        <v>165</v>
      </c>
      <c r="C337" s="114" t="s">
        <v>71</v>
      </c>
      <c r="D337" s="113">
        <v>20.375354999999999</v>
      </c>
      <c r="E337" s="114">
        <v>84</v>
      </c>
      <c r="F337" s="114">
        <v>2001</v>
      </c>
      <c r="G337" s="114"/>
      <c r="H337" s="114">
        <f t="shared" si="13"/>
        <v>2001</v>
      </c>
      <c r="I337" s="161"/>
      <c r="J337" s="161"/>
      <c r="K337" s="161"/>
      <c r="L337" s="161"/>
      <c r="M337" s="161"/>
    </row>
    <row r="338" spans="1:13" x14ac:dyDescent="0.25">
      <c r="A338" s="350"/>
      <c r="B338" s="314"/>
      <c r="C338" s="114" t="s">
        <v>50</v>
      </c>
      <c r="D338" s="113">
        <v>23.462530000000001</v>
      </c>
      <c r="E338" s="114">
        <v>45</v>
      </c>
      <c r="F338" s="114">
        <v>900</v>
      </c>
      <c r="G338" s="114"/>
      <c r="H338" s="114">
        <f t="shared" si="13"/>
        <v>900</v>
      </c>
      <c r="I338" s="161"/>
      <c r="J338" s="161"/>
      <c r="K338" s="161"/>
      <c r="L338" s="161"/>
      <c r="M338" s="161"/>
    </row>
    <row r="339" spans="1:13" x14ac:dyDescent="0.25">
      <c r="A339" s="350"/>
      <c r="B339" s="314"/>
      <c r="C339" s="114" t="s">
        <v>55</v>
      </c>
      <c r="D339" s="113">
        <v>26.549705000000003</v>
      </c>
      <c r="E339" s="114">
        <v>40</v>
      </c>
      <c r="F339" s="114">
        <v>680</v>
      </c>
      <c r="G339" s="114"/>
      <c r="H339" s="114">
        <f t="shared" si="13"/>
        <v>680</v>
      </c>
      <c r="I339" s="161"/>
      <c r="J339" s="161"/>
      <c r="K339" s="161"/>
      <c r="L339" s="161"/>
      <c r="M339" s="161"/>
    </row>
    <row r="340" spans="1:13" ht="15.75" thickBot="1" x14ac:dyDescent="0.3">
      <c r="A340" s="351"/>
      <c r="B340" s="116" t="s">
        <v>28</v>
      </c>
      <c r="C340" s="116" t="s">
        <v>27</v>
      </c>
      <c r="D340" s="115">
        <v>47</v>
      </c>
      <c r="E340" s="116">
        <v>24</v>
      </c>
      <c r="F340" s="116">
        <v>192</v>
      </c>
      <c r="G340" s="116"/>
      <c r="H340" s="116">
        <f>F340-G340</f>
        <v>192</v>
      </c>
      <c r="I340" s="161"/>
      <c r="J340" s="161"/>
      <c r="K340" s="161"/>
      <c r="L340" s="161"/>
      <c r="M340" s="161"/>
    </row>
    <row r="341" spans="1:13" ht="15.75" thickTop="1" x14ac:dyDescent="0.25">
      <c r="A341" s="384" t="s">
        <v>123</v>
      </c>
      <c r="B341" s="304" t="s">
        <v>32</v>
      </c>
      <c r="C341" s="153" t="s">
        <v>72</v>
      </c>
      <c r="D341" s="109">
        <v>12.6</v>
      </c>
      <c r="E341" s="153">
        <v>72</v>
      </c>
      <c r="F341" s="153">
        <f>2433+144</f>
        <v>2577</v>
      </c>
      <c r="G341" s="153">
        <f>10+2</f>
        <v>12</v>
      </c>
      <c r="H341" s="153">
        <f t="shared" ref="H341:H342" si="14">F341-G341</f>
        <v>2565</v>
      </c>
      <c r="I341" s="161"/>
      <c r="J341" s="161"/>
      <c r="K341" s="161"/>
      <c r="L341" s="161"/>
      <c r="M341" s="161"/>
    </row>
    <row r="342" spans="1:13" x14ac:dyDescent="0.25">
      <c r="A342" s="384"/>
      <c r="B342" s="305"/>
      <c r="C342" s="152" t="s">
        <v>30</v>
      </c>
      <c r="D342" s="105">
        <v>14.700000000000001</v>
      </c>
      <c r="E342" s="152">
        <v>36</v>
      </c>
      <c r="F342" s="152">
        <f>936+72</f>
        <v>1008</v>
      </c>
      <c r="G342" s="152">
        <f>5+2</f>
        <v>7</v>
      </c>
      <c r="H342" s="152">
        <f t="shared" si="14"/>
        <v>1001</v>
      </c>
      <c r="I342" s="161"/>
      <c r="J342" s="161"/>
      <c r="K342" s="161"/>
      <c r="L342" s="161"/>
      <c r="M342" s="161"/>
    </row>
    <row r="343" spans="1:13" x14ac:dyDescent="0.25">
      <c r="A343" s="384"/>
      <c r="B343" s="305"/>
      <c r="C343" s="152" t="s">
        <v>67</v>
      </c>
      <c r="D343" s="105">
        <v>49.349999999999994</v>
      </c>
      <c r="E343" s="152">
        <v>12</v>
      </c>
      <c r="F343" s="152">
        <f>216+12+12</f>
        <v>240</v>
      </c>
      <c r="G343" s="152">
        <v>2</v>
      </c>
      <c r="H343" s="152">
        <f t="shared" ref="H343:H364" si="15">F343-G343</f>
        <v>238</v>
      </c>
      <c r="I343" s="161"/>
      <c r="J343" s="161"/>
      <c r="K343" s="161"/>
      <c r="L343" s="161"/>
      <c r="M343" s="161"/>
    </row>
    <row r="344" spans="1:13" x14ac:dyDescent="0.25">
      <c r="A344" s="384"/>
      <c r="B344" s="319"/>
      <c r="C344" s="152" t="s">
        <v>69</v>
      </c>
      <c r="D344" s="105">
        <v>35</v>
      </c>
      <c r="E344" s="152">
        <v>24</v>
      </c>
      <c r="F344" s="152">
        <v>432</v>
      </c>
      <c r="G344" s="152"/>
      <c r="H344" s="152">
        <f t="shared" si="15"/>
        <v>432</v>
      </c>
      <c r="I344" s="161"/>
      <c r="J344" s="161"/>
      <c r="K344" s="161"/>
      <c r="L344" s="161"/>
      <c r="M344" s="161"/>
    </row>
    <row r="345" spans="1:13" x14ac:dyDescent="0.25">
      <c r="A345" s="384"/>
      <c r="B345" s="320" t="s">
        <v>60</v>
      </c>
      <c r="C345" s="152" t="s">
        <v>74</v>
      </c>
      <c r="D345" s="105">
        <v>24</v>
      </c>
      <c r="E345" s="152">
        <v>63</v>
      </c>
      <c r="F345" s="152">
        <f>378</f>
        <v>378</v>
      </c>
      <c r="G345" s="152">
        <f>10+2</f>
        <v>12</v>
      </c>
      <c r="H345" s="152">
        <f t="shared" si="15"/>
        <v>366</v>
      </c>
      <c r="I345" s="161"/>
      <c r="J345" s="161"/>
      <c r="K345" s="161"/>
      <c r="L345" s="161"/>
      <c r="M345" s="161"/>
    </row>
    <row r="346" spans="1:13" x14ac:dyDescent="0.25">
      <c r="A346" s="384"/>
      <c r="B346" s="319"/>
      <c r="C346" s="152" t="s">
        <v>59</v>
      </c>
      <c r="D346" s="105">
        <v>26</v>
      </c>
      <c r="E346" s="152">
        <v>36</v>
      </c>
      <c r="F346" s="152">
        <v>422</v>
      </c>
      <c r="G346" s="152">
        <f>5+2</f>
        <v>7</v>
      </c>
      <c r="H346" s="152">
        <f t="shared" si="15"/>
        <v>415</v>
      </c>
      <c r="I346" s="161"/>
      <c r="J346" s="161"/>
      <c r="K346" s="161"/>
      <c r="L346" s="161"/>
      <c r="M346" s="161"/>
    </row>
    <row r="347" spans="1:13" x14ac:dyDescent="0.25">
      <c r="A347" s="384"/>
      <c r="B347" s="152" t="s">
        <v>68</v>
      </c>
      <c r="C347" s="152" t="s">
        <v>53</v>
      </c>
      <c r="D347" s="105">
        <v>33.6</v>
      </c>
      <c r="E347" s="152">
        <v>18</v>
      </c>
      <c r="F347" s="152">
        <f>345+36+36</f>
        <v>417</v>
      </c>
      <c r="G347" s="152">
        <v>2</v>
      </c>
      <c r="H347" s="152">
        <f t="shared" si="15"/>
        <v>415</v>
      </c>
      <c r="I347" s="161"/>
      <c r="J347" s="161"/>
      <c r="K347" s="161"/>
      <c r="L347" s="161"/>
      <c r="M347" s="161"/>
    </row>
    <row r="348" spans="1:13" x14ac:dyDescent="0.25">
      <c r="A348" s="384"/>
      <c r="B348" s="320" t="s">
        <v>31</v>
      </c>
      <c r="C348" s="152" t="s">
        <v>51</v>
      </c>
      <c r="D348" s="105">
        <v>12.6</v>
      </c>
      <c r="E348" s="152">
        <v>48</v>
      </c>
      <c r="F348" s="152">
        <v>455</v>
      </c>
      <c r="G348" s="152">
        <f>10+2</f>
        <v>12</v>
      </c>
      <c r="H348" s="152">
        <f t="shared" si="15"/>
        <v>443</v>
      </c>
      <c r="I348" s="161"/>
      <c r="J348" s="161"/>
      <c r="K348" s="161"/>
      <c r="L348" s="161"/>
      <c r="M348" s="161"/>
    </row>
    <row r="349" spans="1:13" x14ac:dyDescent="0.25">
      <c r="A349" s="384"/>
      <c r="B349" s="305"/>
      <c r="C349" s="152" t="s">
        <v>30</v>
      </c>
      <c r="D349" s="105">
        <v>14.700000000000001</v>
      </c>
      <c r="E349" s="152">
        <v>28</v>
      </c>
      <c r="F349" s="152">
        <f>56+28</f>
        <v>84</v>
      </c>
      <c r="G349" s="152">
        <f>5+2+28</f>
        <v>35</v>
      </c>
      <c r="H349" s="152">
        <f t="shared" si="15"/>
        <v>49</v>
      </c>
      <c r="I349" s="161"/>
      <c r="J349" s="161"/>
      <c r="K349" s="161"/>
      <c r="L349" s="161"/>
      <c r="M349" s="161"/>
    </row>
    <row r="350" spans="1:13" x14ac:dyDescent="0.25">
      <c r="A350" s="384"/>
      <c r="B350" s="319"/>
      <c r="C350" s="152" t="s">
        <v>29</v>
      </c>
      <c r="D350" s="105">
        <v>33.6</v>
      </c>
      <c r="E350" s="152">
        <v>24</v>
      </c>
      <c r="F350" s="152">
        <v>182</v>
      </c>
      <c r="G350" s="152">
        <f>5+2+24</f>
        <v>31</v>
      </c>
      <c r="H350" s="152">
        <f t="shared" si="15"/>
        <v>151</v>
      </c>
      <c r="I350" s="161"/>
      <c r="J350" s="161"/>
      <c r="K350" s="161"/>
      <c r="L350" s="161"/>
      <c r="M350" s="161"/>
    </row>
    <row r="351" spans="1:13" x14ac:dyDescent="0.25">
      <c r="A351" s="384"/>
      <c r="B351" s="320" t="s">
        <v>49</v>
      </c>
      <c r="C351" s="152" t="s">
        <v>72</v>
      </c>
      <c r="D351" s="105">
        <v>10.5</v>
      </c>
      <c r="E351" s="152">
        <v>72</v>
      </c>
      <c r="F351" s="152">
        <f>2592+2016+287+551</f>
        <v>5446</v>
      </c>
      <c r="G351" s="152">
        <f>10+2</f>
        <v>12</v>
      </c>
      <c r="H351" s="152">
        <f t="shared" si="15"/>
        <v>5434</v>
      </c>
      <c r="I351" s="161"/>
      <c r="J351" s="161"/>
      <c r="K351" s="161"/>
      <c r="L351" s="161"/>
      <c r="M351" s="161"/>
    </row>
    <row r="352" spans="1:13" x14ac:dyDescent="0.25">
      <c r="A352" s="384"/>
      <c r="B352" s="305"/>
      <c r="C352" s="152" t="s">
        <v>73</v>
      </c>
      <c r="D352" s="105">
        <v>14.700000000000001</v>
      </c>
      <c r="E352" s="152">
        <v>48</v>
      </c>
      <c r="F352" s="152">
        <f>651+48</f>
        <v>699</v>
      </c>
      <c r="G352" s="152">
        <f>10+2+48</f>
        <v>60</v>
      </c>
      <c r="H352" s="152">
        <f t="shared" si="15"/>
        <v>639</v>
      </c>
      <c r="I352" s="161"/>
      <c r="J352" s="161"/>
      <c r="K352" s="161"/>
      <c r="L352" s="161"/>
      <c r="M352" s="161"/>
    </row>
    <row r="353" spans="1:13" x14ac:dyDescent="0.25">
      <c r="A353" s="384"/>
      <c r="B353" s="319"/>
      <c r="C353" s="152" t="s">
        <v>48</v>
      </c>
      <c r="D353" s="105">
        <v>33.6</v>
      </c>
      <c r="E353" s="152">
        <v>24</v>
      </c>
      <c r="F353" s="152">
        <v>360</v>
      </c>
      <c r="G353" s="152">
        <f>5+2+24</f>
        <v>31</v>
      </c>
      <c r="H353" s="152">
        <f t="shared" si="15"/>
        <v>329</v>
      </c>
      <c r="I353" s="161"/>
      <c r="J353" s="161"/>
      <c r="K353" s="161"/>
      <c r="L353" s="161"/>
      <c r="M353" s="161"/>
    </row>
    <row r="354" spans="1:13" ht="30" customHeight="1" x14ac:dyDescent="0.25">
      <c r="A354" s="384"/>
      <c r="B354" s="356" t="s">
        <v>160</v>
      </c>
      <c r="C354" s="154" t="s">
        <v>40</v>
      </c>
      <c r="D354" s="106">
        <v>30</v>
      </c>
      <c r="E354" s="154">
        <v>42</v>
      </c>
      <c r="F354" s="154">
        <f>588+672</f>
        <v>1260</v>
      </c>
      <c r="G354" s="154">
        <v>2</v>
      </c>
      <c r="H354" s="152">
        <f t="shared" si="15"/>
        <v>1258</v>
      </c>
      <c r="I354" s="161"/>
      <c r="J354" s="161"/>
      <c r="K354" s="161"/>
      <c r="L354" s="161"/>
      <c r="M354" s="161"/>
    </row>
    <row r="355" spans="1:13" x14ac:dyDescent="0.25">
      <c r="A355" s="384"/>
      <c r="B355" s="357"/>
      <c r="C355" s="154" t="s">
        <v>80</v>
      </c>
      <c r="D355" s="106">
        <v>45</v>
      </c>
      <c r="E355" s="154">
        <v>24</v>
      </c>
      <c r="F355" s="154">
        <f>24+816+24</f>
        <v>864</v>
      </c>
      <c r="G355" s="154"/>
      <c r="H355" s="152">
        <f t="shared" si="15"/>
        <v>864</v>
      </c>
      <c r="I355" s="161"/>
      <c r="J355" s="161"/>
      <c r="K355" s="161"/>
      <c r="L355" s="161"/>
      <c r="M355" s="161"/>
    </row>
    <row r="356" spans="1:13" x14ac:dyDescent="0.25">
      <c r="A356" s="384"/>
      <c r="B356" s="320" t="s">
        <v>37</v>
      </c>
      <c r="C356" s="154" t="s">
        <v>71</v>
      </c>
      <c r="D356" s="106">
        <v>10.5</v>
      </c>
      <c r="E356" s="154">
        <v>84</v>
      </c>
      <c r="F356" s="154">
        <f>2826+168</f>
        <v>2994</v>
      </c>
      <c r="G356" s="154">
        <v>2</v>
      </c>
      <c r="H356" s="152">
        <f t="shared" si="15"/>
        <v>2992</v>
      </c>
      <c r="I356" s="161"/>
      <c r="J356" s="161"/>
      <c r="K356" s="161"/>
      <c r="L356" s="161"/>
      <c r="M356" s="161"/>
    </row>
    <row r="357" spans="1:13" ht="15.75" thickBot="1" x14ac:dyDescent="0.3">
      <c r="A357" s="384"/>
      <c r="B357" s="305"/>
      <c r="C357" s="154" t="s">
        <v>55</v>
      </c>
      <c r="D357" s="106">
        <v>14.700000000000001</v>
      </c>
      <c r="E357" s="154">
        <v>40</v>
      </c>
      <c r="F357" s="154">
        <f>620+80</f>
        <v>700</v>
      </c>
      <c r="G357" s="154">
        <v>2</v>
      </c>
      <c r="H357" s="154">
        <f t="shared" si="15"/>
        <v>698</v>
      </c>
      <c r="I357" s="161"/>
      <c r="J357" s="161"/>
      <c r="K357" s="161"/>
      <c r="L357" s="161"/>
      <c r="M357" s="161"/>
    </row>
    <row r="358" spans="1:13" ht="16.5" thickTop="1" thickBot="1" x14ac:dyDescent="0.3">
      <c r="A358" s="235" t="s">
        <v>581</v>
      </c>
      <c r="B358" s="31" t="s">
        <v>159</v>
      </c>
      <c r="C358" s="31" t="s">
        <v>55</v>
      </c>
      <c r="D358" s="110">
        <v>27</v>
      </c>
      <c r="E358" s="31">
        <v>40</v>
      </c>
      <c r="F358" s="31">
        <v>160</v>
      </c>
      <c r="G358" s="31"/>
      <c r="H358" s="31">
        <f t="shared" si="15"/>
        <v>160</v>
      </c>
      <c r="I358" s="161"/>
      <c r="J358" s="161"/>
      <c r="K358" s="161"/>
      <c r="L358" s="161"/>
      <c r="M358" s="161"/>
    </row>
    <row r="359" spans="1:13" ht="16.5" thickTop="1" thickBot="1" x14ac:dyDescent="0.3">
      <c r="A359" s="235" t="s">
        <v>1715</v>
      </c>
      <c r="B359" s="31" t="s">
        <v>159</v>
      </c>
      <c r="C359" s="31" t="s">
        <v>55</v>
      </c>
      <c r="D359" s="110">
        <v>35</v>
      </c>
      <c r="E359" s="31">
        <v>40</v>
      </c>
      <c r="F359" s="31">
        <v>117</v>
      </c>
      <c r="G359" s="31"/>
      <c r="H359" s="31">
        <f t="shared" si="15"/>
        <v>117</v>
      </c>
      <c r="I359" s="161"/>
      <c r="J359" s="161"/>
      <c r="K359" s="161"/>
      <c r="L359" s="161"/>
      <c r="M359" s="161"/>
    </row>
    <row r="360" spans="1:13" ht="15.75" thickTop="1" x14ac:dyDescent="0.25">
      <c r="A360" s="383" t="s">
        <v>139</v>
      </c>
      <c r="B360" s="151" t="s">
        <v>161</v>
      </c>
      <c r="C360" s="151" t="s">
        <v>66</v>
      </c>
      <c r="D360" s="108">
        <v>23</v>
      </c>
      <c r="E360" s="151">
        <v>24</v>
      </c>
      <c r="F360" s="151">
        <v>24</v>
      </c>
      <c r="G360" s="151"/>
      <c r="H360" s="149">
        <f t="shared" si="15"/>
        <v>24</v>
      </c>
      <c r="I360" s="161"/>
      <c r="J360" s="161"/>
      <c r="K360" s="161"/>
      <c r="L360" s="161"/>
      <c r="M360" s="161"/>
    </row>
    <row r="361" spans="1:13" x14ac:dyDescent="0.25">
      <c r="A361" s="384"/>
      <c r="B361" s="320" t="s">
        <v>159</v>
      </c>
      <c r="C361" s="152" t="s">
        <v>55</v>
      </c>
      <c r="D361" s="105">
        <v>20</v>
      </c>
      <c r="E361" s="152">
        <v>40</v>
      </c>
      <c r="F361" s="152">
        <v>225</v>
      </c>
      <c r="G361" s="152"/>
      <c r="H361" s="154">
        <f t="shared" si="15"/>
        <v>225</v>
      </c>
      <c r="I361" s="161"/>
      <c r="J361" s="161"/>
      <c r="K361" s="161"/>
      <c r="L361" s="161"/>
      <c r="M361" s="161"/>
    </row>
    <row r="362" spans="1:13" x14ac:dyDescent="0.25">
      <c r="A362" s="384"/>
      <c r="B362" s="319"/>
      <c r="C362" s="154" t="s">
        <v>54</v>
      </c>
      <c r="D362" s="106">
        <v>23</v>
      </c>
      <c r="E362" s="154">
        <v>28</v>
      </c>
      <c r="F362" s="154">
        <v>112</v>
      </c>
      <c r="G362" s="154"/>
      <c r="H362" s="154">
        <f t="shared" si="15"/>
        <v>112</v>
      </c>
      <c r="I362" s="161"/>
      <c r="J362" s="161"/>
      <c r="K362" s="161"/>
      <c r="L362" s="161"/>
      <c r="M362" s="161"/>
    </row>
    <row r="363" spans="1:13" ht="15.75" thickBot="1" x14ac:dyDescent="0.3">
      <c r="A363" s="385"/>
      <c r="B363" s="126" t="s">
        <v>49</v>
      </c>
      <c r="C363" s="126" t="s">
        <v>72</v>
      </c>
      <c r="D363" s="107">
        <v>11</v>
      </c>
      <c r="E363" s="126">
        <v>72</v>
      </c>
      <c r="F363" s="126">
        <f>2736+72</f>
        <v>2808</v>
      </c>
      <c r="G363" s="126"/>
      <c r="H363" s="154">
        <f t="shared" si="15"/>
        <v>2808</v>
      </c>
      <c r="I363" s="161"/>
      <c r="J363" s="161"/>
      <c r="K363" s="161"/>
      <c r="L363" s="161"/>
      <c r="M363" s="161"/>
    </row>
    <row r="364" spans="1:13" ht="16.5" thickTop="1" thickBot="1" x14ac:dyDescent="0.3">
      <c r="A364" s="43" t="s">
        <v>219</v>
      </c>
      <c r="B364" s="149" t="s">
        <v>159</v>
      </c>
      <c r="C364" s="149" t="s">
        <v>55</v>
      </c>
      <c r="D364" s="124">
        <v>30</v>
      </c>
      <c r="E364" s="149">
        <v>40</v>
      </c>
      <c r="F364" s="149">
        <v>56</v>
      </c>
      <c r="G364" s="149"/>
      <c r="H364" s="31">
        <f t="shared" si="15"/>
        <v>56</v>
      </c>
      <c r="I364" s="161"/>
      <c r="J364" s="161"/>
      <c r="K364" s="161"/>
      <c r="L364" s="161"/>
      <c r="M364" s="161"/>
    </row>
    <row r="365" spans="1:13" ht="15.75" thickTop="1" x14ac:dyDescent="0.25">
      <c r="A365" s="349" t="s">
        <v>78</v>
      </c>
      <c r="B365" s="307" t="s">
        <v>161</v>
      </c>
      <c r="C365" s="121" t="s">
        <v>72</v>
      </c>
      <c r="D365" s="120">
        <v>16.670745</v>
      </c>
      <c r="E365" s="121">
        <v>72</v>
      </c>
      <c r="F365" s="121">
        <v>1728</v>
      </c>
      <c r="G365" s="121"/>
      <c r="H365" s="121">
        <f>F365-G365</f>
        <v>1728</v>
      </c>
      <c r="I365" s="161"/>
      <c r="J365" s="161"/>
      <c r="K365" s="161"/>
      <c r="L365" s="161"/>
      <c r="M365" s="161"/>
    </row>
    <row r="366" spans="1:13" x14ac:dyDescent="0.25">
      <c r="A366" s="386"/>
      <c r="B366" s="308"/>
      <c r="C366" s="152" t="s">
        <v>30</v>
      </c>
      <c r="D366" s="105">
        <v>12.6</v>
      </c>
      <c r="E366" s="152">
        <v>36</v>
      </c>
      <c r="F366" s="152">
        <v>612</v>
      </c>
      <c r="G366" s="152"/>
      <c r="H366" s="152">
        <f>F366-G366</f>
        <v>612</v>
      </c>
      <c r="I366" s="161"/>
      <c r="J366" s="161"/>
      <c r="K366" s="161"/>
      <c r="L366" s="161"/>
      <c r="M366" s="161"/>
    </row>
    <row r="367" spans="1:13" x14ac:dyDescent="0.25">
      <c r="A367" s="350"/>
      <c r="B367" s="357"/>
      <c r="C367" s="114" t="s">
        <v>67</v>
      </c>
      <c r="D367" s="113">
        <v>59</v>
      </c>
      <c r="E367" s="114">
        <v>12</v>
      </c>
      <c r="F367" s="114">
        <v>33</v>
      </c>
      <c r="G367" s="114"/>
      <c r="H367" s="152">
        <f t="shared" ref="H367:H382" si="16">F367-G367</f>
        <v>33</v>
      </c>
      <c r="I367" s="161"/>
      <c r="J367" s="161"/>
      <c r="K367" s="161"/>
      <c r="L367" s="161"/>
      <c r="M367" s="161"/>
    </row>
    <row r="368" spans="1:13" x14ac:dyDescent="0.25">
      <c r="A368" s="350"/>
      <c r="B368" s="356" t="s">
        <v>162</v>
      </c>
      <c r="C368" s="114" t="s">
        <v>74</v>
      </c>
      <c r="D368" s="113">
        <v>20.375354999999999</v>
      </c>
      <c r="E368" s="114">
        <v>63</v>
      </c>
      <c r="F368" s="114">
        <v>1134</v>
      </c>
      <c r="G368" s="114"/>
      <c r="H368" s="152">
        <f t="shared" si="16"/>
        <v>1134</v>
      </c>
      <c r="I368" s="161"/>
      <c r="J368" s="161"/>
      <c r="K368" s="161"/>
      <c r="L368" s="161"/>
      <c r="M368" s="161"/>
    </row>
    <row r="369" spans="1:13" x14ac:dyDescent="0.25">
      <c r="A369" s="350"/>
      <c r="B369" s="357"/>
      <c r="C369" s="152" t="s">
        <v>59</v>
      </c>
      <c r="D369" s="105">
        <v>14.700000000000001</v>
      </c>
      <c r="E369" s="152">
        <v>36</v>
      </c>
      <c r="F369" s="152">
        <v>96</v>
      </c>
      <c r="G369" s="152"/>
      <c r="H369" s="152">
        <f t="shared" si="16"/>
        <v>96</v>
      </c>
      <c r="I369" s="161"/>
      <c r="J369" s="161"/>
      <c r="K369" s="161"/>
      <c r="L369" s="161"/>
      <c r="M369" s="161"/>
    </row>
    <row r="370" spans="1:13" x14ac:dyDescent="0.25">
      <c r="A370" s="350"/>
      <c r="B370" s="314" t="s">
        <v>159</v>
      </c>
      <c r="C370" s="114" t="s">
        <v>50</v>
      </c>
      <c r="D370" s="113">
        <v>16.670745</v>
      </c>
      <c r="E370" s="114">
        <v>45</v>
      </c>
      <c r="F370" s="114">
        <v>890</v>
      </c>
      <c r="G370" s="114"/>
      <c r="H370" s="152">
        <f t="shared" si="16"/>
        <v>890</v>
      </c>
      <c r="I370" s="161"/>
      <c r="J370" s="161"/>
      <c r="K370" s="161"/>
      <c r="L370" s="161"/>
      <c r="M370" s="161"/>
    </row>
    <row r="371" spans="1:13" x14ac:dyDescent="0.25">
      <c r="A371" s="350"/>
      <c r="B371" s="314"/>
      <c r="C371" s="114" t="s">
        <v>55</v>
      </c>
      <c r="D371" s="113">
        <v>20.375354999999999</v>
      </c>
      <c r="E371" s="114">
        <v>40</v>
      </c>
      <c r="F371" s="114">
        <v>680</v>
      </c>
      <c r="G371" s="114"/>
      <c r="H371" s="152">
        <f t="shared" si="16"/>
        <v>680</v>
      </c>
      <c r="I371" s="161"/>
      <c r="J371" s="161"/>
      <c r="K371" s="161"/>
      <c r="L371" s="161"/>
      <c r="M371" s="161"/>
    </row>
    <row r="372" spans="1:13" x14ac:dyDescent="0.25">
      <c r="A372" s="350"/>
      <c r="B372" s="314"/>
      <c r="C372" s="114" t="s">
        <v>54</v>
      </c>
      <c r="D372" s="113">
        <v>23.462530000000001</v>
      </c>
      <c r="E372" s="114">
        <v>28</v>
      </c>
      <c r="F372" s="114">
        <v>420</v>
      </c>
      <c r="G372" s="114"/>
      <c r="H372" s="152">
        <f t="shared" si="16"/>
        <v>420</v>
      </c>
      <c r="I372" s="161"/>
      <c r="J372" s="161"/>
      <c r="K372" s="161"/>
      <c r="L372" s="161"/>
      <c r="M372" s="161"/>
    </row>
    <row r="373" spans="1:13" x14ac:dyDescent="0.25">
      <c r="A373" s="350"/>
      <c r="B373" s="320" t="s">
        <v>68</v>
      </c>
      <c r="C373" s="152" t="s">
        <v>55</v>
      </c>
      <c r="D373" s="105">
        <v>14.700000000000001</v>
      </c>
      <c r="E373" s="152">
        <v>28</v>
      </c>
      <c r="F373" s="152">
        <v>531</v>
      </c>
      <c r="G373" s="152"/>
      <c r="H373" s="152">
        <f t="shared" si="16"/>
        <v>531</v>
      </c>
      <c r="I373" s="161"/>
      <c r="J373" s="161"/>
      <c r="K373" s="161"/>
      <c r="L373" s="161"/>
      <c r="M373" s="161"/>
    </row>
    <row r="374" spans="1:13" x14ac:dyDescent="0.25">
      <c r="A374" s="350"/>
      <c r="B374" s="319"/>
      <c r="C374" s="152" t="s">
        <v>53</v>
      </c>
      <c r="D374" s="105">
        <v>47</v>
      </c>
      <c r="E374" s="152">
        <v>18</v>
      </c>
      <c r="F374" s="152">
        <v>324</v>
      </c>
      <c r="G374" s="152"/>
      <c r="H374" s="152">
        <f t="shared" si="16"/>
        <v>324</v>
      </c>
      <c r="I374" s="161"/>
      <c r="J374" s="161"/>
      <c r="K374" s="161"/>
      <c r="L374" s="161"/>
      <c r="M374" s="161"/>
    </row>
    <row r="375" spans="1:13" x14ac:dyDescent="0.25">
      <c r="A375" s="350"/>
      <c r="B375" s="314" t="s">
        <v>163</v>
      </c>
      <c r="C375" s="114" t="s">
        <v>51</v>
      </c>
      <c r="D375" s="113">
        <v>18.523050000000001</v>
      </c>
      <c r="E375" s="114">
        <v>48</v>
      </c>
      <c r="F375" s="114">
        <v>336</v>
      </c>
      <c r="G375" s="114"/>
      <c r="H375" s="152">
        <f t="shared" si="16"/>
        <v>336</v>
      </c>
      <c r="I375" s="161"/>
      <c r="J375" s="161"/>
      <c r="K375" s="161"/>
      <c r="L375" s="161"/>
      <c r="M375" s="161"/>
    </row>
    <row r="376" spans="1:13" x14ac:dyDescent="0.25">
      <c r="A376" s="350"/>
      <c r="B376" s="314"/>
      <c r="C376" s="114" t="s">
        <v>30</v>
      </c>
      <c r="D376" s="113">
        <v>28</v>
      </c>
      <c r="E376" s="114">
        <v>28</v>
      </c>
      <c r="F376" s="114">
        <v>109</v>
      </c>
      <c r="G376" s="114"/>
      <c r="H376" s="152">
        <f t="shared" si="16"/>
        <v>109</v>
      </c>
      <c r="I376" s="161"/>
      <c r="J376" s="161"/>
      <c r="K376" s="161"/>
      <c r="L376" s="161"/>
      <c r="M376" s="161"/>
    </row>
    <row r="377" spans="1:13" x14ac:dyDescent="0.25">
      <c r="A377" s="350"/>
      <c r="B377" s="314"/>
      <c r="C377" s="114" t="s">
        <v>29</v>
      </c>
      <c r="D377" s="113">
        <v>46.925060000000002</v>
      </c>
      <c r="E377" s="114">
        <v>24</v>
      </c>
      <c r="F377" s="114">
        <v>144</v>
      </c>
      <c r="G377" s="114"/>
      <c r="H377" s="152">
        <f t="shared" si="16"/>
        <v>144</v>
      </c>
      <c r="I377" s="161"/>
      <c r="J377" s="161"/>
      <c r="K377" s="161"/>
      <c r="L377" s="161"/>
      <c r="M377" s="161"/>
    </row>
    <row r="378" spans="1:13" x14ac:dyDescent="0.25">
      <c r="A378" s="350"/>
      <c r="B378" s="356" t="s">
        <v>164</v>
      </c>
      <c r="C378" s="154" t="s">
        <v>72</v>
      </c>
      <c r="D378" s="106">
        <v>10.5</v>
      </c>
      <c r="E378" s="154">
        <v>72</v>
      </c>
      <c r="F378" s="154">
        <v>1296</v>
      </c>
      <c r="G378" s="154"/>
      <c r="H378" s="152">
        <f t="shared" si="16"/>
        <v>1296</v>
      </c>
      <c r="I378" s="161"/>
      <c r="J378" s="161"/>
      <c r="K378" s="161"/>
      <c r="L378" s="161"/>
      <c r="M378" s="161"/>
    </row>
    <row r="379" spans="1:13" x14ac:dyDescent="0.25">
      <c r="A379" s="350"/>
      <c r="B379" s="308"/>
      <c r="C379" s="114" t="s">
        <v>73</v>
      </c>
      <c r="D379" s="113">
        <v>20.375354999999999</v>
      </c>
      <c r="E379" s="114">
        <v>48</v>
      </c>
      <c r="F379" s="114">
        <v>816</v>
      </c>
      <c r="G379" s="114"/>
      <c r="H379" s="152">
        <f t="shared" si="16"/>
        <v>816</v>
      </c>
      <c r="I379" s="161"/>
      <c r="J379" s="161"/>
      <c r="K379" s="161"/>
      <c r="L379" s="161"/>
      <c r="M379" s="161"/>
    </row>
    <row r="380" spans="1:13" ht="30" x14ac:dyDescent="0.25">
      <c r="A380" s="350"/>
      <c r="B380" s="118" t="s">
        <v>160</v>
      </c>
      <c r="C380" s="114" t="s">
        <v>40</v>
      </c>
      <c r="D380" s="113">
        <v>26.685749999999999</v>
      </c>
      <c r="E380" s="114">
        <v>42</v>
      </c>
      <c r="F380" s="114">
        <v>168</v>
      </c>
      <c r="G380" s="114"/>
      <c r="H380" s="152">
        <f t="shared" si="16"/>
        <v>168</v>
      </c>
      <c r="I380" s="161"/>
      <c r="J380" s="161"/>
      <c r="K380" s="161"/>
      <c r="L380" s="161"/>
      <c r="M380" s="161"/>
    </row>
    <row r="381" spans="1:13" x14ac:dyDescent="0.25">
      <c r="A381" s="350"/>
      <c r="B381" s="314" t="s">
        <v>165</v>
      </c>
      <c r="C381" s="114" t="s">
        <v>71</v>
      </c>
      <c r="D381" s="113">
        <v>16.670745</v>
      </c>
      <c r="E381" s="114">
        <v>84</v>
      </c>
      <c r="F381" s="114">
        <v>2010</v>
      </c>
      <c r="G381" s="114"/>
      <c r="H381" s="152">
        <f t="shared" si="16"/>
        <v>2010</v>
      </c>
      <c r="I381" s="161"/>
      <c r="J381" s="161"/>
      <c r="K381" s="161"/>
      <c r="L381" s="161"/>
      <c r="M381" s="161"/>
    </row>
    <row r="382" spans="1:13" x14ac:dyDescent="0.25">
      <c r="A382" s="350"/>
      <c r="B382" s="314"/>
      <c r="C382" s="114" t="s">
        <v>50</v>
      </c>
      <c r="D382" s="113">
        <v>20.375354999999999</v>
      </c>
      <c r="E382" s="114">
        <v>45</v>
      </c>
      <c r="F382" s="114">
        <v>855</v>
      </c>
      <c r="G382" s="114"/>
      <c r="H382" s="152">
        <f t="shared" si="16"/>
        <v>855</v>
      </c>
      <c r="I382" s="161"/>
      <c r="J382" s="161"/>
      <c r="K382" s="161"/>
      <c r="L382" s="161"/>
      <c r="M382" s="161"/>
    </row>
    <row r="383" spans="1:13" ht="15.75" thickBot="1" x14ac:dyDescent="0.3">
      <c r="A383" s="351"/>
      <c r="B383" s="315"/>
      <c r="C383" s="116" t="s">
        <v>55</v>
      </c>
      <c r="D383" s="115">
        <v>23.462530000000001</v>
      </c>
      <c r="E383" s="116">
        <v>40</v>
      </c>
      <c r="F383" s="116">
        <v>440</v>
      </c>
      <c r="G383" s="116"/>
      <c r="H383" s="154">
        <f>F383-G383</f>
        <v>440</v>
      </c>
      <c r="I383" s="161"/>
      <c r="J383" s="161"/>
      <c r="K383" s="161"/>
      <c r="L383" s="161"/>
      <c r="M383" s="161"/>
    </row>
    <row r="384" spans="1:13" ht="16.5" thickTop="1" thickBot="1" x14ac:dyDescent="0.3">
      <c r="A384" s="238" t="s">
        <v>218</v>
      </c>
      <c r="B384" s="125" t="s">
        <v>159</v>
      </c>
      <c r="C384" s="125" t="s">
        <v>55</v>
      </c>
      <c r="D384" s="128">
        <v>30</v>
      </c>
      <c r="E384" s="125">
        <v>40</v>
      </c>
      <c r="F384" s="125">
        <v>103</v>
      </c>
      <c r="G384" s="125"/>
      <c r="H384" s="31">
        <f t="shared" ref="H384" si="17">F384-G384</f>
        <v>103</v>
      </c>
      <c r="I384" s="161"/>
      <c r="J384" s="161"/>
      <c r="K384" s="161"/>
      <c r="L384" s="161"/>
      <c r="M384" s="161"/>
    </row>
    <row r="385" spans="1:13" ht="15.75" thickTop="1" x14ac:dyDescent="0.25">
      <c r="A385" s="359" t="s">
        <v>137</v>
      </c>
      <c r="B385" s="313" t="s">
        <v>161</v>
      </c>
      <c r="C385" s="112" t="s">
        <v>72</v>
      </c>
      <c r="D385" s="111">
        <v>16.670745</v>
      </c>
      <c r="E385" s="112">
        <v>72</v>
      </c>
      <c r="F385" s="112">
        <f>1152+576</f>
        <v>1728</v>
      </c>
      <c r="G385" s="112"/>
      <c r="H385" s="112">
        <f>F385-G385</f>
        <v>1728</v>
      </c>
      <c r="I385" s="161"/>
      <c r="J385" s="161"/>
      <c r="K385" s="161"/>
      <c r="L385" s="161"/>
      <c r="M385" s="161"/>
    </row>
    <row r="386" spans="1:13" x14ac:dyDescent="0.25">
      <c r="A386" s="360"/>
      <c r="B386" s="314"/>
      <c r="C386" s="114" t="s">
        <v>66</v>
      </c>
      <c r="D386" s="113">
        <v>23.462530000000001</v>
      </c>
      <c r="E386" s="114">
        <v>24</v>
      </c>
      <c r="F386" s="114">
        <f>96+24</f>
        <v>120</v>
      </c>
      <c r="G386" s="114"/>
      <c r="H386" s="114">
        <f>F386-G386</f>
        <v>120</v>
      </c>
      <c r="I386" s="161"/>
      <c r="J386" s="161"/>
      <c r="K386" s="161"/>
      <c r="L386" s="161"/>
      <c r="M386" s="161"/>
    </row>
    <row r="387" spans="1:13" x14ac:dyDescent="0.25">
      <c r="A387" s="360"/>
      <c r="B387" s="114" t="s">
        <v>162</v>
      </c>
      <c r="C387" s="114" t="s">
        <v>74</v>
      </c>
      <c r="D387" s="113">
        <v>20.375354999999999</v>
      </c>
      <c r="E387" s="114">
        <v>63</v>
      </c>
      <c r="F387" s="114">
        <f>1323</f>
        <v>1323</v>
      </c>
      <c r="G387" s="114"/>
      <c r="H387" s="114">
        <f t="shared" ref="H387:H403" si="18">F387-G387</f>
        <v>1323</v>
      </c>
      <c r="I387" s="161"/>
      <c r="J387" s="161"/>
      <c r="K387" s="161"/>
      <c r="L387" s="161"/>
      <c r="M387" s="161"/>
    </row>
    <row r="388" spans="1:13" x14ac:dyDescent="0.25">
      <c r="A388" s="360"/>
      <c r="B388" s="314" t="s">
        <v>159</v>
      </c>
      <c r="C388" s="114" t="s">
        <v>50</v>
      </c>
      <c r="D388" s="113">
        <v>16.670745</v>
      </c>
      <c r="E388" s="114">
        <v>45</v>
      </c>
      <c r="F388" s="114">
        <f>315+225</f>
        <v>540</v>
      </c>
      <c r="G388" s="114">
        <v>45</v>
      </c>
      <c r="H388" s="114">
        <f t="shared" si="18"/>
        <v>495</v>
      </c>
      <c r="I388" s="161"/>
      <c r="J388" s="161"/>
      <c r="K388" s="161"/>
      <c r="L388" s="161"/>
      <c r="M388" s="161"/>
    </row>
    <row r="389" spans="1:13" x14ac:dyDescent="0.25">
      <c r="A389" s="360"/>
      <c r="B389" s="314"/>
      <c r="C389" s="114" t="s">
        <v>55</v>
      </c>
      <c r="D389" s="113">
        <v>27</v>
      </c>
      <c r="E389" s="114">
        <v>40</v>
      </c>
      <c r="F389" s="114">
        <f>240+160+30+94+200</f>
        <v>724</v>
      </c>
      <c r="G389" s="114">
        <v>40</v>
      </c>
      <c r="H389" s="114">
        <f t="shared" si="18"/>
        <v>684</v>
      </c>
      <c r="I389" s="161"/>
      <c r="J389" s="161"/>
      <c r="K389" s="161"/>
      <c r="L389" s="161"/>
      <c r="M389" s="161"/>
    </row>
    <row r="390" spans="1:13" x14ac:dyDescent="0.25">
      <c r="A390" s="360"/>
      <c r="B390" s="314"/>
      <c r="C390" s="114" t="s">
        <v>54</v>
      </c>
      <c r="D390" s="113">
        <v>23.462530000000001</v>
      </c>
      <c r="E390" s="114">
        <v>28</v>
      </c>
      <c r="F390" s="114">
        <f>112+504</f>
        <v>616</v>
      </c>
      <c r="G390" s="114">
        <v>28</v>
      </c>
      <c r="H390" s="114">
        <f t="shared" si="18"/>
        <v>588</v>
      </c>
      <c r="I390" s="161"/>
      <c r="J390" s="161"/>
      <c r="K390" s="161"/>
      <c r="L390" s="161"/>
      <c r="M390" s="161"/>
    </row>
    <row r="391" spans="1:13" x14ac:dyDescent="0.25">
      <c r="A391" s="360"/>
      <c r="B391" s="320" t="s">
        <v>68</v>
      </c>
      <c r="C391" s="152" t="s">
        <v>55</v>
      </c>
      <c r="D391" s="105">
        <v>15</v>
      </c>
      <c r="E391" s="152">
        <v>28</v>
      </c>
      <c r="F391" s="152">
        <f>504+28+28</f>
        <v>560</v>
      </c>
      <c r="G391" s="152"/>
      <c r="H391" s="114">
        <f t="shared" si="18"/>
        <v>560</v>
      </c>
      <c r="I391" s="161"/>
      <c r="J391" s="161"/>
      <c r="K391" s="161"/>
      <c r="L391" s="161"/>
      <c r="M391" s="161"/>
    </row>
    <row r="392" spans="1:13" x14ac:dyDescent="0.25">
      <c r="A392" s="360"/>
      <c r="B392" s="319"/>
      <c r="C392" s="152" t="s">
        <v>53</v>
      </c>
      <c r="D392" s="105">
        <v>25</v>
      </c>
      <c r="E392" s="152">
        <v>18</v>
      </c>
      <c r="F392" s="152">
        <v>36</v>
      </c>
      <c r="G392" s="152"/>
      <c r="H392" s="114">
        <f t="shared" si="18"/>
        <v>36</v>
      </c>
      <c r="I392" s="161"/>
      <c r="J392" s="161"/>
      <c r="K392" s="161"/>
      <c r="L392" s="161"/>
      <c r="M392" s="161"/>
    </row>
    <row r="393" spans="1:13" x14ac:dyDescent="0.25">
      <c r="A393" s="360"/>
      <c r="B393" s="356" t="s">
        <v>163</v>
      </c>
      <c r="C393" s="152" t="s">
        <v>51</v>
      </c>
      <c r="D393" s="105">
        <v>19</v>
      </c>
      <c r="E393" s="152">
        <v>48</v>
      </c>
      <c r="F393" s="152">
        <f>618+48+48</f>
        <v>714</v>
      </c>
      <c r="G393" s="152"/>
      <c r="H393" s="114">
        <f t="shared" si="18"/>
        <v>714</v>
      </c>
      <c r="I393" s="161"/>
      <c r="J393" s="161"/>
      <c r="K393" s="161"/>
      <c r="L393" s="161"/>
      <c r="M393" s="161"/>
    </row>
    <row r="394" spans="1:13" x14ac:dyDescent="0.25">
      <c r="A394" s="360"/>
      <c r="B394" s="357"/>
      <c r="C394" s="114" t="s">
        <v>30</v>
      </c>
      <c r="D394" s="113">
        <v>23.462530000000001</v>
      </c>
      <c r="E394" s="114">
        <v>28</v>
      </c>
      <c r="F394" s="114">
        <v>196</v>
      </c>
      <c r="G394" s="114"/>
      <c r="H394" s="114">
        <f t="shared" si="18"/>
        <v>196</v>
      </c>
      <c r="I394" s="161"/>
      <c r="J394" s="161"/>
      <c r="K394" s="161"/>
      <c r="L394" s="161"/>
      <c r="M394" s="161"/>
    </row>
    <row r="395" spans="1:13" x14ac:dyDescent="0.25">
      <c r="A395" s="360"/>
      <c r="B395" s="314" t="s">
        <v>164</v>
      </c>
      <c r="C395" s="114" t="s">
        <v>72</v>
      </c>
      <c r="D395" s="113">
        <v>16.670745</v>
      </c>
      <c r="E395" s="114">
        <v>72</v>
      </c>
      <c r="F395" s="114">
        <f>1296+1296</f>
        <v>2592</v>
      </c>
      <c r="G395" s="114"/>
      <c r="H395" s="114">
        <f t="shared" si="18"/>
        <v>2592</v>
      </c>
      <c r="I395" s="161"/>
      <c r="J395" s="161"/>
      <c r="K395" s="161"/>
      <c r="L395" s="161"/>
      <c r="M395" s="161"/>
    </row>
    <row r="396" spans="1:13" x14ac:dyDescent="0.25">
      <c r="A396" s="360"/>
      <c r="B396" s="314"/>
      <c r="C396" s="114" t="s">
        <v>73</v>
      </c>
      <c r="D396" s="113">
        <v>20.375354999999999</v>
      </c>
      <c r="E396" s="114">
        <v>48</v>
      </c>
      <c r="F396" s="114">
        <f>672+210+336</f>
        <v>1218</v>
      </c>
      <c r="G396" s="114"/>
      <c r="H396" s="114">
        <f t="shared" si="18"/>
        <v>1218</v>
      </c>
      <c r="I396" s="161"/>
      <c r="J396" s="161"/>
      <c r="K396" s="161"/>
      <c r="L396" s="161"/>
      <c r="M396" s="161"/>
    </row>
    <row r="397" spans="1:13" x14ac:dyDescent="0.25">
      <c r="A397" s="360"/>
      <c r="B397" s="320" t="s">
        <v>44</v>
      </c>
      <c r="C397" s="152" t="s">
        <v>40</v>
      </c>
      <c r="D397" s="105">
        <v>17</v>
      </c>
      <c r="E397" s="152">
        <v>42</v>
      </c>
      <c r="F397" s="152">
        <f>1596+42+42</f>
        <v>1680</v>
      </c>
      <c r="G397" s="152"/>
      <c r="H397" s="114">
        <f t="shared" si="18"/>
        <v>1680</v>
      </c>
      <c r="I397" s="161"/>
      <c r="J397" s="161"/>
      <c r="K397" s="161"/>
      <c r="L397" s="161"/>
      <c r="M397" s="161"/>
    </row>
    <row r="398" spans="1:13" x14ac:dyDescent="0.25">
      <c r="A398" s="360"/>
      <c r="B398" s="319"/>
      <c r="C398" s="153" t="s">
        <v>80</v>
      </c>
      <c r="D398" s="109">
        <v>23</v>
      </c>
      <c r="E398" s="153">
        <v>24</v>
      </c>
      <c r="F398" s="153"/>
      <c r="G398" s="153"/>
      <c r="H398" s="114">
        <f t="shared" si="18"/>
        <v>0</v>
      </c>
      <c r="I398" s="161"/>
      <c r="J398" s="161"/>
      <c r="K398" s="161"/>
      <c r="L398" s="161"/>
      <c r="M398" s="161"/>
    </row>
    <row r="399" spans="1:13" x14ac:dyDescent="0.25">
      <c r="A399" s="360"/>
      <c r="B399" s="357" t="s">
        <v>165</v>
      </c>
      <c r="C399" s="123" t="s">
        <v>71</v>
      </c>
      <c r="D399" s="122">
        <v>16.670745</v>
      </c>
      <c r="E399" s="123">
        <v>84</v>
      </c>
      <c r="F399" s="123">
        <f>1344+672</f>
        <v>2016</v>
      </c>
      <c r="G399" s="123"/>
      <c r="H399" s="114">
        <f t="shared" si="18"/>
        <v>2016</v>
      </c>
      <c r="I399" s="161"/>
      <c r="J399" s="161"/>
      <c r="K399" s="161"/>
      <c r="L399" s="161"/>
      <c r="M399" s="161"/>
    </row>
    <row r="400" spans="1:13" x14ac:dyDescent="0.25">
      <c r="A400" s="360"/>
      <c r="B400" s="314"/>
      <c r="C400" s="114" t="s">
        <v>50</v>
      </c>
      <c r="D400" s="113">
        <v>20.375354999999999</v>
      </c>
      <c r="E400" s="114">
        <v>45</v>
      </c>
      <c r="F400" s="114">
        <v>945</v>
      </c>
      <c r="G400" s="114"/>
      <c r="H400" s="114">
        <f t="shared" si="18"/>
        <v>945</v>
      </c>
      <c r="I400" s="161"/>
      <c r="J400" s="161"/>
      <c r="K400" s="161"/>
      <c r="L400" s="161"/>
      <c r="M400" s="161"/>
    </row>
    <row r="401" spans="1:13" x14ac:dyDescent="0.25">
      <c r="A401" s="360"/>
      <c r="B401" s="356"/>
      <c r="C401" s="118" t="s">
        <v>55</v>
      </c>
      <c r="D401" s="117">
        <v>23.462530000000001</v>
      </c>
      <c r="E401" s="118">
        <v>40</v>
      </c>
      <c r="F401" s="118">
        <f>720+40</f>
        <v>760</v>
      </c>
      <c r="G401" s="118"/>
      <c r="H401" s="118">
        <f t="shared" si="18"/>
        <v>760</v>
      </c>
      <c r="I401" s="161"/>
      <c r="J401" s="161"/>
      <c r="K401" s="161"/>
      <c r="L401" s="161"/>
      <c r="M401" s="161"/>
    </row>
    <row r="402" spans="1:13" ht="15.75" thickBot="1" x14ac:dyDescent="0.3">
      <c r="A402" s="360"/>
      <c r="B402" s="118" t="s">
        <v>158</v>
      </c>
      <c r="C402" s="118" t="s">
        <v>27</v>
      </c>
      <c r="D402" s="117">
        <v>46.925060000000002</v>
      </c>
      <c r="E402" s="118">
        <v>24</v>
      </c>
      <c r="F402" s="116">
        <f>408+24+24</f>
        <v>456</v>
      </c>
      <c r="G402" s="116"/>
      <c r="H402" s="116">
        <f>F402-G402</f>
        <v>456</v>
      </c>
      <c r="I402" s="161"/>
      <c r="J402" s="161"/>
      <c r="K402" s="161"/>
      <c r="L402" s="161"/>
      <c r="M402" s="161"/>
    </row>
    <row r="403" spans="1:13" ht="16.5" thickTop="1" thickBot="1" x14ac:dyDescent="0.3">
      <c r="A403" s="237" t="s">
        <v>566</v>
      </c>
      <c r="B403" s="36" t="s">
        <v>159</v>
      </c>
      <c r="C403" s="36" t="s">
        <v>55</v>
      </c>
      <c r="D403" s="130">
        <v>30</v>
      </c>
      <c r="E403" s="36">
        <v>40</v>
      </c>
      <c r="F403" s="125">
        <v>120</v>
      </c>
      <c r="G403" s="125"/>
      <c r="H403" s="132">
        <f t="shared" si="18"/>
        <v>120</v>
      </c>
      <c r="I403" s="161"/>
      <c r="J403" s="161"/>
      <c r="K403" s="161"/>
      <c r="L403" s="161"/>
      <c r="M403" s="161"/>
    </row>
    <row r="404" spans="1:13" ht="15.75" thickTop="1" x14ac:dyDescent="0.25">
      <c r="A404" s="349" t="s">
        <v>103</v>
      </c>
      <c r="B404" s="313" t="s">
        <v>161</v>
      </c>
      <c r="C404" s="112" t="s">
        <v>72</v>
      </c>
      <c r="D404" s="111">
        <v>16.670745</v>
      </c>
      <c r="E404" s="112">
        <v>72</v>
      </c>
      <c r="F404" s="112">
        <v>1152</v>
      </c>
      <c r="G404" s="112"/>
      <c r="H404" s="112">
        <f>F404-G404</f>
        <v>1152</v>
      </c>
      <c r="I404" s="161"/>
      <c r="J404" s="161"/>
      <c r="K404" s="161"/>
      <c r="L404" s="161"/>
      <c r="M404" s="161"/>
    </row>
    <row r="405" spans="1:13" x14ac:dyDescent="0.25">
      <c r="A405" s="350"/>
      <c r="B405" s="314"/>
      <c r="C405" s="114" t="s">
        <v>30</v>
      </c>
      <c r="D405" s="113">
        <v>20.375354999999999</v>
      </c>
      <c r="E405" s="114">
        <v>36</v>
      </c>
      <c r="F405" s="114">
        <v>1836</v>
      </c>
      <c r="G405" s="114"/>
      <c r="H405" s="114">
        <f>F405-G405</f>
        <v>1836</v>
      </c>
      <c r="I405" s="161"/>
      <c r="J405" s="161"/>
      <c r="K405" s="161"/>
      <c r="L405" s="161"/>
      <c r="M405" s="161"/>
    </row>
    <row r="406" spans="1:13" x14ac:dyDescent="0.25">
      <c r="A406" s="350"/>
      <c r="B406" s="314"/>
      <c r="C406" s="114" t="s">
        <v>66</v>
      </c>
      <c r="D406" s="113">
        <v>23.462530000000001</v>
      </c>
      <c r="E406" s="114">
        <v>24</v>
      </c>
      <c r="F406" s="114">
        <v>2928</v>
      </c>
      <c r="G406" s="114">
        <v>45</v>
      </c>
      <c r="H406" s="114">
        <f t="shared" ref="H406:H438" si="19">F406-G406</f>
        <v>2883</v>
      </c>
      <c r="I406" s="161"/>
      <c r="J406" s="161"/>
      <c r="K406" s="161"/>
      <c r="L406" s="161"/>
      <c r="M406" s="161"/>
    </row>
    <row r="407" spans="1:13" x14ac:dyDescent="0.25">
      <c r="A407" s="350"/>
      <c r="B407" s="314"/>
      <c r="C407" s="114" t="s">
        <v>67</v>
      </c>
      <c r="D407" s="113">
        <v>58.656325000000002</v>
      </c>
      <c r="E407" s="114">
        <v>12</v>
      </c>
      <c r="F407" s="114">
        <v>60</v>
      </c>
      <c r="G407" s="114">
        <v>12</v>
      </c>
      <c r="H407" s="114">
        <f t="shared" si="19"/>
        <v>48</v>
      </c>
      <c r="I407" s="161"/>
      <c r="J407" s="161"/>
      <c r="K407" s="161"/>
      <c r="L407" s="161"/>
      <c r="M407" s="161"/>
    </row>
    <row r="408" spans="1:13" x14ac:dyDescent="0.25">
      <c r="A408" s="350"/>
      <c r="B408" s="314" t="s">
        <v>162</v>
      </c>
      <c r="C408" s="114" t="s">
        <v>74</v>
      </c>
      <c r="D408" s="113">
        <v>20.375354999999999</v>
      </c>
      <c r="E408" s="114">
        <v>63</v>
      </c>
      <c r="F408" s="114">
        <v>1512</v>
      </c>
      <c r="G408" s="114"/>
      <c r="H408" s="114">
        <f t="shared" si="19"/>
        <v>1512</v>
      </c>
      <c r="I408" s="161"/>
      <c r="J408" s="161"/>
      <c r="K408" s="161"/>
      <c r="L408" s="161"/>
      <c r="M408" s="161"/>
    </row>
    <row r="409" spans="1:13" x14ac:dyDescent="0.25">
      <c r="A409" s="350"/>
      <c r="B409" s="314"/>
      <c r="C409" s="114" t="s">
        <v>59</v>
      </c>
      <c r="D409" s="113">
        <v>30</v>
      </c>
      <c r="E409" s="114">
        <v>36</v>
      </c>
      <c r="F409" s="114">
        <v>1476</v>
      </c>
      <c r="G409" s="114"/>
      <c r="H409" s="114">
        <f t="shared" si="19"/>
        <v>1476</v>
      </c>
      <c r="I409" s="161"/>
      <c r="J409" s="161"/>
      <c r="K409" s="161"/>
      <c r="L409" s="161"/>
      <c r="M409" s="161"/>
    </row>
    <row r="410" spans="1:13" x14ac:dyDescent="0.25">
      <c r="A410" s="350"/>
      <c r="B410" s="314"/>
      <c r="C410" s="114" t="s">
        <v>69</v>
      </c>
      <c r="D410" s="113">
        <v>46.925060000000002</v>
      </c>
      <c r="E410" s="114">
        <v>24</v>
      </c>
      <c r="F410" s="114">
        <v>696</v>
      </c>
      <c r="G410" s="114"/>
      <c r="H410" s="114">
        <f t="shared" si="19"/>
        <v>696</v>
      </c>
      <c r="I410" s="161"/>
      <c r="J410" s="161"/>
      <c r="K410" s="161"/>
      <c r="L410" s="161"/>
      <c r="M410" s="161"/>
    </row>
    <row r="411" spans="1:13" x14ac:dyDescent="0.25">
      <c r="A411" s="350"/>
      <c r="B411" s="314" t="s">
        <v>159</v>
      </c>
      <c r="C411" s="114" t="s">
        <v>50</v>
      </c>
      <c r="D411" s="113">
        <v>16.670745</v>
      </c>
      <c r="E411" s="114">
        <v>45</v>
      </c>
      <c r="F411" s="114">
        <v>1304</v>
      </c>
      <c r="G411" s="114"/>
      <c r="H411" s="114">
        <f t="shared" si="19"/>
        <v>1304</v>
      </c>
      <c r="I411" s="161"/>
      <c r="J411" s="161"/>
      <c r="K411" s="161"/>
      <c r="L411" s="161"/>
      <c r="M411" s="161"/>
    </row>
    <row r="412" spans="1:13" x14ac:dyDescent="0.25">
      <c r="A412" s="350"/>
      <c r="B412" s="314"/>
      <c r="C412" s="114" t="s">
        <v>55</v>
      </c>
      <c r="D412" s="113">
        <v>20.375354999999999</v>
      </c>
      <c r="E412" s="114">
        <v>40</v>
      </c>
      <c r="F412" s="114">
        <v>1696</v>
      </c>
      <c r="G412" s="114"/>
      <c r="H412" s="114">
        <f t="shared" si="19"/>
        <v>1696</v>
      </c>
      <c r="I412" s="161"/>
      <c r="J412" s="161"/>
      <c r="K412" s="161"/>
      <c r="L412" s="161"/>
      <c r="M412" s="161"/>
    </row>
    <row r="413" spans="1:13" x14ac:dyDescent="0.25">
      <c r="A413" s="350"/>
      <c r="B413" s="314"/>
      <c r="C413" s="114" t="s">
        <v>54</v>
      </c>
      <c r="D413" s="113">
        <v>23.462530000000001</v>
      </c>
      <c r="E413" s="114">
        <v>28</v>
      </c>
      <c r="F413" s="114">
        <v>1260</v>
      </c>
      <c r="G413" s="114">
        <v>28</v>
      </c>
      <c r="H413" s="114">
        <f t="shared" si="19"/>
        <v>1232</v>
      </c>
      <c r="I413" s="161"/>
      <c r="J413" s="161"/>
      <c r="K413" s="161"/>
      <c r="L413" s="161"/>
      <c r="M413" s="161"/>
    </row>
    <row r="414" spans="1:13" x14ac:dyDescent="0.25">
      <c r="A414" s="350"/>
      <c r="B414" s="314"/>
      <c r="C414" s="114" t="s">
        <v>53</v>
      </c>
      <c r="D414" s="113">
        <v>26</v>
      </c>
      <c r="E414" s="114">
        <v>28</v>
      </c>
      <c r="F414" s="114">
        <v>1056</v>
      </c>
      <c r="G414" s="114"/>
      <c r="H414" s="114">
        <f t="shared" si="19"/>
        <v>1056</v>
      </c>
      <c r="I414" s="161"/>
      <c r="J414" s="161"/>
      <c r="K414" s="161"/>
      <c r="L414" s="161"/>
      <c r="M414" s="161"/>
    </row>
    <row r="415" spans="1:13" x14ac:dyDescent="0.25">
      <c r="A415" s="350"/>
      <c r="B415" s="314"/>
      <c r="C415" s="114" t="s">
        <v>57</v>
      </c>
      <c r="D415" s="113">
        <v>58.656325000000002</v>
      </c>
      <c r="E415" s="114">
        <v>18</v>
      </c>
      <c r="F415" s="114">
        <v>180</v>
      </c>
      <c r="G415" s="114"/>
      <c r="H415" s="114">
        <f t="shared" si="19"/>
        <v>180</v>
      </c>
      <c r="I415" s="161"/>
      <c r="J415" s="161"/>
      <c r="K415" s="161"/>
      <c r="L415" s="161"/>
      <c r="M415" s="161"/>
    </row>
    <row r="416" spans="1:13" x14ac:dyDescent="0.25">
      <c r="A416" s="350"/>
      <c r="B416" s="356" t="s">
        <v>163</v>
      </c>
      <c r="C416" s="114" t="s">
        <v>51</v>
      </c>
      <c r="D416" s="113">
        <v>18.523050000000001</v>
      </c>
      <c r="E416" s="114">
        <v>48</v>
      </c>
      <c r="F416" s="114">
        <v>648</v>
      </c>
      <c r="G416" s="114"/>
      <c r="H416" s="114">
        <f t="shared" si="19"/>
        <v>648</v>
      </c>
      <c r="I416" s="161"/>
      <c r="J416" s="161"/>
      <c r="K416" s="161"/>
      <c r="L416" s="161"/>
      <c r="M416" s="161"/>
    </row>
    <row r="417" spans="1:14" x14ac:dyDescent="0.25">
      <c r="A417" s="350"/>
      <c r="B417" s="308"/>
      <c r="C417" s="114" t="s">
        <v>30</v>
      </c>
      <c r="D417" s="113">
        <v>23.462530000000001</v>
      </c>
      <c r="E417" s="114">
        <v>28</v>
      </c>
      <c r="F417" s="114">
        <v>1232</v>
      </c>
      <c r="G417" s="114"/>
      <c r="H417" s="114">
        <f t="shared" si="19"/>
        <v>1232</v>
      </c>
      <c r="I417" s="161"/>
      <c r="J417" s="161"/>
      <c r="K417" s="161"/>
      <c r="L417" s="161"/>
      <c r="M417" s="161"/>
    </row>
    <row r="418" spans="1:14" x14ac:dyDescent="0.25">
      <c r="A418" s="350"/>
      <c r="B418" s="357"/>
      <c r="C418" s="114" t="s">
        <v>121</v>
      </c>
      <c r="D418" s="113">
        <v>59</v>
      </c>
      <c r="E418" s="114">
        <v>15</v>
      </c>
      <c r="F418" s="114">
        <v>45</v>
      </c>
      <c r="G418" s="114"/>
      <c r="H418" s="114">
        <f t="shared" si="19"/>
        <v>45</v>
      </c>
      <c r="I418" s="161"/>
      <c r="J418" s="161"/>
      <c r="K418" s="161"/>
      <c r="L418" s="161"/>
      <c r="M418" s="161"/>
    </row>
    <row r="419" spans="1:14" x14ac:dyDescent="0.25">
      <c r="A419" s="350"/>
      <c r="B419" s="314" t="s">
        <v>164</v>
      </c>
      <c r="C419" s="114" t="s">
        <v>72</v>
      </c>
      <c r="D419" s="113">
        <v>16.670745</v>
      </c>
      <c r="E419" s="114">
        <v>72</v>
      </c>
      <c r="F419" s="114">
        <v>3240</v>
      </c>
      <c r="G419" s="114"/>
      <c r="H419" s="114">
        <f t="shared" si="19"/>
        <v>3240</v>
      </c>
      <c r="I419" s="161"/>
      <c r="J419" s="161"/>
      <c r="K419" s="161"/>
      <c r="L419" s="161"/>
      <c r="M419" s="161"/>
    </row>
    <row r="420" spans="1:14" x14ac:dyDescent="0.25">
      <c r="A420" s="350"/>
      <c r="B420" s="314"/>
      <c r="C420" s="114" t="s">
        <v>73</v>
      </c>
      <c r="D420" s="113">
        <v>20.375354999999999</v>
      </c>
      <c r="E420" s="114">
        <v>48</v>
      </c>
      <c r="F420" s="114">
        <v>4608</v>
      </c>
      <c r="G420" s="114"/>
      <c r="H420" s="114">
        <f t="shared" si="19"/>
        <v>4608</v>
      </c>
      <c r="I420" s="161"/>
      <c r="J420" s="161"/>
      <c r="K420" s="161"/>
      <c r="L420" s="161"/>
      <c r="M420" s="161"/>
    </row>
    <row r="421" spans="1:14" x14ac:dyDescent="0.25">
      <c r="A421" s="350"/>
      <c r="B421" s="314"/>
      <c r="C421" s="114" t="s">
        <v>48</v>
      </c>
      <c r="D421" s="113">
        <v>46.925060000000002</v>
      </c>
      <c r="E421" s="114">
        <v>24</v>
      </c>
      <c r="F421" s="114">
        <v>456</v>
      </c>
      <c r="G421" s="114">
        <v>96</v>
      </c>
      <c r="H421" s="114">
        <f t="shared" si="19"/>
        <v>360</v>
      </c>
      <c r="I421" s="161"/>
      <c r="J421" s="161"/>
      <c r="K421" s="161"/>
      <c r="L421" s="161"/>
      <c r="M421" s="161"/>
    </row>
    <row r="422" spans="1:14" x14ac:dyDescent="0.25">
      <c r="A422" s="350"/>
      <c r="B422" s="356" t="s">
        <v>68</v>
      </c>
      <c r="C422" s="114" t="s">
        <v>55</v>
      </c>
      <c r="D422" s="113">
        <v>15</v>
      </c>
      <c r="E422" s="114">
        <v>28</v>
      </c>
      <c r="F422" s="114">
        <v>1484</v>
      </c>
      <c r="G422" s="114"/>
      <c r="H422" s="114">
        <f t="shared" si="19"/>
        <v>1484</v>
      </c>
      <c r="I422" s="161"/>
      <c r="J422" s="161"/>
      <c r="K422" s="161"/>
      <c r="L422" s="161"/>
      <c r="M422" s="161"/>
    </row>
    <row r="423" spans="1:14" x14ac:dyDescent="0.25">
      <c r="A423" s="350"/>
      <c r="B423" s="357"/>
      <c r="C423" s="114" t="s">
        <v>53</v>
      </c>
      <c r="D423" s="113">
        <v>47</v>
      </c>
      <c r="E423" s="114">
        <v>18</v>
      </c>
      <c r="F423" s="114">
        <v>864</v>
      </c>
      <c r="G423" s="114"/>
      <c r="H423" s="114">
        <f t="shared" si="19"/>
        <v>864</v>
      </c>
      <c r="I423" s="161"/>
      <c r="J423" s="161"/>
      <c r="K423" s="161"/>
      <c r="L423" s="161"/>
      <c r="M423" s="161"/>
    </row>
    <row r="424" spans="1:14" x14ac:dyDescent="0.25">
      <c r="A424" s="350"/>
      <c r="B424" s="320" t="s">
        <v>44</v>
      </c>
      <c r="C424" s="152" t="s">
        <v>40</v>
      </c>
      <c r="D424" s="105">
        <v>16.8</v>
      </c>
      <c r="E424" s="152">
        <v>42</v>
      </c>
      <c r="F424" s="152">
        <v>840</v>
      </c>
      <c r="G424" s="152"/>
      <c r="H424" s="114">
        <f t="shared" si="19"/>
        <v>840</v>
      </c>
      <c r="I424" s="161"/>
      <c r="J424" s="161"/>
      <c r="K424" s="161"/>
      <c r="L424" s="161"/>
      <c r="M424" s="161"/>
    </row>
    <row r="425" spans="1:14" x14ac:dyDescent="0.25">
      <c r="A425" s="350"/>
      <c r="B425" s="319"/>
      <c r="C425" s="152" t="s">
        <v>80</v>
      </c>
      <c r="D425" s="105">
        <v>28.35</v>
      </c>
      <c r="E425" s="152">
        <v>24</v>
      </c>
      <c r="F425" s="152">
        <v>144</v>
      </c>
      <c r="G425" s="152"/>
      <c r="H425" s="114">
        <f t="shared" si="19"/>
        <v>144</v>
      </c>
      <c r="I425" s="161"/>
      <c r="J425" s="161"/>
      <c r="K425" s="161"/>
      <c r="L425" s="161"/>
      <c r="M425" s="161"/>
    </row>
    <row r="426" spans="1:14" x14ac:dyDescent="0.25">
      <c r="A426" s="350"/>
      <c r="B426" s="357" t="s">
        <v>165</v>
      </c>
      <c r="C426" s="123" t="s">
        <v>71</v>
      </c>
      <c r="D426" s="122">
        <v>16.670745</v>
      </c>
      <c r="E426" s="123">
        <v>84</v>
      </c>
      <c r="F426" s="123">
        <v>4872</v>
      </c>
      <c r="G426" s="123"/>
      <c r="H426" s="114">
        <f t="shared" si="19"/>
        <v>4872</v>
      </c>
      <c r="I426" s="161"/>
      <c r="J426" s="161"/>
      <c r="K426" s="161"/>
      <c r="L426" s="161"/>
      <c r="M426" s="161"/>
    </row>
    <row r="427" spans="1:14" x14ac:dyDescent="0.25">
      <c r="A427" s="350"/>
      <c r="B427" s="314"/>
      <c r="C427" s="114" t="s">
        <v>50</v>
      </c>
      <c r="D427" s="113">
        <v>20.375354999999999</v>
      </c>
      <c r="E427" s="114">
        <v>45</v>
      </c>
      <c r="F427" s="114">
        <v>2160</v>
      </c>
      <c r="G427" s="114"/>
      <c r="H427" s="114">
        <f t="shared" si="19"/>
        <v>2160</v>
      </c>
      <c r="I427" s="161"/>
      <c r="J427" s="161"/>
      <c r="K427" s="161"/>
      <c r="L427" s="161"/>
      <c r="M427" s="161"/>
    </row>
    <row r="428" spans="1:14" x14ac:dyDescent="0.25">
      <c r="A428" s="350"/>
      <c r="B428" s="314"/>
      <c r="C428" s="114" t="s">
        <v>55</v>
      </c>
      <c r="D428" s="113">
        <v>23.462530000000001</v>
      </c>
      <c r="E428" s="114">
        <v>40</v>
      </c>
      <c r="F428" s="114">
        <v>1920</v>
      </c>
      <c r="G428" s="114"/>
      <c r="H428" s="114">
        <f t="shared" si="19"/>
        <v>1920</v>
      </c>
      <c r="I428" s="161"/>
      <c r="J428" s="161"/>
      <c r="K428" s="161"/>
      <c r="L428" s="161"/>
      <c r="M428" s="161"/>
    </row>
    <row r="429" spans="1:14" x14ac:dyDescent="0.25">
      <c r="A429" s="350"/>
      <c r="B429" s="114" t="s">
        <v>158</v>
      </c>
      <c r="C429" s="114" t="s">
        <v>27</v>
      </c>
      <c r="D429" s="113">
        <v>46.925060000000002</v>
      </c>
      <c r="E429" s="114">
        <v>24</v>
      </c>
      <c r="F429" s="114">
        <v>1248</v>
      </c>
      <c r="G429" s="114"/>
      <c r="H429" s="114">
        <f t="shared" si="19"/>
        <v>1248</v>
      </c>
      <c r="I429" s="161"/>
      <c r="J429" s="161"/>
      <c r="K429" s="161"/>
      <c r="L429" s="161"/>
      <c r="M429" s="161"/>
    </row>
    <row r="430" spans="1:14" ht="15.75" thickBot="1" x14ac:dyDescent="0.3">
      <c r="A430" s="350"/>
      <c r="B430" s="114" t="s">
        <v>35</v>
      </c>
      <c r="C430" s="118" t="s">
        <v>27</v>
      </c>
      <c r="D430" s="117">
        <v>46.925060000000002</v>
      </c>
      <c r="E430" s="118">
        <v>24</v>
      </c>
      <c r="F430" s="118">
        <v>672</v>
      </c>
      <c r="G430" s="114"/>
      <c r="H430" s="114">
        <f t="shared" si="19"/>
        <v>672</v>
      </c>
      <c r="I430" s="161"/>
      <c r="J430" s="161"/>
      <c r="K430" s="161"/>
      <c r="L430" s="161"/>
      <c r="M430" s="161"/>
    </row>
    <row r="431" spans="1:14" ht="15.75" thickTop="1" x14ac:dyDescent="0.25">
      <c r="A431" s="383" t="s">
        <v>189</v>
      </c>
      <c r="B431" s="304" t="s">
        <v>58</v>
      </c>
      <c r="C431" s="151" t="s">
        <v>50</v>
      </c>
      <c r="D431" s="108">
        <v>17</v>
      </c>
      <c r="E431" s="151">
        <v>45</v>
      </c>
      <c r="F431" s="151">
        <v>585</v>
      </c>
      <c r="G431" s="112"/>
      <c r="H431" s="112">
        <f t="shared" si="19"/>
        <v>585</v>
      </c>
      <c r="I431" s="161"/>
      <c r="J431" s="161"/>
      <c r="K431" s="387"/>
      <c r="L431" s="173"/>
      <c r="M431" s="137"/>
      <c r="N431" s="1"/>
    </row>
    <row r="432" spans="1:14" ht="15.75" thickBot="1" x14ac:dyDescent="0.3">
      <c r="A432" s="385"/>
      <c r="B432" s="306"/>
      <c r="C432" s="149" t="s">
        <v>55</v>
      </c>
      <c r="D432" s="124">
        <v>20</v>
      </c>
      <c r="E432" s="149">
        <v>40</v>
      </c>
      <c r="F432" s="149">
        <v>75</v>
      </c>
      <c r="G432" s="123"/>
      <c r="H432" s="123">
        <f t="shared" si="19"/>
        <v>75</v>
      </c>
      <c r="I432" s="161"/>
      <c r="J432" s="161"/>
      <c r="K432" s="387"/>
      <c r="L432" s="173"/>
      <c r="M432" s="137"/>
      <c r="N432" s="1"/>
    </row>
    <row r="433" spans="1:14" ht="15.75" thickTop="1" x14ac:dyDescent="0.25">
      <c r="A433" s="383" t="s">
        <v>2141</v>
      </c>
      <c r="B433" s="304" t="s">
        <v>58</v>
      </c>
      <c r="C433" s="151" t="s">
        <v>50</v>
      </c>
      <c r="D433" s="108">
        <v>17</v>
      </c>
      <c r="E433" s="151">
        <v>45</v>
      </c>
      <c r="F433" s="151">
        <v>522</v>
      </c>
      <c r="G433" s="112"/>
      <c r="H433" s="112">
        <f t="shared" si="19"/>
        <v>522</v>
      </c>
      <c r="I433" s="161"/>
      <c r="J433" s="161"/>
      <c r="K433" s="387"/>
      <c r="L433" s="387"/>
      <c r="M433" s="137"/>
      <c r="N433" s="1"/>
    </row>
    <row r="434" spans="1:14" ht="15.75" thickBot="1" x14ac:dyDescent="0.3">
      <c r="A434" s="385"/>
      <c r="B434" s="306"/>
      <c r="C434" s="126" t="s">
        <v>55</v>
      </c>
      <c r="D434" s="107">
        <v>20</v>
      </c>
      <c r="E434" s="126">
        <v>40</v>
      </c>
      <c r="F434" s="126">
        <f>40+76</f>
        <v>116</v>
      </c>
      <c r="G434" s="116"/>
      <c r="H434" s="116">
        <f t="shared" si="19"/>
        <v>116</v>
      </c>
      <c r="I434" s="161"/>
      <c r="J434" s="161"/>
      <c r="K434" s="387"/>
      <c r="L434" s="387"/>
      <c r="M434" s="137"/>
      <c r="N434" s="1"/>
    </row>
    <row r="435" spans="1:14" ht="16.5" thickTop="1" thickBot="1" x14ac:dyDescent="0.3">
      <c r="A435" s="240" t="s">
        <v>221</v>
      </c>
      <c r="B435" s="150" t="s">
        <v>58</v>
      </c>
      <c r="C435" s="150" t="s">
        <v>55</v>
      </c>
      <c r="D435" s="131">
        <v>20</v>
      </c>
      <c r="E435" s="150">
        <v>40</v>
      </c>
      <c r="F435" s="150">
        <v>148</v>
      </c>
      <c r="G435" s="132"/>
      <c r="H435" s="116">
        <f t="shared" si="19"/>
        <v>148</v>
      </c>
      <c r="I435" s="161"/>
      <c r="J435" s="161"/>
      <c r="K435" s="387"/>
      <c r="L435" s="387"/>
      <c r="M435" s="137"/>
      <c r="N435" s="1"/>
    </row>
    <row r="436" spans="1:14" ht="16.5" thickTop="1" thickBot="1" x14ac:dyDescent="0.3">
      <c r="A436" s="240" t="s">
        <v>132</v>
      </c>
      <c r="B436" s="150" t="s">
        <v>164</v>
      </c>
      <c r="C436" s="150" t="s">
        <v>73</v>
      </c>
      <c r="D436" s="131">
        <v>20</v>
      </c>
      <c r="E436" s="150">
        <v>48</v>
      </c>
      <c r="F436" s="150">
        <v>384</v>
      </c>
      <c r="G436" s="132"/>
      <c r="H436" s="116">
        <f t="shared" si="19"/>
        <v>384</v>
      </c>
      <c r="I436" s="161"/>
      <c r="J436" s="161"/>
      <c r="K436" s="387"/>
      <c r="L436" s="387"/>
      <c r="M436" s="137"/>
      <c r="N436" s="1"/>
    </row>
    <row r="437" spans="1:14" ht="16.5" thickTop="1" thickBot="1" x14ac:dyDescent="0.3">
      <c r="A437" s="235" t="s">
        <v>25</v>
      </c>
      <c r="B437" s="31" t="s">
        <v>58</v>
      </c>
      <c r="C437" s="31" t="s">
        <v>55</v>
      </c>
      <c r="D437" s="110">
        <v>20</v>
      </c>
      <c r="E437" s="31">
        <v>40</v>
      </c>
      <c r="F437" s="31">
        <v>640</v>
      </c>
      <c r="G437" s="36"/>
      <c r="H437" s="116">
        <f t="shared" si="19"/>
        <v>640</v>
      </c>
      <c r="I437" s="161"/>
      <c r="J437" s="161"/>
      <c r="K437" s="387"/>
      <c r="L437" s="387"/>
      <c r="M437" s="137"/>
      <c r="N437" s="1"/>
    </row>
    <row r="438" spans="1:14" ht="16.5" thickTop="1" thickBot="1" x14ac:dyDescent="0.3">
      <c r="A438" s="235" t="s">
        <v>220</v>
      </c>
      <c r="B438" s="31" t="s">
        <v>58</v>
      </c>
      <c r="C438" s="31" t="s">
        <v>55</v>
      </c>
      <c r="D438" s="129">
        <v>30</v>
      </c>
      <c r="E438" s="148">
        <v>40</v>
      </c>
      <c r="F438" s="148">
        <v>131</v>
      </c>
      <c r="G438" s="121"/>
      <c r="H438" s="125">
        <f t="shared" si="19"/>
        <v>131</v>
      </c>
      <c r="I438" s="161"/>
      <c r="J438" s="161"/>
      <c r="K438" s="387"/>
      <c r="L438" s="173"/>
      <c r="M438" s="137"/>
      <c r="N438" s="1"/>
    </row>
    <row r="439" spans="1:14" ht="15.75" thickTop="1" x14ac:dyDescent="0.25">
      <c r="A439" s="329" t="s">
        <v>79</v>
      </c>
      <c r="B439" s="310" t="s">
        <v>161</v>
      </c>
      <c r="C439" s="112" t="s">
        <v>72</v>
      </c>
      <c r="D439" s="108">
        <v>16.670745</v>
      </c>
      <c r="E439" s="151">
        <v>72</v>
      </c>
      <c r="F439" s="151">
        <v>4176</v>
      </c>
      <c r="G439" s="151"/>
      <c r="H439" s="151">
        <f>F439-G439</f>
        <v>4176</v>
      </c>
      <c r="I439" s="161"/>
      <c r="J439" s="161"/>
      <c r="K439" s="387"/>
      <c r="L439" s="387"/>
      <c r="M439" s="137"/>
      <c r="N439" s="1"/>
    </row>
    <row r="440" spans="1:14" x14ac:dyDescent="0.25">
      <c r="A440" s="330"/>
      <c r="B440" s="311"/>
      <c r="C440" s="114" t="s">
        <v>30</v>
      </c>
      <c r="D440" s="105">
        <v>20.375354999999999</v>
      </c>
      <c r="E440" s="152">
        <v>36</v>
      </c>
      <c r="F440" s="152">
        <v>1872</v>
      </c>
      <c r="G440" s="152"/>
      <c r="H440" s="152">
        <f>F440-G440</f>
        <v>1872</v>
      </c>
      <c r="I440" s="161"/>
      <c r="J440" s="161"/>
      <c r="K440" s="387"/>
      <c r="L440" s="387"/>
      <c r="M440" s="173"/>
      <c r="N440" s="1"/>
    </row>
    <row r="441" spans="1:14" x14ac:dyDescent="0.25">
      <c r="A441" s="330"/>
      <c r="B441" s="311"/>
      <c r="C441" s="114" t="s">
        <v>66</v>
      </c>
      <c r="D441" s="105">
        <v>23.462530000000001</v>
      </c>
      <c r="E441" s="152">
        <v>24</v>
      </c>
      <c r="F441" s="152">
        <v>1248</v>
      </c>
      <c r="G441" s="152"/>
      <c r="H441" s="152">
        <f t="shared" ref="H441:H470" si="20">F441-G441</f>
        <v>1248</v>
      </c>
      <c r="I441" s="161"/>
      <c r="J441" s="161"/>
      <c r="K441" s="387"/>
      <c r="L441" s="387"/>
      <c r="M441" s="137"/>
      <c r="N441" s="1"/>
    </row>
    <row r="442" spans="1:14" x14ac:dyDescent="0.25">
      <c r="A442" s="330"/>
      <c r="B442" s="311"/>
      <c r="C442" s="114" t="s">
        <v>69</v>
      </c>
      <c r="D442" s="105">
        <v>46.925060000000002</v>
      </c>
      <c r="E442" s="152">
        <v>24</v>
      </c>
      <c r="F442" s="152">
        <v>1104</v>
      </c>
      <c r="G442" s="152"/>
      <c r="H442" s="152">
        <f t="shared" si="20"/>
        <v>1104</v>
      </c>
      <c r="I442" s="161"/>
      <c r="J442" s="161"/>
      <c r="K442" s="387"/>
      <c r="L442" s="387"/>
      <c r="M442" s="137"/>
      <c r="N442" s="1"/>
    </row>
    <row r="443" spans="1:14" x14ac:dyDescent="0.25">
      <c r="A443" s="330"/>
      <c r="B443" s="311"/>
      <c r="C443" s="114" t="s">
        <v>67</v>
      </c>
      <c r="D443" s="105">
        <v>58.656325000000002</v>
      </c>
      <c r="E443" s="152">
        <v>12</v>
      </c>
      <c r="F443" s="152">
        <v>516</v>
      </c>
      <c r="G443" s="152"/>
      <c r="H443" s="152">
        <f t="shared" si="20"/>
        <v>516</v>
      </c>
      <c r="I443" s="161"/>
      <c r="J443" s="161"/>
      <c r="K443" s="387"/>
      <c r="L443" s="387"/>
      <c r="M443" s="137"/>
      <c r="N443" s="1"/>
    </row>
    <row r="444" spans="1:14" x14ac:dyDescent="0.25">
      <c r="A444" s="330"/>
      <c r="B444" s="311" t="s">
        <v>162</v>
      </c>
      <c r="C444" s="114" t="s">
        <v>74</v>
      </c>
      <c r="D444" s="105">
        <v>20.375354999999999</v>
      </c>
      <c r="E444" s="152">
        <v>63</v>
      </c>
      <c r="F444" s="152">
        <v>3654</v>
      </c>
      <c r="G444" s="152">
        <v>63</v>
      </c>
      <c r="H444" s="152">
        <f t="shared" si="20"/>
        <v>3591</v>
      </c>
      <c r="I444" s="161"/>
      <c r="J444" s="161"/>
      <c r="K444" s="387"/>
      <c r="L444" s="173"/>
      <c r="M444" s="137"/>
      <c r="N444" s="1"/>
    </row>
    <row r="445" spans="1:14" x14ac:dyDescent="0.25">
      <c r="A445" s="330"/>
      <c r="B445" s="311"/>
      <c r="C445" s="114" t="s">
        <v>59</v>
      </c>
      <c r="D445" s="105">
        <v>23.462530000000001</v>
      </c>
      <c r="E445" s="152">
        <v>36</v>
      </c>
      <c r="F445" s="152">
        <v>1908</v>
      </c>
      <c r="G445" s="152"/>
      <c r="H445" s="152">
        <f t="shared" si="20"/>
        <v>1908</v>
      </c>
      <c r="I445" s="161"/>
      <c r="J445" s="161"/>
      <c r="K445" s="387"/>
      <c r="L445" s="387"/>
      <c r="M445" s="137"/>
      <c r="N445" s="1"/>
    </row>
    <row r="446" spans="1:14" x14ac:dyDescent="0.25">
      <c r="A446" s="330"/>
      <c r="B446" s="311"/>
      <c r="C446" s="114" t="s">
        <v>69</v>
      </c>
      <c r="D446" s="105">
        <v>46.925060000000002</v>
      </c>
      <c r="E446" s="152">
        <v>24</v>
      </c>
      <c r="F446" s="152">
        <v>1152</v>
      </c>
      <c r="G446" s="152"/>
      <c r="H446" s="152">
        <f t="shared" si="20"/>
        <v>1152</v>
      </c>
      <c r="I446" s="161"/>
      <c r="J446" s="161"/>
      <c r="K446" s="387"/>
      <c r="L446" s="387"/>
      <c r="M446" s="137"/>
      <c r="N446" s="1"/>
    </row>
    <row r="447" spans="1:14" x14ac:dyDescent="0.25">
      <c r="A447" s="330"/>
      <c r="B447" s="311"/>
      <c r="C447" s="114" t="s">
        <v>150</v>
      </c>
      <c r="D447" s="105">
        <v>58.656325000000002</v>
      </c>
      <c r="E447" s="152">
        <v>12</v>
      </c>
      <c r="F447" s="152">
        <v>516</v>
      </c>
      <c r="G447" s="152"/>
      <c r="H447" s="152">
        <f t="shared" si="20"/>
        <v>516</v>
      </c>
      <c r="I447" s="161"/>
      <c r="J447" s="161"/>
      <c r="K447" s="387"/>
      <c r="L447" s="387"/>
      <c r="M447" s="137"/>
      <c r="N447" s="1"/>
    </row>
    <row r="448" spans="1:14" x14ac:dyDescent="0.25">
      <c r="A448" s="330"/>
      <c r="B448" s="311" t="s">
        <v>159</v>
      </c>
      <c r="C448" s="114" t="s">
        <v>50</v>
      </c>
      <c r="D448" s="105">
        <v>16.670745</v>
      </c>
      <c r="E448" s="152">
        <v>45</v>
      </c>
      <c r="F448" s="152">
        <v>2295</v>
      </c>
      <c r="G448" s="152">
        <f>45+22</f>
        <v>67</v>
      </c>
      <c r="H448" s="152">
        <f t="shared" si="20"/>
        <v>2228</v>
      </c>
      <c r="I448" s="161"/>
      <c r="J448" s="161"/>
      <c r="K448" s="387"/>
      <c r="L448" s="387"/>
      <c r="M448" s="137"/>
      <c r="N448" s="1"/>
    </row>
    <row r="449" spans="1:14" x14ac:dyDescent="0.25">
      <c r="A449" s="330"/>
      <c r="B449" s="311"/>
      <c r="C449" s="114" t="s">
        <v>55</v>
      </c>
      <c r="D449" s="105">
        <v>20.375354999999999</v>
      </c>
      <c r="E449" s="152">
        <v>40</v>
      </c>
      <c r="F449" s="152">
        <f>1920+11</f>
        <v>1931</v>
      </c>
      <c r="G449" s="152"/>
      <c r="H449" s="152">
        <f t="shared" si="20"/>
        <v>1931</v>
      </c>
      <c r="I449" s="161"/>
      <c r="J449" s="161"/>
      <c r="K449" s="387"/>
      <c r="L449" s="387"/>
      <c r="M449" s="137"/>
      <c r="N449" s="1"/>
    </row>
    <row r="450" spans="1:14" x14ac:dyDescent="0.25">
      <c r="A450" s="330"/>
      <c r="B450" s="311"/>
      <c r="C450" s="114" t="s">
        <v>54</v>
      </c>
      <c r="D450" s="105">
        <v>23.462530000000001</v>
      </c>
      <c r="E450" s="152">
        <v>28</v>
      </c>
      <c r="F450" s="152">
        <v>1400</v>
      </c>
      <c r="G450" s="152">
        <v>28</v>
      </c>
      <c r="H450" s="152">
        <f t="shared" si="20"/>
        <v>1372</v>
      </c>
      <c r="I450" s="161"/>
      <c r="J450" s="161"/>
      <c r="K450" s="387"/>
      <c r="L450" s="387"/>
      <c r="M450" s="137"/>
      <c r="N450" s="1"/>
    </row>
    <row r="451" spans="1:14" x14ac:dyDescent="0.25">
      <c r="A451" s="330"/>
      <c r="B451" s="311"/>
      <c r="C451" s="114" t="s">
        <v>53</v>
      </c>
      <c r="D451" s="105">
        <v>43.22045</v>
      </c>
      <c r="E451" s="152">
        <v>24</v>
      </c>
      <c r="F451" s="152">
        <v>1032</v>
      </c>
      <c r="G451" s="152"/>
      <c r="H451" s="152">
        <f t="shared" si="20"/>
        <v>1032</v>
      </c>
      <c r="I451" s="161"/>
      <c r="J451" s="161"/>
      <c r="K451" s="161"/>
      <c r="L451" s="161"/>
      <c r="M451" s="161"/>
    </row>
    <row r="452" spans="1:14" x14ac:dyDescent="0.25">
      <c r="A452" s="330"/>
      <c r="B452" s="311"/>
      <c r="C452" s="114" t="s">
        <v>57</v>
      </c>
      <c r="D452" s="105">
        <v>58.656325000000002</v>
      </c>
      <c r="E452" s="152">
        <v>18</v>
      </c>
      <c r="F452" s="152">
        <v>774</v>
      </c>
      <c r="G452" s="152"/>
      <c r="H452" s="152">
        <f t="shared" si="20"/>
        <v>774</v>
      </c>
      <c r="I452" s="161"/>
      <c r="J452" s="161"/>
      <c r="K452" s="161"/>
      <c r="L452" s="161"/>
      <c r="M452" s="161"/>
    </row>
    <row r="453" spans="1:14" x14ac:dyDescent="0.25">
      <c r="A453" s="330"/>
      <c r="B453" s="311" t="s">
        <v>68</v>
      </c>
      <c r="C453" s="114" t="s">
        <v>55</v>
      </c>
      <c r="D453" s="105">
        <v>23.462530000000001</v>
      </c>
      <c r="E453" s="152">
        <v>28</v>
      </c>
      <c r="F453" s="152">
        <v>1540</v>
      </c>
      <c r="G453" s="152">
        <v>28</v>
      </c>
      <c r="H453" s="152">
        <f t="shared" si="20"/>
        <v>1512</v>
      </c>
      <c r="I453" s="161"/>
      <c r="J453" s="161"/>
      <c r="K453" s="161"/>
      <c r="L453" s="161"/>
      <c r="M453" s="161"/>
    </row>
    <row r="454" spans="1:14" x14ac:dyDescent="0.25">
      <c r="A454" s="330"/>
      <c r="B454" s="311"/>
      <c r="C454" s="114" t="s">
        <v>53</v>
      </c>
      <c r="D454" s="105">
        <v>46.925060000000002</v>
      </c>
      <c r="E454" s="152">
        <v>18</v>
      </c>
      <c r="F454" s="152">
        <v>900</v>
      </c>
      <c r="G454" s="152"/>
      <c r="H454" s="152">
        <f t="shared" si="20"/>
        <v>900</v>
      </c>
      <c r="I454" s="161"/>
      <c r="J454" s="161"/>
      <c r="K454" s="161"/>
      <c r="L454" s="161"/>
      <c r="M454" s="161"/>
    </row>
    <row r="455" spans="1:14" x14ac:dyDescent="0.25">
      <c r="A455" s="330"/>
      <c r="B455" s="314" t="s">
        <v>163</v>
      </c>
      <c r="C455" s="114" t="s">
        <v>51</v>
      </c>
      <c r="D455" s="105">
        <v>18.523050000000001</v>
      </c>
      <c r="E455" s="152">
        <v>48</v>
      </c>
      <c r="F455" s="152">
        <v>2544</v>
      </c>
      <c r="G455" s="152">
        <v>24</v>
      </c>
      <c r="H455" s="152">
        <f t="shared" si="20"/>
        <v>2520</v>
      </c>
      <c r="I455" s="161"/>
      <c r="J455" s="161"/>
      <c r="K455" s="161"/>
      <c r="L455" s="161"/>
      <c r="M455" s="161"/>
    </row>
    <row r="456" spans="1:14" x14ac:dyDescent="0.25">
      <c r="A456" s="330"/>
      <c r="B456" s="314"/>
      <c r="C456" s="114" t="s">
        <v>30</v>
      </c>
      <c r="D456" s="105">
        <v>23.462530000000001</v>
      </c>
      <c r="E456" s="152">
        <v>28</v>
      </c>
      <c r="F456" s="152">
        <v>1316</v>
      </c>
      <c r="G456" s="152">
        <v>14</v>
      </c>
      <c r="H456" s="152">
        <f t="shared" si="20"/>
        <v>1302</v>
      </c>
      <c r="I456" s="161"/>
      <c r="J456" s="161"/>
      <c r="K456" s="161"/>
      <c r="L456" s="161"/>
      <c r="M456" s="161"/>
    </row>
    <row r="457" spans="1:14" x14ac:dyDescent="0.25">
      <c r="A457" s="330"/>
      <c r="B457" s="314"/>
      <c r="C457" s="114" t="s">
        <v>29</v>
      </c>
      <c r="D457" s="105">
        <v>46.925060000000002</v>
      </c>
      <c r="E457" s="152">
        <v>24</v>
      </c>
      <c r="F457" s="152">
        <v>432</v>
      </c>
      <c r="G457" s="152">
        <v>24</v>
      </c>
      <c r="H457" s="152">
        <f t="shared" si="20"/>
        <v>408</v>
      </c>
      <c r="I457" s="161"/>
      <c r="J457" s="161"/>
      <c r="K457" s="161"/>
      <c r="L457" s="161"/>
      <c r="M457" s="161"/>
    </row>
    <row r="458" spans="1:14" x14ac:dyDescent="0.25">
      <c r="A458" s="330"/>
      <c r="B458" s="314"/>
      <c r="C458" s="114" t="s">
        <v>121</v>
      </c>
      <c r="D458" s="105">
        <v>58.656325000000002</v>
      </c>
      <c r="E458" s="152">
        <v>15</v>
      </c>
      <c r="F458" s="152">
        <v>675</v>
      </c>
      <c r="G458" s="152">
        <v>15</v>
      </c>
      <c r="H458" s="152">
        <f t="shared" si="20"/>
        <v>660</v>
      </c>
      <c r="I458" s="161"/>
      <c r="J458" s="161"/>
      <c r="K458" s="161"/>
      <c r="L458" s="161"/>
      <c r="M458" s="161"/>
    </row>
    <row r="459" spans="1:14" x14ac:dyDescent="0.25">
      <c r="A459" s="330"/>
      <c r="B459" s="311" t="s">
        <v>164</v>
      </c>
      <c r="C459" s="114" t="s">
        <v>72</v>
      </c>
      <c r="D459" s="105">
        <v>16.670745</v>
      </c>
      <c r="E459" s="152">
        <v>72</v>
      </c>
      <c r="F459" s="152">
        <v>4680</v>
      </c>
      <c r="G459" s="152">
        <v>36</v>
      </c>
      <c r="H459" s="152">
        <f t="shared" si="20"/>
        <v>4644</v>
      </c>
      <c r="I459" s="161"/>
      <c r="J459" s="161"/>
      <c r="K459" s="161"/>
      <c r="L459" s="161"/>
      <c r="M459" s="161"/>
    </row>
    <row r="460" spans="1:14" x14ac:dyDescent="0.25">
      <c r="A460" s="330"/>
      <c r="B460" s="311"/>
      <c r="C460" s="114" t="s">
        <v>73</v>
      </c>
      <c r="D460" s="105">
        <v>20.375354999999999</v>
      </c>
      <c r="E460" s="152">
        <v>48</v>
      </c>
      <c r="F460" s="152">
        <v>2544</v>
      </c>
      <c r="G460" s="152">
        <v>24</v>
      </c>
      <c r="H460" s="152">
        <f t="shared" si="20"/>
        <v>2520</v>
      </c>
      <c r="I460" s="161"/>
      <c r="J460" s="161"/>
      <c r="K460" s="161"/>
      <c r="L460" s="161"/>
      <c r="M460" s="161"/>
    </row>
    <row r="461" spans="1:14" x14ac:dyDescent="0.25">
      <c r="A461" s="330"/>
      <c r="B461" s="311"/>
      <c r="C461" s="152" t="s">
        <v>48</v>
      </c>
      <c r="D461" s="105">
        <v>46.925060000000002</v>
      </c>
      <c r="E461" s="152">
        <v>24</v>
      </c>
      <c r="F461" s="152">
        <v>1200</v>
      </c>
      <c r="G461" s="152">
        <v>24</v>
      </c>
      <c r="H461" s="152">
        <f t="shared" si="20"/>
        <v>1176</v>
      </c>
      <c r="I461" s="161"/>
      <c r="J461" s="161"/>
      <c r="K461" s="161"/>
      <c r="L461" s="161"/>
      <c r="M461" s="161"/>
    </row>
    <row r="462" spans="1:14" x14ac:dyDescent="0.25">
      <c r="A462" s="330"/>
      <c r="B462" s="311"/>
      <c r="C462" s="114" t="s">
        <v>47</v>
      </c>
      <c r="D462" s="105">
        <v>58.656325000000002</v>
      </c>
      <c r="E462" s="152">
        <v>12</v>
      </c>
      <c r="F462" s="152">
        <v>576</v>
      </c>
      <c r="G462" s="152"/>
      <c r="H462" s="152">
        <f t="shared" si="20"/>
        <v>576</v>
      </c>
      <c r="I462" s="161"/>
      <c r="J462" s="161"/>
      <c r="K462" s="161"/>
      <c r="L462" s="161"/>
      <c r="M462" s="161"/>
    </row>
    <row r="463" spans="1:14" x14ac:dyDescent="0.25">
      <c r="A463" s="330"/>
      <c r="B463" s="311" t="s">
        <v>44</v>
      </c>
      <c r="C463" s="152" t="s">
        <v>40</v>
      </c>
      <c r="D463" s="105">
        <v>16.8</v>
      </c>
      <c r="E463" s="152">
        <v>42</v>
      </c>
      <c r="F463" s="152">
        <v>1932</v>
      </c>
      <c r="G463" s="152"/>
      <c r="H463" s="152">
        <f t="shared" si="20"/>
        <v>1932</v>
      </c>
      <c r="I463" s="161"/>
      <c r="J463" s="161"/>
      <c r="K463" s="161"/>
      <c r="L463" s="161"/>
      <c r="M463" s="161"/>
    </row>
    <row r="464" spans="1:14" x14ac:dyDescent="0.25">
      <c r="A464" s="330"/>
      <c r="B464" s="311"/>
      <c r="C464" s="152" t="s">
        <v>80</v>
      </c>
      <c r="D464" s="105">
        <v>28.35</v>
      </c>
      <c r="E464" s="152">
        <v>24</v>
      </c>
      <c r="F464" s="152">
        <v>1104</v>
      </c>
      <c r="G464" s="152"/>
      <c r="H464" s="152">
        <f t="shared" si="20"/>
        <v>1104</v>
      </c>
      <c r="I464" s="161"/>
      <c r="J464" s="161"/>
      <c r="K464" s="161"/>
      <c r="L464" s="161"/>
      <c r="M464" s="161"/>
    </row>
    <row r="465" spans="1:13" x14ac:dyDescent="0.25">
      <c r="A465" s="330"/>
      <c r="B465" s="311" t="s">
        <v>165</v>
      </c>
      <c r="C465" s="152" t="s">
        <v>71</v>
      </c>
      <c r="D465" s="105">
        <v>10.5</v>
      </c>
      <c r="E465" s="152">
        <v>84</v>
      </c>
      <c r="F465" s="152">
        <v>3864</v>
      </c>
      <c r="G465" s="152">
        <v>40</v>
      </c>
      <c r="H465" s="152">
        <f t="shared" si="20"/>
        <v>3824</v>
      </c>
      <c r="I465" s="161"/>
      <c r="J465" s="161"/>
      <c r="K465" s="161"/>
      <c r="L465" s="161"/>
      <c r="M465" s="161"/>
    </row>
    <row r="466" spans="1:13" x14ac:dyDescent="0.25">
      <c r="A466" s="330"/>
      <c r="B466" s="311"/>
      <c r="C466" s="114" t="s">
        <v>50</v>
      </c>
      <c r="D466" s="105">
        <v>20.375354999999999</v>
      </c>
      <c r="E466" s="152">
        <v>45</v>
      </c>
      <c r="F466" s="152">
        <v>2385</v>
      </c>
      <c r="G466" s="152"/>
      <c r="H466" s="152">
        <f t="shared" si="20"/>
        <v>2385</v>
      </c>
      <c r="I466" s="161"/>
      <c r="J466" s="161"/>
      <c r="K466" s="161"/>
      <c r="L466" s="161"/>
      <c r="M466" s="161"/>
    </row>
    <row r="467" spans="1:13" x14ac:dyDescent="0.25">
      <c r="A467" s="330"/>
      <c r="B467" s="311"/>
      <c r="C467" s="114" t="s">
        <v>55</v>
      </c>
      <c r="D467" s="105">
        <v>23.462530000000001</v>
      </c>
      <c r="E467" s="152">
        <v>40</v>
      </c>
      <c r="F467" s="152">
        <v>1840</v>
      </c>
      <c r="G467" s="152"/>
      <c r="H467" s="152">
        <f t="shared" si="20"/>
        <v>1840</v>
      </c>
      <c r="I467" s="161"/>
      <c r="J467" s="161"/>
      <c r="K467" s="161"/>
      <c r="L467" s="161"/>
      <c r="M467" s="161"/>
    </row>
    <row r="468" spans="1:13" x14ac:dyDescent="0.25">
      <c r="A468" s="330"/>
      <c r="B468" s="311" t="s">
        <v>35</v>
      </c>
      <c r="C468" s="114" t="s">
        <v>27</v>
      </c>
      <c r="D468" s="105">
        <v>46.925060000000002</v>
      </c>
      <c r="E468" s="152">
        <v>24</v>
      </c>
      <c r="F468" s="152">
        <v>1272</v>
      </c>
      <c r="G468" s="152"/>
      <c r="H468" s="152">
        <f t="shared" si="20"/>
        <v>1272</v>
      </c>
      <c r="I468" s="161"/>
      <c r="J468" s="161"/>
      <c r="K468" s="161"/>
      <c r="L468" s="161"/>
      <c r="M468" s="161"/>
    </row>
    <row r="469" spans="1:13" x14ac:dyDescent="0.25">
      <c r="A469" s="330"/>
      <c r="B469" s="311"/>
      <c r="C469" s="114" t="s">
        <v>157</v>
      </c>
      <c r="D469" s="105">
        <v>58.656325000000002</v>
      </c>
      <c r="E469" s="152">
        <v>12</v>
      </c>
      <c r="F469" s="152">
        <v>504</v>
      </c>
      <c r="G469" s="152"/>
      <c r="H469" s="152">
        <f t="shared" si="20"/>
        <v>504</v>
      </c>
      <c r="I469" s="161"/>
      <c r="J469" s="161"/>
      <c r="K469" s="161"/>
      <c r="L469" s="161"/>
      <c r="M469" s="161"/>
    </row>
    <row r="470" spans="1:13" ht="15.75" thickBot="1" x14ac:dyDescent="0.3">
      <c r="A470" s="331"/>
      <c r="B470" s="126" t="s">
        <v>158</v>
      </c>
      <c r="C470" s="116" t="s">
        <v>27</v>
      </c>
      <c r="D470" s="107">
        <v>46.925060000000002</v>
      </c>
      <c r="E470" s="126">
        <v>24</v>
      </c>
      <c r="F470" s="126">
        <v>1272</v>
      </c>
      <c r="G470" s="126"/>
      <c r="H470" s="152">
        <f t="shared" si="20"/>
        <v>1272</v>
      </c>
      <c r="I470" s="161"/>
      <c r="J470" s="161"/>
      <c r="K470" s="161"/>
      <c r="L470" s="161"/>
      <c r="M470" s="161"/>
    </row>
    <row r="471" spans="1:13" ht="15.75" thickTop="1" x14ac:dyDescent="0.25">
      <c r="A471" s="329" t="s">
        <v>81</v>
      </c>
      <c r="B471" s="310" t="s">
        <v>161</v>
      </c>
      <c r="C471" s="112" t="s">
        <v>72</v>
      </c>
      <c r="D471" s="108">
        <v>16.670745</v>
      </c>
      <c r="E471" s="151">
        <v>72</v>
      </c>
      <c r="F471" s="151">
        <v>2880</v>
      </c>
      <c r="G471" s="151">
        <v>10</v>
      </c>
      <c r="H471" s="151">
        <f>F471-G471</f>
        <v>2870</v>
      </c>
      <c r="I471" s="161"/>
      <c r="J471" s="161"/>
      <c r="K471" s="161"/>
      <c r="L471" s="161"/>
      <c r="M471" s="161"/>
    </row>
    <row r="472" spans="1:13" x14ac:dyDescent="0.25">
      <c r="A472" s="330"/>
      <c r="B472" s="311"/>
      <c r="C472" s="114" t="s">
        <v>30</v>
      </c>
      <c r="D472" s="105">
        <v>20.375354999999999</v>
      </c>
      <c r="E472" s="152">
        <v>36</v>
      </c>
      <c r="F472" s="152">
        <v>1152</v>
      </c>
      <c r="G472" s="152"/>
      <c r="H472" s="152">
        <f>F472-G472</f>
        <v>1152</v>
      </c>
      <c r="I472" s="161"/>
      <c r="J472" s="161"/>
      <c r="K472" s="161"/>
      <c r="L472" s="161"/>
      <c r="M472" s="161"/>
    </row>
    <row r="473" spans="1:13" x14ac:dyDescent="0.25">
      <c r="A473" s="330"/>
      <c r="B473" s="311"/>
      <c r="C473" s="114" t="s">
        <v>66</v>
      </c>
      <c r="D473" s="105">
        <v>23.462530000000001</v>
      </c>
      <c r="E473" s="152">
        <v>24</v>
      </c>
      <c r="F473" s="152">
        <v>1296</v>
      </c>
      <c r="G473" s="152">
        <f>6+10+10</f>
        <v>26</v>
      </c>
      <c r="H473" s="152">
        <f t="shared" ref="H473:H502" si="21">F473-G473</f>
        <v>1270</v>
      </c>
      <c r="I473" s="161"/>
      <c r="J473" s="161"/>
      <c r="K473" s="161"/>
      <c r="L473" s="161"/>
      <c r="M473" s="161"/>
    </row>
    <row r="474" spans="1:13" x14ac:dyDescent="0.25">
      <c r="A474" s="330"/>
      <c r="B474" s="311"/>
      <c r="C474" s="114" t="s">
        <v>69</v>
      </c>
      <c r="D474" s="105">
        <v>46.925060000000002</v>
      </c>
      <c r="E474" s="152">
        <v>24</v>
      </c>
      <c r="F474" s="152">
        <v>864</v>
      </c>
      <c r="G474" s="152">
        <v>10</v>
      </c>
      <c r="H474" s="152">
        <f t="shared" si="21"/>
        <v>854</v>
      </c>
      <c r="I474" s="161"/>
      <c r="J474" s="161"/>
      <c r="K474" s="161"/>
      <c r="L474" s="161"/>
      <c r="M474" s="161"/>
    </row>
    <row r="475" spans="1:13" x14ac:dyDescent="0.25">
      <c r="A475" s="330"/>
      <c r="B475" s="311"/>
      <c r="C475" s="114" t="s">
        <v>67</v>
      </c>
      <c r="D475" s="105">
        <v>58.656325000000002</v>
      </c>
      <c r="E475" s="152">
        <v>12</v>
      </c>
      <c r="F475" s="152">
        <f>180+180</f>
        <v>360</v>
      </c>
      <c r="G475" s="152">
        <v>12</v>
      </c>
      <c r="H475" s="152">
        <f t="shared" si="21"/>
        <v>348</v>
      </c>
      <c r="I475" s="161"/>
      <c r="J475" s="161"/>
      <c r="K475" s="161"/>
      <c r="L475" s="161"/>
      <c r="M475" s="161"/>
    </row>
    <row r="476" spans="1:13" x14ac:dyDescent="0.25">
      <c r="A476" s="330"/>
      <c r="B476" s="311" t="s">
        <v>162</v>
      </c>
      <c r="C476" s="114" t="s">
        <v>74</v>
      </c>
      <c r="D476" s="105">
        <v>20.375354999999999</v>
      </c>
      <c r="E476" s="152">
        <v>63</v>
      </c>
      <c r="F476" s="152">
        <v>3654</v>
      </c>
      <c r="G476" s="152"/>
      <c r="H476" s="152">
        <f t="shared" si="21"/>
        <v>3654</v>
      </c>
      <c r="I476" s="161"/>
      <c r="J476" s="161"/>
      <c r="K476" s="161"/>
      <c r="L476" s="161"/>
      <c r="M476" s="161"/>
    </row>
    <row r="477" spans="1:13" x14ac:dyDescent="0.25">
      <c r="A477" s="330"/>
      <c r="B477" s="311"/>
      <c r="C477" s="114" t="s">
        <v>59</v>
      </c>
      <c r="D477" s="105">
        <v>23.462530000000001</v>
      </c>
      <c r="E477" s="152">
        <v>36</v>
      </c>
      <c r="F477" s="152">
        <v>1908</v>
      </c>
      <c r="G477" s="152">
        <v>10</v>
      </c>
      <c r="H477" s="152">
        <f t="shared" si="21"/>
        <v>1898</v>
      </c>
      <c r="I477" s="161"/>
      <c r="J477" s="161"/>
      <c r="K477" s="161"/>
      <c r="L477" s="161"/>
      <c r="M477" s="161"/>
    </row>
    <row r="478" spans="1:13" x14ac:dyDescent="0.25">
      <c r="A478" s="330"/>
      <c r="B478" s="311"/>
      <c r="C478" s="114" t="s">
        <v>69</v>
      </c>
      <c r="D478" s="105">
        <v>46.925060000000002</v>
      </c>
      <c r="E478" s="152">
        <v>24</v>
      </c>
      <c r="F478" s="152">
        <v>1152</v>
      </c>
      <c r="G478" s="152">
        <v>24</v>
      </c>
      <c r="H478" s="152">
        <f t="shared" si="21"/>
        <v>1128</v>
      </c>
      <c r="I478" s="161"/>
      <c r="J478" s="161"/>
      <c r="K478" s="161"/>
      <c r="L478" s="161"/>
      <c r="M478" s="161"/>
    </row>
    <row r="479" spans="1:13" x14ac:dyDescent="0.25">
      <c r="A479" s="330"/>
      <c r="B479" s="311"/>
      <c r="C479" s="114" t="s">
        <v>150</v>
      </c>
      <c r="D479" s="105">
        <v>58.656325000000002</v>
      </c>
      <c r="E479" s="152">
        <v>12</v>
      </c>
      <c r="F479" s="152">
        <v>516</v>
      </c>
      <c r="G479" s="152"/>
      <c r="H479" s="152">
        <f t="shared" si="21"/>
        <v>516</v>
      </c>
      <c r="I479" s="161"/>
      <c r="J479" s="161"/>
      <c r="K479" s="161"/>
      <c r="L479" s="161"/>
      <c r="M479" s="161"/>
    </row>
    <row r="480" spans="1:13" x14ac:dyDescent="0.25">
      <c r="A480" s="330"/>
      <c r="B480" s="311" t="s">
        <v>159</v>
      </c>
      <c r="C480" s="114" t="s">
        <v>50</v>
      </c>
      <c r="D480" s="105">
        <v>16.670745</v>
      </c>
      <c r="E480" s="152">
        <v>45</v>
      </c>
      <c r="F480" s="152">
        <v>2295</v>
      </c>
      <c r="G480" s="152">
        <f>90+45+12+45+20</f>
        <v>212</v>
      </c>
      <c r="H480" s="152">
        <f t="shared" si="21"/>
        <v>2083</v>
      </c>
      <c r="I480" s="161"/>
      <c r="J480" s="161"/>
      <c r="K480" s="161"/>
      <c r="L480" s="161"/>
      <c r="M480" s="161"/>
    </row>
    <row r="481" spans="1:13" x14ac:dyDescent="0.25">
      <c r="A481" s="330"/>
      <c r="B481" s="311"/>
      <c r="C481" s="114" t="s">
        <v>55</v>
      </c>
      <c r="D481" s="105">
        <v>20.375354999999999</v>
      </c>
      <c r="E481" s="152">
        <v>40</v>
      </c>
      <c r="F481" s="152">
        <v>2000</v>
      </c>
      <c r="G481" s="152">
        <f>10+40+80+40+40+20</f>
        <v>230</v>
      </c>
      <c r="H481" s="152">
        <f t="shared" si="21"/>
        <v>1770</v>
      </c>
      <c r="I481" s="161"/>
      <c r="J481" s="161"/>
      <c r="K481" s="161"/>
      <c r="L481" s="161"/>
      <c r="M481" s="161"/>
    </row>
    <row r="482" spans="1:13" x14ac:dyDescent="0.25">
      <c r="A482" s="330"/>
      <c r="B482" s="311"/>
      <c r="C482" s="114" t="s">
        <v>54</v>
      </c>
      <c r="D482" s="105">
        <v>23.462530000000001</v>
      </c>
      <c r="E482" s="152">
        <v>28</v>
      </c>
      <c r="F482" s="152">
        <v>1344</v>
      </c>
      <c r="G482" s="152">
        <f>10+28</f>
        <v>38</v>
      </c>
      <c r="H482" s="152">
        <f t="shared" si="21"/>
        <v>1306</v>
      </c>
      <c r="I482" s="161"/>
      <c r="J482" s="161"/>
      <c r="K482" s="161"/>
      <c r="L482" s="161"/>
      <c r="M482" s="161"/>
    </row>
    <row r="483" spans="1:13" x14ac:dyDescent="0.25">
      <c r="A483" s="330"/>
      <c r="B483" s="311"/>
      <c r="C483" s="114" t="s">
        <v>53</v>
      </c>
      <c r="D483" s="105">
        <v>43.22045</v>
      </c>
      <c r="E483" s="152">
        <v>24</v>
      </c>
      <c r="F483" s="152">
        <v>1032</v>
      </c>
      <c r="G483" s="152">
        <v>24</v>
      </c>
      <c r="H483" s="152">
        <f t="shared" si="21"/>
        <v>1008</v>
      </c>
      <c r="I483" s="161"/>
      <c r="J483" s="161"/>
      <c r="K483" s="161"/>
      <c r="L483" s="161"/>
      <c r="M483" s="161"/>
    </row>
    <row r="484" spans="1:13" x14ac:dyDescent="0.25">
      <c r="A484" s="330"/>
      <c r="B484" s="311"/>
      <c r="C484" s="114" t="s">
        <v>57</v>
      </c>
      <c r="D484" s="105">
        <v>58.656325000000002</v>
      </c>
      <c r="E484" s="152">
        <v>18</v>
      </c>
      <c r="F484" s="152">
        <v>774</v>
      </c>
      <c r="G484" s="152"/>
      <c r="H484" s="152">
        <f t="shared" si="21"/>
        <v>774</v>
      </c>
      <c r="I484" s="161"/>
      <c r="J484" s="161"/>
      <c r="K484" s="161"/>
      <c r="L484" s="161"/>
      <c r="M484" s="161"/>
    </row>
    <row r="485" spans="1:13" x14ac:dyDescent="0.25">
      <c r="A485" s="330"/>
      <c r="B485" s="311" t="s">
        <v>68</v>
      </c>
      <c r="C485" s="114" t="s">
        <v>55</v>
      </c>
      <c r="D485" s="105">
        <v>23.462530000000001</v>
      </c>
      <c r="E485" s="152">
        <v>28</v>
      </c>
      <c r="F485" s="152">
        <v>1540</v>
      </c>
      <c r="G485" s="152">
        <f>10+28</f>
        <v>38</v>
      </c>
      <c r="H485" s="152">
        <f t="shared" si="21"/>
        <v>1502</v>
      </c>
      <c r="I485" s="161"/>
      <c r="J485" s="161"/>
      <c r="K485" s="161"/>
      <c r="L485" s="161"/>
      <c r="M485" s="161"/>
    </row>
    <row r="486" spans="1:13" x14ac:dyDescent="0.25">
      <c r="A486" s="330"/>
      <c r="B486" s="311"/>
      <c r="C486" s="114" t="s">
        <v>53</v>
      </c>
      <c r="D486" s="105">
        <v>46.925060000000002</v>
      </c>
      <c r="E486" s="152">
        <v>18</v>
      </c>
      <c r="F486" s="152">
        <v>900</v>
      </c>
      <c r="G486" s="152"/>
      <c r="H486" s="152">
        <f t="shared" si="21"/>
        <v>900</v>
      </c>
      <c r="I486" s="161"/>
      <c r="J486" s="161"/>
      <c r="K486" s="161"/>
      <c r="L486" s="161"/>
      <c r="M486" s="161"/>
    </row>
    <row r="487" spans="1:13" x14ac:dyDescent="0.25">
      <c r="A487" s="330"/>
      <c r="B487" s="311" t="s">
        <v>163</v>
      </c>
      <c r="C487" s="114" t="s">
        <v>51</v>
      </c>
      <c r="D487" s="105">
        <v>18.523050000000001</v>
      </c>
      <c r="E487" s="152">
        <v>48</v>
      </c>
      <c r="F487" s="152">
        <v>2640</v>
      </c>
      <c r="G487" s="152">
        <v>96</v>
      </c>
      <c r="H487" s="152">
        <f t="shared" si="21"/>
        <v>2544</v>
      </c>
      <c r="I487" s="161"/>
      <c r="J487" s="161"/>
      <c r="K487" s="161"/>
      <c r="L487" s="161"/>
      <c r="M487" s="161"/>
    </row>
    <row r="488" spans="1:13" x14ac:dyDescent="0.25">
      <c r="A488" s="330"/>
      <c r="B488" s="311"/>
      <c r="C488" s="114" t="s">
        <v>30</v>
      </c>
      <c r="D488" s="105">
        <v>23.462530000000001</v>
      </c>
      <c r="E488" s="152">
        <v>28</v>
      </c>
      <c r="F488" s="152">
        <f>1400+140</f>
        <v>1540</v>
      </c>
      <c r="G488" s="152">
        <f>28+56+10</f>
        <v>94</v>
      </c>
      <c r="H488" s="152">
        <f t="shared" si="21"/>
        <v>1446</v>
      </c>
      <c r="I488" s="161"/>
      <c r="J488" s="161"/>
      <c r="K488" s="161"/>
      <c r="L488" s="161"/>
      <c r="M488" s="161"/>
    </row>
    <row r="489" spans="1:13" x14ac:dyDescent="0.25">
      <c r="A489" s="330"/>
      <c r="B489" s="311"/>
      <c r="C489" s="114" t="s">
        <v>29</v>
      </c>
      <c r="D489" s="105">
        <v>46.925060000000002</v>
      </c>
      <c r="E489" s="152">
        <v>24</v>
      </c>
      <c r="F489" s="152">
        <v>1152</v>
      </c>
      <c r="G489" s="152">
        <f>10+48</f>
        <v>58</v>
      </c>
      <c r="H489" s="152">
        <f t="shared" si="21"/>
        <v>1094</v>
      </c>
      <c r="I489" s="161"/>
      <c r="J489" s="161"/>
      <c r="K489" s="161"/>
      <c r="L489" s="161"/>
      <c r="M489" s="161"/>
    </row>
    <row r="490" spans="1:13" x14ac:dyDescent="0.25">
      <c r="A490" s="330"/>
      <c r="B490" s="311"/>
      <c r="C490" s="114" t="s">
        <v>121</v>
      </c>
      <c r="D490" s="105">
        <v>58.656325000000002</v>
      </c>
      <c r="E490" s="152">
        <v>15</v>
      </c>
      <c r="F490" s="152">
        <v>330</v>
      </c>
      <c r="G490" s="152"/>
      <c r="H490" s="152">
        <f t="shared" si="21"/>
        <v>330</v>
      </c>
      <c r="I490" s="161"/>
      <c r="J490" s="161"/>
      <c r="K490" s="161"/>
      <c r="L490" s="161"/>
      <c r="M490" s="161"/>
    </row>
    <row r="491" spans="1:13" x14ac:dyDescent="0.25">
      <c r="A491" s="330"/>
      <c r="B491" s="311" t="s">
        <v>164</v>
      </c>
      <c r="C491" s="114" t="s">
        <v>72</v>
      </c>
      <c r="D491" s="105">
        <v>16.670745</v>
      </c>
      <c r="E491" s="152">
        <v>72</v>
      </c>
      <c r="F491" s="152">
        <v>4680</v>
      </c>
      <c r="G491" s="152">
        <f>72+72+8</f>
        <v>152</v>
      </c>
      <c r="H491" s="152">
        <f t="shared" si="21"/>
        <v>4528</v>
      </c>
      <c r="I491" s="161"/>
      <c r="J491" s="161"/>
      <c r="K491" s="161"/>
      <c r="L491" s="161"/>
      <c r="M491" s="161"/>
    </row>
    <row r="492" spans="1:13" x14ac:dyDescent="0.25">
      <c r="A492" s="330"/>
      <c r="B492" s="311"/>
      <c r="C492" s="114" t="s">
        <v>73</v>
      </c>
      <c r="D492" s="105">
        <v>20.375354999999999</v>
      </c>
      <c r="E492" s="152">
        <v>48</v>
      </c>
      <c r="F492" s="152">
        <v>2832</v>
      </c>
      <c r="G492" s="152">
        <f>48+48</f>
        <v>96</v>
      </c>
      <c r="H492" s="152">
        <f t="shared" si="21"/>
        <v>2736</v>
      </c>
      <c r="I492" s="161"/>
      <c r="J492" s="161"/>
      <c r="K492" s="161"/>
      <c r="L492" s="161"/>
      <c r="M492" s="161"/>
    </row>
    <row r="493" spans="1:13" x14ac:dyDescent="0.25">
      <c r="A493" s="330"/>
      <c r="B493" s="311"/>
      <c r="C493" s="152" t="s">
        <v>48</v>
      </c>
      <c r="D493" s="105">
        <v>46.925060000000002</v>
      </c>
      <c r="E493" s="152">
        <v>24</v>
      </c>
      <c r="F493" s="152">
        <v>1272</v>
      </c>
      <c r="G493" s="152">
        <v>6</v>
      </c>
      <c r="H493" s="152">
        <f t="shared" si="21"/>
        <v>1266</v>
      </c>
      <c r="I493" s="161"/>
      <c r="J493" s="161"/>
      <c r="K493" s="161"/>
      <c r="L493" s="161"/>
      <c r="M493" s="161"/>
    </row>
    <row r="494" spans="1:13" x14ac:dyDescent="0.25">
      <c r="A494" s="330"/>
      <c r="B494" s="311"/>
      <c r="C494" s="114" t="s">
        <v>47</v>
      </c>
      <c r="D494" s="105">
        <v>58.656325000000002</v>
      </c>
      <c r="E494" s="152">
        <v>12</v>
      </c>
      <c r="F494" s="152">
        <v>576</v>
      </c>
      <c r="G494" s="152"/>
      <c r="H494" s="152">
        <f t="shared" si="21"/>
        <v>576</v>
      </c>
      <c r="I494" s="161"/>
      <c r="J494" s="161"/>
      <c r="K494" s="161"/>
      <c r="L494" s="161"/>
      <c r="M494" s="161"/>
    </row>
    <row r="495" spans="1:13" x14ac:dyDescent="0.25">
      <c r="A495" s="330"/>
      <c r="B495" s="311" t="s">
        <v>44</v>
      </c>
      <c r="C495" s="152" t="s">
        <v>40</v>
      </c>
      <c r="D495" s="105">
        <v>16.8</v>
      </c>
      <c r="E495" s="152">
        <v>42</v>
      </c>
      <c r="F495" s="152">
        <v>1932</v>
      </c>
      <c r="G495" s="152"/>
      <c r="H495" s="152">
        <f t="shared" si="21"/>
        <v>1932</v>
      </c>
      <c r="I495" s="161"/>
      <c r="J495" s="161"/>
      <c r="K495" s="161"/>
      <c r="L495" s="161"/>
      <c r="M495" s="161"/>
    </row>
    <row r="496" spans="1:13" x14ac:dyDescent="0.25">
      <c r="A496" s="330"/>
      <c r="B496" s="311"/>
      <c r="C496" s="152" t="s">
        <v>80</v>
      </c>
      <c r="D496" s="105">
        <v>28.35</v>
      </c>
      <c r="E496" s="152">
        <v>24</v>
      </c>
      <c r="F496" s="152">
        <v>1104</v>
      </c>
      <c r="G496" s="152"/>
      <c r="H496" s="152">
        <f t="shared" si="21"/>
        <v>1104</v>
      </c>
      <c r="I496" s="161"/>
      <c r="J496" s="161"/>
      <c r="K496" s="161"/>
      <c r="L496" s="161"/>
      <c r="M496" s="161"/>
    </row>
    <row r="497" spans="1:13" x14ac:dyDescent="0.25">
      <c r="A497" s="330"/>
      <c r="B497" s="311" t="s">
        <v>165</v>
      </c>
      <c r="C497" s="152" t="s">
        <v>71</v>
      </c>
      <c r="D497" s="105">
        <v>10.5</v>
      </c>
      <c r="E497" s="152">
        <v>84</v>
      </c>
      <c r="F497" s="152">
        <v>4032</v>
      </c>
      <c r="G497" s="152">
        <v>40</v>
      </c>
      <c r="H497" s="152">
        <f t="shared" si="21"/>
        <v>3992</v>
      </c>
      <c r="I497" s="161"/>
      <c r="J497" s="161"/>
      <c r="K497" s="161"/>
      <c r="L497" s="161"/>
      <c r="M497" s="161"/>
    </row>
    <row r="498" spans="1:13" x14ac:dyDescent="0.25">
      <c r="A498" s="330"/>
      <c r="B498" s="311"/>
      <c r="C498" s="114" t="s">
        <v>50</v>
      </c>
      <c r="D498" s="105">
        <v>20.375354999999999</v>
      </c>
      <c r="E498" s="152">
        <v>45</v>
      </c>
      <c r="F498" s="152">
        <v>2385</v>
      </c>
      <c r="G498" s="152"/>
      <c r="H498" s="152">
        <f t="shared" si="21"/>
        <v>2385</v>
      </c>
      <c r="I498" s="161"/>
      <c r="J498" s="161"/>
      <c r="K498" s="161"/>
      <c r="L498" s="161"/>
      <c r="M498" s="161"/>
    </row>
    <row r="499" spans="1:13" x14ac:dyDescent="0.25">
      <c r="A499" s="330"/>
      <c r="B499" s="311"/>
      <c r="C499" s="114" t="s">
        <v>55</v>
      </c>
      <c r="D499" s="105">
        <v>23.462530000000001</v>
      </c>
      <c r="E499" s="152">
        <v>40</v>
      </c>
      <c r="F499" s="152">
        <v>1920</v>
      </c>
      <c r="G499" s="152"/>
      <c r="H499" s="152">
        <f t="shared" si="21"/>
        <v>1920</v>
      </c>
      <c r="I499" s="161"/>
      <c r="J499" s="161"/>
      <c r="K499" s="161"/>
      <c r="L499" s="161"/>
      <c r="M499" s="161"/>
    </row>
    <row r="500" spans="1:13" x14ac:dyDescent="0.25">
      <c r="A500" s="330"/>
      <c r="B500" s="311" t="s">
        <v>35</v>
      </c>
      <c r="C500" s="114" t="s">
        <v>27</v>
      </c>
      <c r="D500" s="105">
        <v>46.925060000000002</v>
      </c>
      <c r="E500" s="152">
        <v>24</v>
      </c>
      <c r="F500" s="152">
        <v>1320</v>
      </c>
      <c r="G500" s="152"/>
      <c r="H500" s="152">
        <f t="shared" si="21"/>
        <v>1320</v>
      </c>
      <c r="I500" s="161"/>
      <c r="J500" s="161"/>
      <c r="K500" s="161"/>
      <c r="L500" s="161"/>
      <c r="M500" s="161"/>
    </row>
    <row r="501" spans="1:13" x14ac:dyDescent="0.25">
      <c r="A501" s="330"/>
      <c r="B501" s="311"/>
      <c r="C501" s="114" t="s">
        <v>157</v>
      </c>
      <c r="D501" s="105">
        <v>58.656325000000002</v>
      </c>
      <c r="E501" s="152">
        <v>12</v>
      </c>
      <c r="F501" s="152">
        <v>504</v>
      </c>
      <c r="G501" s="152"/>
      <c r="H501" s="152">
        <f t="shared" si="21"/>
        <v>504</v>
      </c>
      <c r="I501" s="161"/>
      <c r="J501" s="161"/>
      <c r="K501" s="161"/>
      <c r="L501" s="161"/>
      <c r="M501" s="161"/>
    </row>
    <row r="502" spans="1:13" ht="15.75" thickBot="1" x14ac:dyDescent="0.3">
      <c r="A502" s="331"/>
      <c r="B502" s="126" t="s">
        <v>158</v>
      </c>
      <c r="C502" s="116" t="s">
        <v>27</v>
      </c>
      <c r="D502" s="107">
        <v>46.925060000000002</v>
      </c>
      <c r="E502" s="126">
        <v>24</v>
      </c>
      <c r="F502" s="126">
        <v>1272</v>
      </c>
      <c r="G502" s="126"/>
      <c r="H502" s="152">
        <f t="shared" si="21"/>
        <v>1272</v>
      </c>
      <c r="I502" s="161"/>
      <c r="J502" s="161"/>
      <c r="K502" s="161"/>
      <c r="L502" s="161"/>
      <c r="M502" s="161"/>
    </row>
    <row r="503" spans="1:13" ht="15.75" thickTop="1" x14ac:dyDescent="0.25">
      <c r="A503" s="329" t="s">
        <v>82</v>
      </c>
      <c r="B503" s="310" t="s">
        <v>161</v>
      </c>
      <c r="C503" s="112" t="s">
        <v>72</v>
      </c>
      <c r="D503" s="108">
        <v>16.670745</v>
      </c>
      <c r="E503" s="151">
        <v>72</v>
      </c>
      <c r="F503" s="151">
        <v>2304</v>
      </c>
      <c r="G503" s="151"/>
      <c r="H503" s="151">
        <f>F503-G503</f>
        <v>2304</v>
      </c>
      <c r="I503" s="161"/>
      <c r="J503" s="161"/>
      <c r="K503" s="161"/>
      <c r="L503" s="161"/>
      <c r="M503" s="161"/>
    </row>
    <row r="504" spans="1:13" x14ac:dyDescent="0.25">
      <c r="A504" s="330"/>
      <c r="B504" s="311"/>
      <c r="C504" s="114" t="s">
        <v>30</v>
      </c>
      <c r="D504" s="105">
        <v>20.375354999999999</v>
      </c>
      <c r="E504" s="152">
        <v>36</v>
      </c>
      <c r="F504" s="152">
        <v>1152</v>
      </c>
      <c r="G504" s="152"/>
      <c r="H504" s="152">
        <f>F504-G504</f>
        <v>1152</v>
      </c>
      <c r="I504" s="161"/>
      <c r="J504" s="161"/>
      <c r="K504" s="161"/>
      <c r="L504" s="161"/>
      <c r="M504" s="161"/>
    </row>
    <row r="505" spans="1:13" x14ac:dyDescent="0.25">
      <c r="A505" s="330"/>
      <c r="B505" s="311"/>
      <c r="C505" s="114" t="s">
        <v>66</v>
      </c>
      <c r="D505" s="105">
        <v>23.462530000000001</v>
      </c>
      <c r="E505" s="152">
        <v>24</v>
      </c>
      <c r="F505" s="152">
        <v>1296</v>
      </c>
      <c r="G505" s="152">
        <f>24+24</f>
        <v>48</v>
      </c>
      <c r="H505" s="152">
        <f t="shared" ref="H505:H534" si="22">F505-G505</f>
        <v>1248</v>
      </c>
      <c r="I505" s="161"/>
      <c r="J505" s="161"/>
      <c r="K505" s="161"/>
      <c r="L505" s="161"/>
      <c r="M505" s="161"/>
    </row>
    <row r="506" spans="1:13" x14ac:dyDescent="0.25">
      <c r="A506" s="330"/>
      <c r="B506" s="311"/>
      <c r="C506" s="114" t="s">
        <v>69</v>
      </c>
      <c r="D506" s="105">
        <v>46.925060000000002</v>
      </c>
      <c r="E506" s="152">
        <v>24</v>
      </c>
      <c r="F506" s="152">
        <v>864</v>
      </c>
      <c r="G506" s="152">
        <v>24</v>
      </c>
      <c r="H506" s="152">
        <f t="shared" si="22"/>
        <v>840</v>
      </c>
      <c r="I506" s="161"/>
      <c r="J506" s="161"/>
      <c r="K506" s="161"/>
      <c r="L506" s="161"/>
      <c r="M506" s="161"/>
    </row>
    <row r="507" spans="1:13" x14ac:dyDescent="0.25">
      <c r="A507" s="330"/>
      <c r="B507" s="311"/>
      <c r="C507" s="114" t="s">
        <v>67</v>
      </c>
      <c r="D507" s="105">
        <v>58.656325000000002</v>
      </c>
      <c r="E507" s="152">
        <v>12</v>
      </c>
      <c r="F507" s="152">
        <v>300</v>
      </c>
      <c r="G507" s="152"/>
      <c r="H507" s="152">
        <f t="shared" si="22"/>
        <v>300</v>
      </c>
      <c r="I507" s="161"/>
      <c r="J507" s="161"/>
      <c r="K507" s="161"/>
      <c r="L507" s="161"/>
      <c r="M507" s="161"/>
    </row>
    <row r="508" spans="1:13" x14ac:dyDescent="0.25">
      <c r="A508" s="330"/>
      <c r="B508" s="311" t="s">
        <v>162</v>
      </c>
      <c r="C508" s="114" t="s">
        <v>74</v>
      </c>
      <c r="D508" s="105">
        <v>20.375354999999999</v>
      </c>
      <c r="E508" s="152">
        <v>63</v>
      </c>
      <c r="F508" s="152">
        <v>3654</v>
      </c>
      <c r="G508" s="152"/>
      <c r="H508" s="152">
        <f t="shared" si="22"/>
        <v>3654</v>
      </c>
      <c r="I508" s="161"/>
      <c r="J508" s="161"/>
      <c r="K508" s="161"/>
      <c r="L508" s="161"/>
      <c r="M508" s="161"/>
    </row>
    <row r="509" spans="1:13" x14ac:dyDescent="0.25">
      <c r="A509" s="330"/>
      <c r="B509" s="311"/>
      <c r="C509" s="114" t="s">
        <v>59</v>
      </c>
      <c r="D509" s="105">
        <v>23.462530000000001</v>
      </c>
      <c r="E509" s="152">
        <v>36</v>
      </c>
      <c r="F509" s="152">
        <v>1908</v>
      </c>
      <c r="G509" s="152">
        <v>36</v>
      </c>
      <c r="H509" s="152">
        <f t="shared" si="22"/>
        <v>1872</v>
      </c>
      <c r="I509" s="161"/>
      <c r="J509" s="161"/>
      <c r="K509" s="161"/>
      <c r="L509" s="161"/>
      <c r="M509" s="161"/>
    </row>
    <row r="510" spans="1:13" x14ac:dyDescent="0.25">
      <c r="A510" s="330"/>
      <c r="B510" s="311"/>
      <c r="C510" s="114" t="s">
        <v>69</v>
      </c>
      <c r="D510" s="105">
        <v>46.925060000000002</v>
      </c>
      <c r="E510" s="152">
        <v>24</v>
      </c>
      <c r="F510" s="152">
        <v>1152</v>
      </c>
      <c r="G510" s="152"/>
      <c r="H510" s="152">
        <f t="shared" si="22"/>
        <v>1152</v>
      </c>
      <c r="I510" s="161"/>
      <c r="J510" s="161"/>
      <c r="K510" s="161"/>
      <c r="L510" s="161"/>
      <c r="M510" s="161"/>
    </row>
    <row r="511" spans="1:13" x14ac:dyDescent="0.25">
      <c r="A511" s="330"/>
      <c r="B511" s="311"/>
      <c r="C511" s="114" t="s">
        <v>150</v>
      </c>
      <c r="D511" s="105">
        <v>58.656325000000002</v>
      </c>
      <c r="E511" s="152">
        <v>12</v>
      </c>
      <c r="F511" s="152">
        <v>540</v>
      </c>
      <c r="G511" s="152"/>
      <c r="H511" s="152">
        <f t="shared" si="22"/>
        <v>540</v>
      </c>
      <c r="I511" s="161"/>
      <c r="J511" s="161"/>
      <c r="K511" s="161"/>
      <c r="L511" s="161"/>
      <c r="M511" s="161"/>
    </row>
    <row r="512" spans="1:13" x14ac:dyDescent="0.25">
      <c r="A512" s="330"/>
      <c r="B512" s="311" t="s">
        <v>159</v>
      </c>
      <c r="C512" s="114" t="s">
        <v>50</v>
      </c>
      <c r="D512" s="105">
        <v>16.670745</v>
      </c>
      <c r="E512" s="152">
        <v>45</v>
      </c>
      <c r="F512" s="152">
        <v>2305</v>
      </c>
      <c r="G512" s="152"/>
      <c r="H512" s="152">
        <f t="shared" si="22"/>
        <v>2305</v>
      </c>
      <c r="I512" s="161"/>
      <c r="J512" s="161"/>
      <c r="K512" s="161"/>
      <c r="L512" s="161"/>
      <c r="M512" s="161"/>
    </row>
    <row r="513" spans="1:13" x14ac:dyDescent="0.25">
      <c r="A513" s="330"/>
      <c r="B513" s="311"/>
      <c r="C513" s="114" t="s">
        <v>55</v>
      </c>
      <c r="D513" s="105">
        <v>20.375354999999999</v>
      </c>
      <c r="E513" s="152">
        <v>40</v>
      </c>
      <c r="F513" s="152">
        <v>1920</v>
      </c>
      <c r="G513" s="152"/>
      <c r="H513" s="152">
        <f t="shared" si="22"/>
        <v>1920</v>
      </c>
      <c r="I513" s="161"/>
      <c r="J513" s="161"/>
      <c r="K513" s="161"/>
      <c r="L513" s="161"/>
      <c r="M513" s="161"/>
    </row>
    <row r="514" spans="1:13" x14ac:dyDescent="0.25">
      <c r="A514" s="330"/>
      <c r="B514" s="311"/>
      <c r="C514" s="114" t="s">
        <v>54</v>
      </c>
      <c r="D514" s="105">
        <v>23.462530000000001</v>
      </c>
      <c r="E514" s="152">
        <v>28</v>
      </c>
      <c r="F514" s="152">
        <v>1344</v>
      </c>
      <c r="G514" s="152"/>
      <c r="H514" s="152">
        <f t="shared" si="22"/>
        <v>1344</v>
      </c>
      <c r="I514" s="161"/>
      <c r="J514" s="161"/>
      <c r="K514" s="161"/>
      <c r="L514" s="161"/>
      <c r="M514" s="161"/>
    </row>
    <row r="515" spans="1:13" x14ac:dyDescent="0.25">
      <c r="A515" s="330"/>
      <c r="B515" s="311"/>
      <c r="C515" s="114" t="s">
        <v>53</v>
      </c>
      <c r="D515" s="105">
        <v>43.22045</v>
      </c>
      <c r="E515" s="152">
        <v>24</v>
      </c>
      <c r="F515" s="152">
        <v>1032</v>
      </c>
      <c r="G515" s="152"/>
      <c r="H515" s="152">
        <f t="shared" si="22"/>
        <v>1032</v>
      </c>
      <c r="I515" s="161"/>
      <c r="J515" s="161"/>
      <c r="K515" s="161"/>
      <c r="L515" s="161"/>
      <c r="M515" s="161"/>
    </row>
    <row r="516" spans="1:13" x14ac:dyDescent="0.25">
      <c r="A516" s="330"/>
      <c r="B516" s="311"/>
      <c r="C516" s="114" t="s">
        <v>57</v>
      </c>
      <c r="D516" s="105">
        <v>58.656325000000002</v>
      </c>
      <c r="E516" s="152">
        <v>18</v>
      </c>
      <c r="F516" s="152">
        <v>774</v>
      </c>
      <c r="G516" s="152"/>
      <c r="H516" s="152">
        <f t="shared" si="22"/>
        <v>774</v>
      </c>
      <c r="I516" s="161"/>
      <c r="J516" s="161"/>
      <c r="K516" s="161"/>
      <c r="L516" s="161"/>
      <c r="M516" s="161"/>
    </row>
    <row r="517" spans="1:13" x14ac:dyDescent="0.25">
      <c r="A517" s="330"/>
      <c r="B517" s="311" t="s">
        <v>68</v>
      </c>
      <c r="C517" s="114" t="s">
        <v>55</v>
      </c>
      <c r="D517" s="105">
        <v>23.462530000000001</v>
      </c>
      <c r="E517" s="152">
        <v>28</v>
      </c>
      <c r="F517" s="152">
        <v>1540</v>
      </c>
      <c r="G517" s="152"/>
      <c r="H517" s="152">
        <f t="shared" si="22"/>
        <v>1540</v>
      </c>
      <c r="I517" s="161"/>
      <c r="J517" s="161"/>
      <c r="K517" s="161"/>
      <c r="L517" s="161"/>
      <c r="M517" s="161"/>
    </row>
    <row r="518" spans="1:13" x14ac:dyDescent="0.25">
      <c r="A518" s="330"/>
      <c r="B518" s="311"/>
      <c r="C518" s="114" t="s">
        <v>53</v>
      </c>
      <c r="D518" s="105">
        <v>46.925060000000002</v>
      </c>
      <c r="E518" s="152">
        <v>18</v>
      </c>
      <c r="F518" s="152">
        <v>900</v>
      </c>
      <c r="G518" s="152"/>
      <c r="H518" s="152">
        <f t="shared" si="22"/>
        <v>900</v>
      </c>
      <c r="I518" s="161"/>
      <c r="J518" s="161"/>
      <c r="K518" s="161"/>
      <c r="L518" s="161"/>
      <c r="M518" s="161"/>
    </row>
    <row r="519" spans="1:13" x14ac:dyDescent="0.25">
      <c r="A519" s="330"/>
      <c r="B519" s="314" t="s">
        <v>163</v>
      </c>
      <c r="C519" s="114" t="s">
        <v>51</v>
      </c>
      <c r="D519" s="105">
        <v>18.523050000000001</v>
      </c>
      <c r="E519" s="152">
        <v>48</v>
      </c>
      <c r="F519" s="152">
        <f>2832-336</f>
        <v>2496</v>
      </c>
      <c r="G519" s="152"/>
      <c r="H519" s="152">
        <f t="shared" si="22"/>
        <v>2496</v>
      </c>
      <c r="I519" s="161"/>
      <c r="J519" s="161"/>
      <c r="K519" s="161"/>
      <c r="L519" s="161"/>
      <c r="M519" s="161"/>
    </row>
    <row r="520" spans="1:13" x14ac:dyDescent="0.25">
      <c r="A520" s="330"/>
      <c r="B520" s="314"/>
      <c r="C520" s="114" t="s">
        <v>30</v>
      </c>
      <c r="D520" s="105">
        <v>23.462530000000001</v>
      </c>
      <c r="E520" s="152">
        <v>28</v>
      </c>
      <c r="F520" s="152">
        <v>1372</v>
      </c>
      <c r="G520" s="152">
        <f>28+28</f>
        <v>56</v>
      </c>
      <c r="H520" s="152">
        <f t="shared" si="22"/>
        <v>1316</v>
      </c>
      <c r="I520" s="161"/>
      <c r="J520" s="161"/>
      <c r="K520" s="161"/>
      <c r="L520" s="161"/>
      <c r="M520" s="161"/>
    </row>
    <row r="521" spans="1:13" x14ac:dyDescent="0.25">
      <c r="A521" s="330"/>
      <c r="B521" s="314"/>
      <c r="C521" s="114" t="s">
        <v>29</v>
      </c>
      <c r="D521" s="105">
        <v>46.925060000000002</v>
      </c>
      <c r="E521" s="152">
        <v>24</v>
      </c>
      <c r="F521" s="152">
        <f>768+11</f>
        <v>779</v>
      </c>
      <c r="G521" s="152"/>
      <c r="H521" s="152">
        <f t="shared" si="22"/>
        <v>779</v>
      </c>
      <c r="I521" s="161"/>
      <c r="J521" s="161"/>
      <c r="K521" s="161"/>
      <c r="L521" s="161"/>
      <c r="M521" s="161"/>
    </row>
    <row r="522" spans="1:13" x14ac:dyDescent="0.25">
      <c r="A522" s="330"/>
      <c r="B522" s="314"/>
      <c r="C522" s="114" t="s">
        <v>121</v>
      </c>
      <c r="D522" s="105">
        <v>58.656325000000002</v>
      </c>
      <c r="E522" s="152">
        <v>15</v>
      </c>
      <c r="F522" s="152">
        <v>675</v>
      </c>
      <c r="G522" s="152"/>
      <c r="H522" s="152">
        <f t="shared" si="22"/>
        <v>675</v>
      </c>
      <c r="I522" s="161"/>
      <c r="J522" s="161"/>
      <c r="K522" s="161"/>
      <c r="L522" s="161"/>
      <c r="M522" s="161"/>
    </row>
    <row r="523" spans="1:13" x14ac:dyDescent="0.25">
      <c r="A523" s="330"/>
      <c r="B523" s="311" t="s">
        <v>164</v>
      </c>
      <c r="C523" s="114" t="s">
        <v>72</v>
      </c>
      <c r="D523" s="105">
        <v>16.670745</v>
      </c>
      <c r="E523" s="152">
        <v>72</v>
      </c>
      <c r="F523" s="152">
        <v>4680</v>
      </c>
      <c r="G523" s="152"/>
      <c r="H523" s="152">
        <f t="shared" si="22"/>
        <v>4680</v>
      </c>
      <c r="I523" s="161"/>
      <c r="J523" s="161"/>
      <c r="K523" s="161"/>
      <c r="L523" s="161"/>
      <c r="M523" s="161"/>
    </row>
    <row r="524" spans="1:13" x14ac:dyDescent="0.25">
      <c r="A524" s="330"/>
      <c r="B524" s="311"/>
      <c r="C524" s="114" t="s">
        <v>73</v>
      </c>
      <c r="D524" s="105">
        <v>20.375354999999999</v>
      </c>
      <c r="E524" s="152">
        <v>48</v>
      </c>
      <c r="F524" s="152">
        <v>2448</v>
      </c>
      <c r="G524" s="152"/>
      <c r="H524" s="152">
        <f t="shared" si="22"/>
        <v>2448</v>
      </c>
      <c r="I524" s="161"/>
      <c r="J524" s="161"/>
      <c r="K524" s="161"/>
      <c r="L524" s="161"/>
      <c r="M524" s="161"/>
    </row>
    <row r="525" spans="1:13" x14ac:dyDescent="0.25">
      <c r="A525" s="330"/>
      <c r="B525" s="311"/>
      <c r="C525" s="152" t="s">
        <v>48</v>
      </c>
      <c r="D525" s="105">
        <v>46.925060000000002</v>
      </c>
      <c r="E525" s="152">
        <v>24</v>
      </c>
      <c r="F525" s="152">
        <v>1200</v>
      </c>
      <c r="G525" s="152"/>
      <c r="H525" s="152">
        <f t="shared" si="22"/>
        <v>1200</v>
      </c>
      <c r="I525" s="161"/>
      <c r="J525" s="161"/>
      <c r="K525" s="161"/>
      <c r="L525" s="161"/>
      <c r="M525" s="161"/>
    </row>
    <row r="526" spans="1:13" x14ac:dyDescent="0.25">
      <c r="A526" s="330"/>
      <c r="B526" s="320"/>
      <c r="C526" s="118" t="s">
        <v>47</v>
      </c>
      <c r="D526" s="106">
        <v>58.656325000000002</v>
      </c>
      <c r="E526" s="154">
        <v>12</v>
      </c>
      <c r="F526" s="154">
        <v>576</v>
      </c>
      <c r="G526" s="154"/>
      <c r="H526" s="152">
        <f t="shared" si="22"/>
        <v>576</v>
      </c>
      <c r="I526" s="161"/>
      <c r="J526" s="161"/>
      <c r="K526" s="161"/>
      <c r="L526" s="161"/>
      <c r="M526" s="161"/>
    </row>
    <row r="527" spans="1:13" x14ac:dyDescent="0.25">
      <c r="A527" s="330"/>
      <c r="B527" s="311" t="s">
        <v>44</v>
      </c>
      <c r="C527" s="152" t="s">
        <v>40</v>
      </c>
      <c r="D527" s="105">
        <v>16.8</v>
      </c>
      <c r="E527" s="152">
        <v>42</v>
      </c>
      <c r="F527" s="152">
        <v>1932</v>
      </c>
      <c r="G527" s="152"/>
      <c r="H527" s="152">
        <f t="shared" si="22"/>
        <v>1932</v>
      </c>
      <c r="I527" s="161"/>
      <c r="J527" s="161"/>
      <c r="K527" s="161"/>
      <c r="L527" s="161"/>
      <c r="M527" s="161"/>
    </row>
    <row r="528" spans="1:13" x14ac:dyDescent="0.25">
      <c r="A528" s="330"/>
      <c r="B528" s="311"/>
      <c r="C528" s="152" t="s">
        <v>80</v>
      </c>
      <c r="D528" s="105">
        <v>28.35</v>
      </c>
      <c r="E528" s="152">
        <v>24</v>
      </c>
      <c r="F528" s="152">
        <v>1104</v>
      </c>
      <c r="G528" s="152"/>
      <c r="H528" s="152">
        <f t="shared" si="22"/>
        <v>1104</v>
      </c>
      <c r="I528" s="161"/>
      <c r="J528" s="161"/>
      <c r="K528" s="161"/>
      <c r="L528" s="161"/>
      <c r="M528" s="161"/>
    </row>
    <row r="529" spans="1:13" x14ac:dyDescent="0.25">
      <c r="A529" s="330"/>
      <c r="B529" s="320" t="s">
        <v>165</v>
      </c>
      <c r="C529" s="152" t="s">
        <v>71</v>
      </c>
      <c r="D529" s="105">
        <v>10.5</v>
      </c>
      <c r="E529" s="152">
        <v>84</v>
      </c>
      <c r="F529" s="154">
        <v>4032</v>
      </c>
      <c r="G529" s="154">
        <v>84</v>
      </c>
      <c r="H529" s="152">
        <f t="shared" si="22"/>
        <v>3948</v>
      </c>
      <c r="I529" s="161"/>
      <c r="J529" s="161"/>
      <c r="K529" s="161"/>
      <c r="L529" s="161"/>
      <c r="M529" s="161"/>
    </row>
    <row r="530" spans="1:13" x14ac:dyDescent="0.25">
      <c r="A530" s="330"/>
      <c r="B530" s="305"/>
      <c r="C530" s="123" t="s">
        <v>50</v>
      </c>
      <c r="D530" s="109">
        <v>20.375354999999999</v>
      </c>
      <c r="E530" s="153">
        <v>45</v>
      </c>
      <c r="F530" s="152">
        <v>2475</v>
      </c>
      <c r="G530" s="152"/>
      <c r="H530" s="152">
        <f t="shared" si="22"/>
        <v>2475</v>
      </c>
      <c r="I530" s="161"/>
      <c r="J530" s="161"/>
      <c r="K530" s="161"/>
      <c r="L530" s="161"/>
      <c r="M530" s="161"/>
    </row>
    <row r="531" spans="1:13" x14ac:dyDescent="0.25">
      <c r="A531" s="330"/>
      <c r="B531" s="319"/>
      <c r="C531" s="114" t="s">
        <v>55</v>
      </c>
      <c r="D531" s="105">
        <v>23.462530000000001</v>
      </c>
      <c r="E531" s="152">
        <v>40</v>
      </c>
      <c r="F531" s="152">
        <v>1840</v>
      </c>
      <c r="G531" s="152"/>
      <c r="H531" s="152">
        <f t="shared" si="22"/>
        <v>1840</v>
      </c>
      <c r="I531" s="161"/>
      <c r="J531" s="161"/>
      <c r="K531" s="161"/>
      <c r="L531" s="161"/>
      <c r="M531" s="161"/>
    </row>
    <row r="532" spans="1:13" x14ac:dyDescent="0.25">
      <c r="A532" s="330"/>
      <c r="B532" s="311" t="s">
        <v>35</v>
      </c>
      <c r="C532" s="114" t="s">
        <v>27</v>
      </c>
      <c r="D532" s="105">
        <v>46.925060000000002</v>
      </c>
      <c r="E532" s="152">
        <v>24</v>
      </c>
      <c r="F532" s="152">
        <v>1320</v>
      </c>
      <c r="G532" s="152"/>
      <c r="H532" s="152">
        <f t="shared" si="22"/>
        <v>1320</v>
      </c>
      <c r="I532" s="161"/>
      <c r="J532" s="161"/>
      <c r="K532" s="161"/>
      <c r="L532" s="161"/>
      <c r="M532" s="161"/>
    </row>
    <row r="533" spans="1:13" x14ac:dyDescent="0.25">
      <c r="A533" s="330"/>
      <c r="B533" s="311"/>
      <c r="C533" s="114" t="s">
        <v>157</v>
      </c>
      <c r="D533" s="105">
        <v>58.656325000000002</v>
      </c>
      <c r="E533" s="152">
        <v>12</v>
      </c>
      <c r="F533" s="152">
        <v>504</v>
      </c>
      <c r="G533" s="152"/>
      <c r="H533" s="152">
        <f t="shared" si="22"/>
        <v>504</v>
      </c>
      <c r="I533" s="161"/>
      <c r="J533" s="161"/>
      <c r="K533" s="161"/>
      <c r="L533" s="161"/>
      <c r="M533" s="161"/>
    </row>
    <row r="534" spans="1:13" ht="15.75" thickBot="1" x14ac:dyDescent="0.3">
      <c r="A534" s="331"/>
      <c r="B534" s="126" t="s">
        <v>158</v>
      </c>
      <c r="C534" s="116" t="s">
        <v>27</v>
      </c>
      <c r="D534" s="107">
        <v>46.925060000000002</v>
      </c>
      <c r="E534" s="126">
        <v>24</v>
      </c>
      <c r="F534" s="126">
        <v>1248</v>
      </c>
      <c r="G534" s="126"/>
      <c r="H534" s="152">
        <f t="shared" si="22"/>
        <v>1248</v>
      </c>
      <c r="I534" s="161"/>
      <c r="J534" s="161"/>
      <c r="K534" s="161"/>
      <c r="L534" s="161"/>
      <c r="M534" s="161"/>
    </row>
    <row r="535" spans="1:13" ht="15.75" thickTop="1" x14ac:dyDescent="0.25">
      <c r="A535" s="329" t="s">
        <v>83</v>
      </c>
      <c r="B535" s="310" t="s">
        <v>161</v>
      </c>
      <c r="C535" s="112" t="s">
        <v>72</v>
      </c>
      <c r="D535" s="108">
        <v>16.670745</v>
      </c>
      <c r="E535" s="151">
        <v>72</v>
      </c>
      <c r="F535" s="112">
        <v>2880</v>
      </c>
      <c r="G535" s="151"/>
      <c r="H535" s="151">
        <f>F535-G535</f>
        <v>2880</v>
      </c>
      <c r="I535" s="161"/>
      <c r="J535" s="161"/>
      <c r="K535" s="161"/>
      <c r="L535" s="161"/>
      <c r="M535" s="161"/>
    </row>
    <row r="536" spans="1:13" x14ac:dyDescent="0.25">
      <c r="A536" s="330"/>
      <c r="B536" s="311"/>
      <c r="C536" s="114" t="s">
        <v>30</v>
      </c>
      <c r="D536" s="105">
        <v>20.375354999999999</v>
      </c>
      <c r="E536" s="152">
        <v>36</v>
      </c>
      <c r="F536" s="114">
        <v>1152</v>
      </c>
      <c r="G536" s="152"/>
      <c r="H536" s="152">
        <f>F536-G536</f>
        <v>1152</v>
      </c>
      <c r="I536" s="161"/>
      <c r="J536" s="161"/>
      <c r="K536" s="161"/>
      <c r="L536" s="161"/>
      <c r="M536" s="161"/>
    </row>
    <row r="537" spans="1:13" x14ac:dyDescent="0.25">
      <c r="A537" s="330"/>
      <c r="B537" s="311"/>
      <c r="C537" s="114" t="s">
        <v>66</v>
      </c>
      <c r="D537" s="105">
        <v>23.462530000000001</v>
      </c>
      <c r="E537" s="152">
        <v>24</v>
      </c>
      <c r="F537" s="114">
        <v>864</v>
      </c>
      <c r="G537" s="152"/>
      <c r="H537" s="152">
        <f t="shared" ref="H537:H565" si="23">F537-G537</f>
        <v>864</v>
      </c>
      <c r="I537" s="161"/>
      <c r="J537" s="161"/>
      <c r="K537" s="161"/>
      <c r="L537" s="161"/>
      <c r="M537" s="161"/>
    </row>
    <row r="538" spans="1:13" x14ac:dyDescent="0.25">
      <c r="A538" s="330"/>
      <c r="B538" s="311"/>
      <c r="C538" s="114" t="s">
        <v>69</v>
      </c>
      <c r="D538" s="105">
        <v>46.925060000000002</v>
      </c>
      <c r="E538" s="152">
        <v>24</v>
      </c>
      <c r="F538" s="114">
        <v>864</v>
      </c>
      <c r="G538" s="152"/>
      <c r="H538" s="152">
        <f t="shared" si="23"/>
        <v>864</v>
      </c>
      <c r="I538" s="161"/>
      <c r="J538" s="161"/>
      <c r="K538" s="161"/>
      <c r="L538" s="161"/>
      <c r="M538" s="161"/>
    </row>
    <row r="539" spans="1:13" x14ac:dyDescent="0.25">
      <c r="A539" s="330"/>
      <c r="B539" s="311"/>
      <c r="C539" s="114" t="s">
        <v>67</v>
      </c>
      <c r="D539" s="105">
        <v>58.656325000000002</v>
      </c>
      <c r="E539" s="152">
        <v>12</v>
      </c>
      <c r="F539" s="114">
        <f>240+120</f>
        <v>360</v>
      </c>
      <c r="G539" s="152"/>
      <c r="H539" s="152">
        <f t="shared" si="23"/>
        <v>360</v>
      </c>
      <c r="I539" s="161"/>
      <c r="J539" s="161"/>
      <c r="K539" s="161"/>
      <c r="L539" s="161"/>
      <c r="M539" s="161"/>
    </row>
    <row r="540" spans="1:13" x14ac:dyDescent="0.25">
      <c r="A540" s="330"/>
      <c r="B540" s="311" t="s">
        <v>162</v>
      </c>
      <c r="C540" s="114" t="s">
        <v>74</v>
      </c>
      <c r="D540" s="105">
        <v>20.375354999999999</v>
      </c>
      <c r="E540" s="152">
        <v>63</v>
      </c>
      <c r="F540" s="152">
        <v>3654</v>
      </c>
      <c r="G540" s="152"/>
      <c r="H540" s="152">
        <f t="shared" si="23"/>
        <v>3654</v>
      </c>
      <c r="I540" s="161"/>
      <c r="J540" s="161"/>
      <c r="K540" s="161"/>
      <c r="L540" s="161"/>
      <c r="M540" s="161"/>
    </row>
    <row r="541" spans="1:13" x14ac:dyDescent="0.25">
      <c r="A541" s="330"/>
      <c r="B541" s="311"/>
      <c r="C541" s="114" t="s">
        <v>59</v>
      </c>
      <c r="D541" s="105">
        <v>23.462530000000001</v>
      </c>
      <c r="E541" s="152">
        <v>36</v>
      </c>
      <c r="F541" s="152">
        <v>1908</v>
      </c>
      <c r="G541" s="152"/>
      <c r="H541" s="152">
        <f t="shared" si="23"/>
        <v>1908</v>
      </c>
      <c r="I541" s="161"/>
      <c r="J541" s="161"/>
      <c r="K541" s="161"/>
      <c r="L541" s="161"/>
      <c r="M541" s="161"/>
    </row>
    <row r="542" spans="1:13" x14ac:dyDescent="0.25">
      <c r="A542" s="330"/>
      <c r="B542" s="311"/>
      <c r="C542" s="114" t="s">
        <v>69</v>
      </c>
      <c r="D542" s="105">
        <v>46.925060000000002</v>
      </c>
      <c r="E542" s="152">
        <v>24</v>
      </c>
      <c r="F542" s="152">
        <f>48+1152</f>
        <v>1200</v>
      </c>
      <c r="G542" s="152"/>
      <c r="H542" s="152">
        <f t="shared" si="23"/>
        <v>1200</v>
      </c>
      <c r="I542" s="161"/>
      <c r="J542" s="161"/>
      <c r="K542" s="161"/>
      <c r="L542" s="161"/>
      <c r="M542" s="161"/>
    </row>
    <row r="543" spans="1:13" x14ac:dyDescent="0.25">
      <c r="A543" s="330"/>
      <c r="B543" s="311"/>
      <c r="C543" s="118" t="s">
        <v>150</v>
      </c>
      <c r="D543" s="106">
        <v>58.656325000000002</v>
      </c>
      <c r="E543" s="154">
        <v>12</v>
      </c>
      <c r="F543" s="154">
        <v>540</v>
      </c>
      <c r="G543" s="154"/>
      <c r="H543" s="152">
        <f t="shared" si="23"/>
        <v>540</v>
      </c>
      <c r="I543" s="161"/>
      <c r="J543" s="161"/>
      <c r="K543" s="161"/>
      <c r="L543" s="161"/>
      <c r="M543" s="161"/>
    </row>
    <row r="544" spans="1:13" x14ac:dyDescent="0.25">
      <c r="A544" s="330"/>
      <c r="B544" s="320" t="s">
        <v>159</v>
      </c>
      <c r="C544" s="152" t="s">
        <v>50</v>
      </c>
      <c r="D544" s="105">
        <v>10.5</v>
      </c>
      <c r="E544" s="152">
        <v>45</v>
      </c>
      <c r="F544" s="152">
        <v>4095</v>
      </c>
      <c r="G544" s="152"/>
      <c r="H544" s="152">
        <f t="shared" si="23"/>
        <v>4095</v>
      </c>
      <c r="I544" s="161"/>
      <c r="J544" s="161"/>
      <c r="K544" s="161"/>
      <c r="L544" s="161"/>
      <c r="M544" s="161"/>
    </row>
    <row r="545" spans="1:13" x14ac:dyDescent="0.25">
      <c r="A545" s="330"/>
      <c r="B545" s="305"/>
      <c r="C545" s="114" t="s">
        <v>55</v>
      </c>
      <c r="D545" s="105">
        <v>20.375354999999999</v>
      </c>
      <c r="E545" s="152">
        <v>40</v>
      </c>
      <c r="F545" s="152">
        <f>1920+17</f>
        <v>1937</v>
      </c>
      <c r="G545" s="152"/>
      <c r="H545" s="152">
        <f t="shared" si="23"/>
        <v>1937</v>
      </c>
      <c r="I545" s="161"/>
      <c r="J545" s="161"/>
      <c r="K545" s="161"/>
      <c r="L545" s="161"/>
      <c r="M545" s="161"/>
    </row>
    <row r="546" spans="1:13" x14ac:dyDescent="0.25">
      <c r="A546" s="330"/>
      <c r="B546" s="305"/>
      <c r="C546" s="114" t="s">
        <v>54</v>
      </c>
      <c r="D546" s="105">
        <v>23.462530000000001</v>
      </c>
      <c r="E546" s="152">
        <v>28</v>
      </c>
      <c r="F546" s="152">
        <v>1344</v>
      </c>
      <c r="G546" s="152"/>
      <c r="H546" s="152">
        <f t="shared" si="23"/>
        <v>1344</v>
      </c>
      <c r="I546" s="161"/>
      <c r="J546" s="161"/>
      <c r="K546" s="161"/>
      <c r="L546" s="161"/>
      <c r="M546" s="161"/>
    </row>
    <row r="547" spans="1:13" x14ac:dyDescent="0.25">
      <c r="A547" s="330"/>
      <c r="B547" s="305"/>
      <c r="C547" s="114" t="s">
        <v>53</v>
      </c>
      <c r="D547" s="105">
        <v>43.22045</v>
      </c>
      <c r="E547" s="152">
        <v>24</v>
      </c>
      <c r="F547" s="152">
        <v>1032</v>
      </c>
      <c r="G547" s="152"/>
      <c r="H547" s="152">
        <f t="shared" si="23"/>
        <v>1032</v>
      </c>
      <c r="I547" s="161"/>
      <c r="J547" s="161"/>
      <c r="K547" s="161"/>
      <c r="L547" s="161"/>
      <c r="M547" s="161"/>
    </row>
    <row r="548" spans="1:13" x14ac:dyDescent="0.25">
      <c r="A548" s="330"/>
      <c r="B548" s="319"/>
      <c r="C548" s="114" t="s">
        <v>57</v>
      </c>
      <c r="D548" s="105">
        <v>58.656325000000002</v>
      </c>
      <c r="E548" s="152">
        <v>18</v>
      </c>
      <c r="F548" s="152">
        <v>774</v>
      </c>
      <c r="G548" s="152"/>
      <c r="H548" s="152">
        <f t="shared" si="23"/>
        <v>774</v>
      </c>
      <c r="I548" s="161"/>
      <c r="J548" s="161"/>
      <c r="K548" s="161"/>
      <c r="L548" s="161"/>
      <c r="M548" s="161"/>
    </row>
    <row r="549" spans="1:13" x14ac:dyDescent="0.25">
      <c r="A549" s="330"/>
      <c r="B549" s="311" t="s">
        <v>68</v>
      </c>
      <c r="C549" s="152" t="s">
        <v>55</v>
      </c>
      <c r="D549" s="105">
        <v>23.462530000000001</v>
      </c>
      <c r="E549" s="152">
        <v>28</v>
      </c>
      <c r="F549" s="152">
        <v>1540</v>
      </c>
      <c r="G549" s="152"/>
      <c r="H549" s="152">
        <f t="shared" si="23"/>
        <v>1540</v>
      </c>
      <c r="I549" s="161"/>
      <c r="J549" s="161"/>
      <c r="K549" s="161"/>
      <c r="L549" s="161"/>
      <c r="M549" s="161"/>
    </row>
    <row r="550" spans="1:13" x14ac:dyDescent="0.25">
      <c r="A550" s="330"/>
      <c r="B550" s="311"/>
      <c r="C550" s="114" t="s">
        <v>53</v>
      </c>
      <c r="D550" s="105">
        <v>46.925060000000002</v>
      </c>
      <c r="E550" s="152">
        <v>18</v>
      </c>
      <c r="F550" s="152">
        <v>900</v>
      </c>
      <c r="G550" s="152"/>
      <c r="H550" s="152">
        <f t="shared" si="23"/>
        <v>900</v>
      </c>
      <c r="I550" s="161"/>
      <c r="J550" s="161"/>
      <c r="K550" s="161"/>
      <c r="L550" s="161"/>
      <c r="M550" s="161"/>
    </row>
    <row r="551" spans="1:13" x14ac:dyDescent="0.25">
      <c r="A551" s="330"/>
      <c r="B551" s="314" t="s">
        <v>163</v>
      </c>
      <c r="C551" s="114" t="s">
        <v>51</v>
      </c>
      <c r="D551" s="105">
        <v>18.523050000000001</v>
      </c>
      <c r="E551" s="152">
        <v>48</v>
      </c>
      <c r="F551" s="152">
        <v>2640</v>
      </c>
      <c r="G551" s="152"/>
      <c r="H551" s="152">
        <f t="shared" si="23"/>
        <v>2640</v>
      </c>
      <c r="I551" s="161"/>
      <c r="J551" s="161"/>
      <c r="K551" s="161"/>
      <c r="L551" s="161"/>
      <c r="M551" s="161"/>
    </row>
    <row r="552" spans="1:13" x14ac:dyDescent="0.25">
      <c r="A552" s="330"/>
      <c r="B552" s="314"/>
      <c r="C552" s="114" t="s">
        <v>30</v>
      </c>
      <c r="D552" s="105">
        <v>23.462530000000001</v>
      </c>
      <c r="E552" s="152">
        <v>28</v>
      </c>
      <c r="F552" s="152">
        <v>1400</v>
      </c>
      <c r="G552" s="152"/>
      <c r="H552" s="152">
        <f t="shared" si="23"/>
        <v>1400</v>
      </c>
      <c r="I552" s="161"/>
      <c r="J552" s="161"/>
      <c r="K552" s="161"/>
      <c r="L552" s="161"/>
      <c r="M552" s="161"/>
    </row>
    <row r="553" spans="1:13" x14ac:dyDescent="0.25">
      <c r="A553" s="330"/>
      <c r="B553" s="314"/>
      <c r="C553" s="114" t="s">
        <v>29</v>
      </c>
      <c r="D553" s="105">
        <v>46.925060000000002</v>
      </c>
      <c r="E553" s="152">
        <v>24</v>
      </c>
      <c r="F553" s="152">
        <v>1152</v>
      </c>
      <c r="G553" s="152"/>
      <c r="H553" s="152">
        <f t="shared" si="23"/>
        <v>1152</v>
      </c>
      <c r="I553" s="161"/>
      <c r="J553" s="161"/>
      <c r="K553" s="161"/>
      <c r="L553" s="161"/>
      <c r="M553" s="161"/>
    </row>
    <row r="554" spans="1:13" x14ac:dyDescent="0.25">
      <c r="A554" s="330"/>
      <c r="B554" s="314"/>
      <c r="C554" s="114" t="s">
        <v>121</v>
      </c>
      <c r="D554" s="105">
        <v>58.656325000000002</v>
      </c>
      <c r="E554" s="152">
        <v>15</v>
      </c>
      <c r="F554" s="152">
        <f>360+480</f>
        <v>840</v>
      </c>
      <c r="G554" s="152"/>
      <c r="H554" s="152">
        <f t="shared" si="23"/>
        <v>840</v>
      </c>
      <c r="I554" s="161"/>
      <c r="J554" s="161"/>
      <c r="K554" s="161"/>
      <c r="L554" s="161"/>
      <c r="M554" s="161"/>
    </row>
    <row r="555" spans="1:13" x14ac:dyDescent="0.25">
      <c r="A555" s="330"/>
      <c r="B555" s="311" t="s">
        <v>164</v>
      </c>
      <c r="C555" s="114" t="s">
        <v>72</v>
      </c>
      <c r="D555" s="105">
        <v>16.670745</v>
      </c>
      <c r="E555" s="152">
        <v>72</v>
      </c>
      <c r="F555" s="152">
        <v>4680</v>
      </c>
      <c r="G555" s="152"/>
      <c r="H555" s="152">
        <f t="shared" si="23"/>
        <v>4680</v>
      </c>
      <c r="I555" s="161"/>
      <c r="J555" s="161"/>
      <c r="K555" s="161"/>
      <c r="L555" s="161"/>
      <c r="M555" s="161"/>
    </row>
    <row r="556" spans="1:13" x14ac:dyDescent="0.25">
      <c r="A556" s="330"/>
      <c r="B556" s="311"/>
      <c r="C556" s="114" t="s">
        <v>73</v>
      </c>
      <c r="D556" s="105">
        <v>20.375354999999999</v>
      </c>
      <c r="E556" s="152">
        <v>48</v>
      </c>
      <c r="F556" s="152">
        <v>2544</v>
      </c>
      <c r="G556" s="152"/>
      <c r="H556" s="152">
        <f t="shared" si="23"/>
        <v>2544</v>
      </c>
      <c r="I556" s="161"/>
      <c r="J556" s="161"/>
      <c r="K556" s="161"/>
      <c r="L556" s="161"/>
      <c r="M556" s="161"/>
    </row>
    <row r="557" spans="1:13" x14ac:dyDescent="0.25">
      <c r="A557" s="330"/>
      <c r="B557" s="311"/>
      <c r="C557" s="152" t="s">
        <v>48</v>
      </c>
      <c r="D557" s="105">
        <v>46.925060000000002</v>
      </c>
      <c r="E557" s="152">
        <v>24</v>
      </c>
      <c r="F557" s="152">
        <v>1152</v>
      </c>
      <c r="G557" s="152"/>
      <c r="H557" s="152">
        <f t="shared" si="23"/>
        <v>1152</v>
      </c>
      <c r="I557" s="161"/>
      <c r="J557" s="161"/>
      <c r="K557" s="161"/>
      <c r="L557" s="161"/>
      <c r="M557" s="161"/>
    </row>
    <row r="558" spans="1:13" x14ac:dyDescent="0.25">
      <c r="A558" s="330"/>
      <c r="B558" s="311"/>
      <c r="C558" s="114" t="s">
        <v>47</v>
      </c>
      <c r="D558" s="105">
        <v>58.656325000000002</v>
      </c>
      <c r="E558" s="152">
        <v>12</v>
      </c>
      <c r="F558" s="152">
        <v>576</v>
      </c>
      <c r="G558" s="152"/>
      <c r="H558" s="152">
        <f t="shared" si="23"/>
        <v>576</v>
      </c>
      <c r="I558" s="161"/>
      <c r="J558" s="161"/>
      <c r="K558" s="161"/>
      <c r="L558" s="161"/>
      <c r="M558" s="161"/>
    </row>
    <row r="559" spans="1:13" x14ac:dyDescent="0.25">
      <c r="A559" s="330"/>
      <c r="B559" s="311" t="s">
        <v>44</v>
      </c>
      <c r="C559" s="152" t="s">
        <v>40</v>
      </c>
      <c r="D559" s="105">
        <v>16.8</v>
      </c>
      <c r="E559" s="152">
        <v>42</v>
      </c>
      <c r="F559" s="152">
        <v>1932</v>
      </c>
      <c r="G559" s="152"/>
      <c r="H559" s="152">
        <f t="shared" si="23"/>
        <v>1932</v>
      </c>
      <c r="I559" s="161"/>
      <c r="J559" s="161"/>
      <c r="K559" s="161"/>
      <c r="L559" s="161"/>
      <c r="M559" s="161"/>
    </row>
    <row r="560" spans="1:13" x14ac:dyDescent="0.25">
      <c r="A560" s="330"/>
      <c r="B560" s="311"/>
      <c r="C560" s="152" t="s">
        <v>80</v>
      </c>
      <c r="D560" s="105">
        <v>28.35</v>
      </c>
      <c r="E560" s="152">
        <v>24</v>
      </c>
      <c r="F560" s="152">
        <v>1104</v>
      </c>
      <c r="G560" s="152"/>
      <c r="H560" s="152">
        <f t="shared" si="23"/>
        <v>1104</v>
      </c>
      <c r="I560" s="161"/>
      <c r="J560" s="161"/>
      <c r="K560" s="161"/>
      <c r="L560" s="161"/>
      <c r="M560" s="161"/>
    </row>
    <row r="561" spans="1:13" x14ac:dyDescent="0.25">
      <c r="A561" s="330"/>
      <c r="B561" s="320" t="s">
        <v>165</v>
      </c>
      <c r="C561" s="152" t="s">
        <v>71</v>
      </c>
      <c r="D561" s="105">
        <v>10.5</v>
      </c>
      <c r="E561" s="152">
        <v>84</v>
      </c>
      <c r="F561" s="152">
        <v>4032</v>
      </c>
      <c r="G561" s="152"/>
      <c r="H561" s="152">
        <f t="shared" si="23"/>
        <v>4032</v>
      </c>
      <c r="I561" s="161"/>
      <c r="J561" s="161"/>
      <c r="K561" s="161"/>
      <c r="L561" s="161"/>
      <c r="M561" s="161"/>
    </row>
    <row r="562" spans="1:13" x14ac:dyDescent="0.25">
      <c r="A562" s="330"/>
      <c r="B562" s="319"/>
      <c r="C562" s="123" t="s">
        <v>55</v>
      </c>
      <c r="D562" s="109">
        <v>23.462530000000001</v>
      </c>
      <c r="E562" s="153">
        <v>40</v>
      </c>
      <c r="F562" s="153">
        <v>1920</v>
      </c>
      <c r="G562" s="153"/>
      <c r="H562" s="152">
        <f t="shared" si="23"/>
        <v>1920</v>
      </c>
      <c r="I562" s="161"/>
      <c r="J562" s="161"/>
      <c r="K562" s="161"/>
      <c r="L562" s="161"/>
      <c r="M562" s="161"/>
    </row>
    <row r="563" spans="1:13" x14ac:dyDescent="0.25">
      <c r="A563" s="330"/>
      <c r="B563" s="311" t="s">
        <v>35</v>
      </c>
      <c r="C563" s="114" t="s">
        <v>27</v>
      </c>
      <c r="D563" s="105">
        <v>46.925060000000002</v>
      </c>
      <c r="E563" s="152">
        <v>24</v>
      </c>
      <c r="F563" s="152">
        <v>1272</v>
      </c>
      <c r="G563" s="152"/>
      <c r="H563" s="152">
        <f t="shared" si="23"/>
        <v>1272</v>
      </c>
      <c r="I563" s="161"/>
      <c r="J563" s="161"/>
      <c r="K563" s="161"/>
      <c r="L563" s="161"/>
      <c r="M563" s="161"/>
    </row>
    <row r="564" spans="1:13" x14ac:dyDescent="0.25">
      <c r="A564" s="330"/>
      <c r="B564" s="311"/>
      <c r="C564" s="114" t="s">
        <v>157</v>
      </c>
      <c r="D564" s="105">
        <v>58.656325000000002</v>
      </c>
      <c r="E564" s="152">
        <v>12</v>
      </c>
      <c r="F564" s="152">
        <v>504</v>
      </c>
      <c r="G564" s="152"/>
      <c r="H564" s="152">
        <f t="shared" si="23"/>
        <v>504</v>
      </c>
      <c r="I564" s="161"/>
      <c r="J564" s="161"/>
      <c r="K564" s="161"/>
      <c r="L564" s="161"/>
      <c r="M564" s="161"/>
    </row>
    <row r="565" spans="1:13" ht="15.75" thickBot="1" x14ac:dyDescent="0.3">
      <c r="A565" s="331"/>
      <c r="B565" s="126" t="s">
        <v>158</v>
      </c>
      <c r="C565" s="116" t="s">
        <v>27</v>
      </c>
      <c r="D565" s="107">
        <v>46.925060000000002</v>
      </c>
      <c r="E565" s="126">
        <v>24</v>
      </c>
      <c r="F565" s="126">
        <v>1272</v>
      </c>
      <c r="G565" s="126"/>
      <c r="H565" s="152">
        <f t="shared" si="23"/>
        <v>1272</v>
      </c>
      <c r="I565" s="161"/>
      <c r="J565" s="161"/>
      <c r="K565" s="161"/>
      <c r="L565" s="161"/>
      <c r="M565" s="161"/>
    </row>
    <row r="566" spans="1:13" ht="15.75" thickTop="1" x14ac:dyDescent="0.25">
      <c r="A566" s="329" t="s">
        <v>84</v>
      </c>
      <c r="B566" s="310" t="s">
        <v>161</v>
      </c>
      <c r="C566" s="112" t="s">
        <v>72</v>
      </c>
      <c r="D566" s="108">
        <v>16.670745</v>
      </c>
      <c r="E566" s="151">
        <v>72</v>
      </c>
      <c r="F566" s="151">
        <v>3456</v>
      </c>
      <c r="G566" s="151"/>
      <c r="H566" s="151">
        <f>F566-G566</f>
        <v>3456</v>
      </c>
      <c r="I566" s="161"/>
      <c r="J566" s="161"/>
      <c r="K566" s="161"/>
      <c r="L566" s="161"/>
      <c r="M566" s="161"/>
    </row>
    <row r="567" spans="1:13" x14ac:dyDescent="0.25">
      <c r="A567" s="330"/>
      <c r="B567" s="311"/>
      <c r="C567" s="114" t="s">
        <v>30</v>
      </c>
      <c r="D567" s="105">
        <v>20.375354999999999</v>
      </c>
      <c r="E567" s="152">
        <v>36</v>
      </c>
      <c r="F567" s="152">
        <v>1152</v>
      </c>
      <c r="G567" s="152"/>
      <c r="H567" s="152">
        <f>F567-G567</f>
        <v>1152</v>
      </c>
      <c r="I567" s="161"/>
      <c r="J567" s="161"/>
      <c r="K567" s="161"/>
      <c r="L567" s="161"/>
      <c r="M567" s="161"/>
    </row>
    <row r="568" spans="1:13" x14ac:dyDescent="0.25">
      <c r="A568" s="330"/>
      <c r="B568" s="311"/>
      <c r="C568" s="114" t="s">
        <v>69</v>
      </c>
      <c r="D568" s="105">
        <v>46.925060000000002</v>
      </c>
      <c r="E568" s="152">
        <v>24</v>
      </c>
      <c r="F568" s="152">
        <v>1008</v>
      </c>
      <c r="G568" s="152"/>
      <c r="H568" s="152">
        <f t="shared" ref="H568:H595" si="24">F568-G568</f>
        <v>1008</v>
      </c>
      <c r="I568" s="161"/>
      <c r="J568" s="161"/>
      <c r="K568" s="161"/>
      <c r="L568" s="161"/>
      <c r="M568" s="161"/>
    </row>
    <row r="569" spans="1:13" x14ac:dyDescent="0.25">
      <c r="A569" s="330"/>
      <c r="B569" s="311"/>
      <c r="C569" s="114" t="s">
        <v>67</v>
      </c>
      <c r="D569" s="105">
        <v>58.656325000000002</v>
      </c>
      <c r="E569" s="152">
        <v>12</v>
      </c>
      <c r="F569" s="152">
        <v>420</v>
      </c>
      <c r="G569" s="152"/>
      <c r="H569" s="152">
        <f t="shared" si="24"/>
        <v>420</v>
      </c>
      <c r="I569" s="161"/>
      <c r="J569" s="161"/>
      <c r="K569" s="161"/>
      <c r="L569" s="161"/>
      <c r="M569" s="161"/>
    </row>
    <row r="570" spans="1:13" x14ac:dyDescent="0.25">
      <c r="A570" s="330"/>
      <c r="B570" s="311" t="s">
        <v>162</v>
      </c>
      <c r="C570" s="114" t="s">
        <v>74</v>
      </c>
      <c r="D570" s="105">
        <v>20.375354999999999</v>
      </c>
      <c r="E570" s="152">
        <v>63</v>
      </c>
      <c r="F570" s="152">
        <v>3654</v>
      </c>
      <c r="G570" s="152"/>
      <c r="H570" s="152">
        <f t="shared" si="24"/>
        <v>3654</v>
      </c>
      <c r="I570" s="161"/>
      <c r="J570" s="161"/>
      <c r="K570" s="161"/>
      <c r="L570" s="161"/>
      <c r="M570" s="161"/>
    </row>
    <row r="571" spans="1:13" x14ac:dyDescent="0.25">
      <c r="A571" s="330"/>
      <c r="B571" s="311"/>
      <c r="C571" s="114" t="s">
        <v>59</v>
      </c>
      <c r="D571" s="105">
        <v>23.462530000000001</v>
      </c>
      <c r="E571" s="152">
        <v>36</v>
      </c>
      <c r="F571" s="152">
        <v>1908</v>
      </c>
      <c r="G571" s="152">
        <v>10</v>
      </c>
      <c r="H571" s="152">
        <f t="shared" si="24"/>
        <v>1898</v>
      </c>
      <c r="I571" s="161"/>
      <c r="J571" s="161"/>
      <c r="K571" s="161"/>
      <c r="L571" s="161"/>
      <c r="M571" s="161"/>
    </row>
    <row r="572" spans="1:13" x14ac:dyDescent="0.25">
      <c r="A572" s="330"/>
      <c r="B572" s="311"/>
      <c r="C572" s="114" t="s">
        <v>69</v>
      </c>
      <c r="D572" s="105">
        <v>46.925060000000002</v>
      </c>
      <c r="E572" s="152">
        <v>24</v>
      </c>
      <c r="F572" s="152">
        <v>1152</v>
      </c>
      <c r="G572" s="152"/>
      <c r="H572" s="152">
        <f t="shared" si="24"/>
        <v>1152</v>
      </c>
      <c r="I572" s="161"/>
      <c r="J572" s="161"/>
      <c r="K572" s="161"/>
      <c r="L572" s="161"/>
      <c r="M572" s="161"/>
    </row>
    <row r="573" spans="1:13" x14ac:dyDescent="0.25">
      <c r="A573" s="330"/>
      <c r="B573" s="311"/>
      <c r="C573" s="114" t="s">
        <v>150</v>
      </c>
      <c r="D573" s="105">
        <v>58.656325000000002</v>
      </c>
      <c r="E573" s="152">
        <v>12</v>
      </c>
      <c r="F573" s="152">
        <v>516</v>
      </c>
      <c r="G573" s="152"/>
      <c r="H573" s="152">
        <f t="shared" si="24"/>
        <v>516</v>
      </c>
      <c r="I573" s="161"/>
      <c r="J573" s="161"/>
      <c r="K573" s="161"/>
      <c r="L573" s="161"/>
      <c r="M573" s="161"/>
    </row>
    <row r="574" spans="1:13" x14ac:dyDescent="0.25">
      <c r="A574" s="330"/>
      <c r="B574" s="311" t="s">
        <v>159</v>
      </c>
      <c r="C574" s="114" t="s">
        <v>50</v>
      </c>
      <c r="D574" s="105">
        <v>16.670745</v>
      </c>
      <c r="E574" s="152">
        <v>45</v>
      </c>
      <c r="F574" s="152">
        <v>2295</v>
      </c>
      <c r="G574" s="152">
        <f>45+90</f>
        <v>135</v>
      </c>
      <c r="H574" s="152">
        <f t="shared" si="24"/>
        <v>2160</v>
      </c>
      <c r="I574" s="161"/>
      <c r="J574" s="161"/>
      <c r="K574" s="161"/>
      <c r="L574" s="161"/>
      <c r="M574" s="161"/>
    </row>
    <row r="575" spans="1:13" x14ac:dyDescent="0.25">
      <c r="A575" s="330"/>
      <c r="B575" s="311"/>
      <c r="C575" s="114" t="s">
        <v>55</v>
      </c>
      <c r="D575" s="105">
        <v>20.375354999999999</v>
      </c>
      <c r="E575" s="152">
        <v>40</v>
      </c>
      <c r="F575" s="152">
        <f>1920+29</f>
        <v>1949</v>
      </c>
      <c r="G575" s="152">
        <v>80</v>
      </c>
      <c r="H575" s="152">
        <f t="shared" si="24"/>
        <v>1869</v>
      </c>
      <c r="I575" s="161"/>
      <c r="J575" s="161"/>
      <c r="K575" s="161"/>
      <c r="L575" s="161"/>
      <c r="M575" s="161"/>
    </row>
    <row r="576" spans="1:13" x14ac:dyDescent="0.25">
      <c r="A576" s="330"/>
      <c r="B576" s="311"/>
      <c r="C576" s="114" t="s">
        <v>54</v>
      </c>
      <c r="D576" s="105">
        <v>23.462530000000001</v>
      </c>
      <c r="E576" s="152">
        <v>28</v>
      </c>
      <c r="F576" s="152">
        <v>1344</v>
      </c>
      <c r="G576" s="152"/>
      <c r="H576" s="152">
        <f t="shared" si="24"/>
        <v>1344</v>
      </c>
      <c r="I576" s="161"/>
      <c r="J576" s="161"/>
      <c r="K576" s="161"/>
      <c r="L576" s="161"/>
      <c r="M576" s="161"/>
    </row>
    <row r="577" spans="1:13" x14ac:dyDescent="0.25">
      <c r="A577" s="330"/>
      <c r="B577" s="311"/>
      <c r="C577" s="114" t="s">
        <v>53</v>
      </c>
      <c r="D577" s="105">
        <v>43.22045</v>
      </c>
      <c r="E577" s="152">
        <v>24</v>
      </c>
      <c r="F577" s="152">
        <v>1080</v>
      </c>
      <c r="G577" s="152"/>
      <c r="H577" s="152">
        <f t="shared" si="24"/>
        <v>1080</v>
      </c>
      <c r="I577" s="161"/>
      <c r="J577" s="161"/>
      <c r="K577" s="161"/>
      <c r="L577" s="161"/>
      <c r="M577" s="161"/>
    </row>
    <row r="578" spans="1:13" x14ac:dyDescent="0.25">
      <c r="A578" s="330"/>
      <c r="B578" s="311"/>
      <c r="C578" s="114" t="s">
        <v>57</v>
      </c>
      <c r="D578" s="105">
        <v>58.656325000000002</v>
      </c>
      <c r="E578" s="152">
        <v>18</v>
      </c>
      <c r="F578" s="152">
        <v>810</v>
      </c>
      <c r="G578" s="152"/>
      <c r="H578" s="152">
        <f t="shared" si="24"/>
        <v>810</v>
      </c>
      <c r="I578" s="161"/>
      <c r="J578" s="161"/>
      <c r="K578" s="161"/>
      <c r="L578" s="161"/>
      <c r="M578" s="161"/>
    </row>
    <row r="579" spans="1:13" x14ac:dyDescent="0.25">
      <c r="A579" s="330"/>
      <c r="B579" s="152" t="s">
        <v>68</v>
      </c>
      <c r="C579" s="114" t="s">
        <v>53</v>
      </c>
      <c r="D579" s="105">
        <v>46.925060000000002</v>
      </c>
      <c r="E579" s="152">
        <v>18</v>
      </c>
      <c r="F579" s="152">
        <v>900</v>
      </c>
      <c r="G579" s="152">
        <v>10</v>
      </c>
      <c r="H579" s="152">
        <f t="shared" si="24"/>
        <v>890</v>
      </c>
      <c r="I579" s="161"/>
      <c r="J579" s="161"/>
      <c r="K579" s="161"/>
      <c r="L579" s="161"/>
      <c r="M579" s="161"/>
    </row>
    <row r="580" spans="1:13" x14ac:dyDescent="0.25">
      <c r="A580" s="330"/>
      <c r="B580" s="314" t="s">
        <v>163</v>
      </c>
      <c r="C580" s="114" t="s">
        <v>51</v>
      </c>
      <c r="D580" s="105">
        <v>18.523050000000001</v>
      </c>
      <c r="E580" s="152">
        <v>48</v>
      </c>
      <c r="F580" s="152">
        <v>2640</v>
      </c>
      <c r="G580" s="152"/>
      <c r="H580" s="152">
        <f t="shared" si="24"/>
        <v>2640</v>
      </c>
      <c r="I580" s="161"/>
      <c r="J580" s="161"/>
      <c r="K580" s="161"/>
      <c r="L580" s="161"/>
      <c r="M580" s="161"/>
    </row>
    <row r="581" spans="1:13" x14ac:dyDescent="0.25">
      <c r="A581" s="330"/>
      <c r="B581" s="314"/>
      <c r="C581" s="114" t="s">
        <v>30</v>
      </c>
      <c r="D581" s="105">
        <v>23.462530000000001</v>
      </c>
      <c r="E581" s="152">
        <v>28</v>
      </c>
      <c r="F581" s="152">
        <v>1484</v>
      </c>
      <c r="G581" s="152">
        <v>56</v>
      </c>
      <c r="H581" s="152">
        <f t="shared" si="24"/>
        <v>1428</v>
      </c>
      <c r="I581" s="161"/>
      <c r="J581" s="161"/>
      <c r="K581" s="161"/>
      <c r="L581" s="161"/>
      <c r="M581" s="161"/>
    </row>
    <row r="582" spans="1:13" x14ac:dyDescent="0.25">
      <c r="A582" s="330"/>
      <c r="B582" s="314"/>
      <c r="C582" s="114" t="s">
        <v>29</v>
      </c>
      <c r="D582" s="105">
        <v>46.925060000000002</v>
      </c>
      <c r="E582" s="152">
        <v>24</v>
      </c>
      <c r="F582" s="152">
        <v>1152</v>
      </c>
      <c r="G582" s="152">
        <f>10+48</f>
        <v>58</v>
      </c>
      <c r="H582" s="152">
        <f t="shared" si="24"/>
        <v>1094</v>
      </c>
      <c r="I582" s="161"/>
      <c r="J582" s="161"/>
      <c r="K582" s="161"/>
      <c r="L582" s="161"/>
      <c r="M582" s="161"/>
    </row>
    <row r="583" spans="1:13" x14ac:dyDescent="0.25">
      <c r="A583" s="330"/>
      <c r="B583" s="314"/>
      <c r="C583" s="114" t="s">
        <v>121</v>
      </c>
      <c r="D583" s="105">
        <v>58.656325000000002</v>
      </c>
      <c r="E583" s="152">
        <v>15</v>
      </c>
      <c r="F583" s="152">
        <v>645</v>
      </c>
      <c r="G583" s="152"/>
      <c r="H583" s="152">
        <f t="shared" si="24"/>
        <v>645</v>
      </c>
      <c r="I583" s="161"/>
      <c r="J583" s="161"/>
      <c r="K583" s="161"/>
      <c r="L583" s="161"/>
      <c r="M583" s="161"/>
    </row>
    <row r="584" spans="1:13" x14ac:dyDescent="0.25">
      <c r="A584" s="330"/>
      <c r="B584" s="311" t="s">
        <v>164</v>
      </c>
      <c r="C584" s="114" t="s">
        <v>72</v>
      </c>
      <c r="D584" s="105">
        <v>16.670745</v>
      </c>
      <c r="E584" s="152">
        <v>72</v>
      </c>
      <c r="F584" s="152">
        <v>4680</v>
      </c>
      <c r="G584" s="152">
        <v>72</v>
      </c>
      <c r="H584" s="152">
        <f t="shared" si="24"/>
        <v>4608</v>
      </c>
      <c r="I584" s="161"/>
      <c r="J584" s="161"/>
      <c r="K584" s="161"/>
      <c r="L584" s="161"/>
      <c r="M584" s="161"/>
    </row>
    <row r="585" spans="1:13" x14ac:dyDescent="0.25">
      <c r="A585" s="330"/>
      <c r="B585" s="311"/>
      <c r="C585" s="114" t="s">
        <v>73</v>
      </c>
      <c r="D585" s="105">
        <v>20.375354999999999</v>
      </c>
      <c r="E585" s="152">
        <v>48</v>
      </c>
      <c r="F585" s="152">
        <v>2496</v>
      </c>
      <c r="G585" s="152">
        <v>48</v>
      </c>
      <c r="H585" s="152">
        <f t="shared" si="24"/>
        <v>2448</v>
      </c>
      <c r="I585" s="161"/>
      <c r="J585" s="161"/>
      <c r="K585" s="161"/>
      <c r="L585" s="161"/>
      <c r="M585" s="161"/>
    </row>
    <row r="586" spans="1:13" x14ac:dyDescent="0.25">
      <c r="A586" s="330"/>
      <c r="B586" s="311"/>
      <c r="C586" s="152" t="s">
        <v>48</v>
      </c>
      <c r="D586" s="105">
        <v>46.925060000000002</v>
      </c>
      <c r="E586" s="152">
        <v>24</v>
      </c>
      <c r="F586" s="152">
        <v>1272</v>
      </c>
      <c r="G586" s="152">
        <v>10</v>
      </c>
      <c r="H586" s="152">
        <f t="shared" si="24"/>
        <v>1262</v>
      </c>
      <c r="I586" s="161"/>
      <c r="J586" s="161"/>
      <c r="K586" s="161"/>
      <c r="L586" s="161"/>
      <c r="M586" s="161"/>
    </row>
    <row r="587" spans="1:13" x14ac:dyDescent="0.25">
      <c r="A587" s="330"/>
      <c r="B587" s="320"/>
      <c r="C587" s="118" t="s">
        <v>47</v>
      </c>
      <c r="D587" s="106">
        <v>58.656325000000002</v>
      </c>
      <c r="E587" s="154">
        <v>12</v>
      </c>
      <c r="F587" s="154">
        <v>576</v>
      </c>
      <c r="G587" s="154"/>
      <c r="H587" s="152">
        <f t="shared" si="24"/>
        <v>576</v>
      </c>
      <c r="I587" s="161"/>
      <c r="J587" s="161"/>
      <c r="K587" s="161"/>
      <c r="L587" s="161"/>
      <c r="M587" s="161"/>
    </row>
    <row r="588" spans="1:13" x14ac:dyDescent="0.25">
      <c r="A588" s="330"/>
      <c r="B588" s="311" t="s">
        <v>44</v>
      </c>
      <c r="C588" s="152" t="s">
        <v>40</v>
      </c>
      <c r="D588" s="105">
        <v>16.8</v>
      </c>
      <c r="E588" s="152">
        <v>42</v>
      </c>
      <c r="F588" s="152">
        <v>1932</v>
      </c>
      <c r="G588" s="152"/>
      <c r="H588" s="152">
        <f t="shared" si="24"/>
        <v>1932</v>
      </c>
      <c r="I588" s="161"/>
      <c r="J588" s="161"/>
      <c r="K588" s="161"/>
      <c r="L588" s="161"/>
      <c r="M588" s="161"/>
    </row>
    <row r="589" spans="1:13" x14ac:dyDescent="0.25">
      <c r="A589" s="330"/>
      <c r="B589" s="311"/>
      <c r="C589" s="152" t="s">
        <v>80</v>
      </c>
      <c r="D589" s="105">
        <v>28.35</v>
      </c>
      <c r="E589" s="152">
        <v>24</v>
      </c>
      <c r="F589" s="152">
        <v>1104</v>
      </c>
      <c r="G589" s="152"/>
      <c r="H589" s="152">
        <f t="shared" si="24"/>
        <v>1104</v>
      </c>
      <c r="I589" s="161"/>
      <c r="J589" s="161"/>
      <c r="K589" s="161"/>
      <c r="L589" s="161"/>
      <c r="M589" s="161"/>
    </row>
    <row r="590" spans="1:13" x14ac:dyDescent="0.25">
      <c r="A590" s="330"/>
      <c r="B590" s="320" t="s">
        <v>165</v>
      </c>
      <c r="C590" s="152" t="s">
        <v>71</v>
      </c>
      <c r="D590" s="105">
        <v>10.5</v>
      </c>
      <c r="E590" s="152">
        <v>84</v>
      </c>
      <c r="F590" s="152">
        <v>3864</v>
      </c>
      <c r="G590" s="154"/>
      <c r="H590" s="152">
        <f t="shared" si="24"/>
        <v>3864</v>
      </c>
      <c r="I590" s="161"/>
      <c r="J590" s="161"/>
      <c r="K590" s="161"/>
      <c r="L590" s="161"/>
      <c r="M590" s="161"/>
    </row>
    <row r="591" spans="1:13" x14ac:dyDescent="0.25">
      <c r="A591" s="330"/>
      <c r="B591" s="305"/>
      <c r="C591" s="123" t="s">
        <v>50</v>
      </c>
      <c r="D591" s="109">
        <v>20.375354999999999</v>
      </c>
      <c r="E591" s="153">
        <v>45</v>
      </c>
      <c r="F591" s="153">
        <v>2385</v>
      </c>
      <c r="G591" s="152"/>
      <c r="H591" s="152">
        <f t="shared" si="24"/>
        <v>2385</v>
      </c>
      <c r="I591" s="161"/>
      <c r="J591" s="161"/>
      <c r="K591" s="161"/>
      <c r="L591" s="161"/>
      <c r="M591" s="161"/>
    </row>
    <row r="592" spans="1:13" x14ac:dyDescent="0.25">
      <c r="A592" s="330"/>
      <c r="B592" s="319"/>
      <c r="C592" s="114" t="s">
        <v>55</v>
      </c>
      <c r="D592" s="105">
        <v>23.462530000000001</v>
      </c>
      <c r="E592" s="152">
        <v>40</v>
      </c>
      <c r="F592" s="152">
        <v>1920</v>
      </c>
      <c r="G592" s="152"/>
      <c r="H592" s="152">
        <f t="shared" si="24"/>
        <v>1920</v>
      </c>
      <c r="I592" s="161"/>
      <c r="J592" s="161"/>
      <c r="K592" s="161"/>
      <c r="L592" s="161"/>
      <c r="M592" s="161"/>
    </row>
    <row r="593" spans="1:13" x14ac:dyDescent="0.25">
      <c r="A593" s="330"/>
      <c r="B593" s="311" t="s">
        <v>35</v>
      </c>
      <c r="C593" s="114" t="s">
        <v>27</v>
      </c>
      <c r="D593" s="105">
        <v>46.925060000000002</v>
      </c>
      <c r="E593" s="152">
        <v>24</v>
      </c>
      <c r="F593" s="152">
        <v>1272</v>
      </c>
      <c r="G593" s="152"/>
      <c r="H593" s="152">
        <f t="shared" si="24"/>
        <v>1272</v>
      </c>
      <c r="I593" s="161"/>
      <c r="J593" s="161"/>
      <c r="K593" s="161"/>
      <c r="L593" s="161"/>
      <c r="M593" s="161"/>
    </row>
    <row r="594" spans="1:13" x14ac:dyDescent="0.25">
      <c r="A594" s="330"/>
      <c r="B594" s="311"/>
      <c r="C594" s="114" t="s">
        <v>157</v>
      </c>
      <c r="D594" s="105">
        <v>58.656325000000002</v>
      </c>
      <c r="E594" s="152">
        <v>12</v>
      </c>
      <c r="F594" s="152">
        <v>504</v>
      </c>
      <c r="G594" s="152"/>
      <c r="H594" s="152">
        <f t="shared" si="24"/>
        <v>504</v>
      </c>
      <c r="I594" s="161"/>
      <c r="J594" s="161"/>
      <c r="K594" s="161"/>
      <c r="L594" s="161"/>
      <c r="M594" s="161"/>
    </row>
    <row r="595" spans="1:13" ht="15.75" thickBot="1" x14ac:dyDescent="0.3">
      <c r="A595" s="331"/>
      <c r="B595" s="126" t="s">
        <v>158</v>
      </c>
      <c r="C595" s="116" t="s">
        <v>27</v>
      </c>
      <c r="D595" s="107">
        <v>46.925060000000002</v>
      </c>
      <c r="E595" s="126">
        <v>24</v>
      </c>
      <c r="F595" s="126">
        <v>1200</v>
      </c>
      <c r="G595" s="126"/>
      <c r="H595" s="152">
        <f t="shared" si="24"/>
        <v>1200</v>
      </c>
      <c r="I595" s="161"/>
      <c r="J595" s="161"/>
      <c r="K595" s="161"/>
      <c r="L595" s="161"/>
      <c r="M595" s="161"/>
    </row>
    <row r="596" spans="1:13" ht="15.75" thickTop="1" x14ac:dyDescent="0.25">
      <c r="A596" s="329" t="s">
        <v>85</v>
      </c>
      <c r="B596" s="313" t="s">
        <v>162</v>
      </c>
      <c r="C596" s="112" t="s">
        <v>74</v>
      </c>
      <c r="D596" s="111">
        <v>20.375354999999999</v>
      </c>
      <c r="E596" s="112">
        <v>63</v>
      </c>
      <c r="F596" s="112">
        <v>3654</v>
      </c>
      <c r="G596" s="112">
        <v>15</v>
      </c>
      <c r="H596" s="112">
        <f>F596-G596</f>
        <v>3639</v>
      </c>
      <c r="I596" s="161"/>
      <c r="J596" s="161"/>
      <c r="K596" s="161"/>
      <c r="L596" s="161"/>
      <c r="M596" s="161"/>
    </row>
    <row r="597" spans="1:13" x14ac:dyDescent="0.25">
      <c r="A597" s="330"/>
      <c r="B597" s="314"/>
      <c r="C597" s="114" t="s">
        <v>59</v>
      </c>
      <c r="D597" s="113">
        <v>23.462530000000001</v>
      </c>
      <c r="E597" s="114">
        <v>36</v>
      </c>
      <c r="F597" s="114">
        <v>1908</v>
      </c>
      <c r="G597" s="114">
        <f>15+36</f>
        <v>51</v>
      </c>
      <c r="H597" s="114">
        <f>F597-G597</f>
        <v>1857</v>
      </c>
      <c r="I597" s="161"/>
      <c r="J597" s="161"/>
      <c r="K597" s="161"/>
      <c r="L597" s="161"/>
      <c r="M597" s="161"/>
    </row>
    <row r="598" spans="1:13" x14ac:dyDescent="0.25">
      <c r="A598" s="330"/>
      <c r="B598" s="314"/>
      <c r="C598" s="114" t="s">
        <v>69</v>
      </c>
      <c r="D598" s="113">
        <v>46.925060000000002</v>
      </c>
      <c r="E598" s="114">
        <v>24</v>
      </c>
      <c r="F598" s="114">
        <f>48+1152</f>
        <v>1200</v>
      </c>
      <c r="G598" s="114"/>
      <c r="H598" s="114">
        <f t="shared" ref="H598:H616" si="25">F598-G598</f>
        <v>1200</v>
      </c>
      <c r="I598" s="161"/>
      <c r="J598" s="161"/>
      <c r="K598" s="161"/>
      <c r="L598" s="161"/>
      <c r="M598" s="161"/>
    </row>
    <row r="599" spans="1:13" x14ac:dyDescent="0.25">
      <c r="A599" s="330"/>
      <c r="B599" s="314"/>
      <c r="C599" s="114" t="s">
        <v>150</v>
      </c>
      <c r="D599" s="113">
        <v>58.656325000000002</v>
      </c>
      <c r="E599" s="114">
        <v>12</v>
      </c>
      <c r="F599" s="114">
        <f>24+516</f>
        <v>540</v>
      </c>
      <c r="G599" s="114"/>
      <c r="H599" s="114">
        <f t="shared" si="25"/>
        <v>540</v>
      </c>
      <c r="I599" s="161"/>
      <c r="J599" s="161"/>
      <c r="K599" s="161"/>
      <c r="L599" s="161"/>
      <c r="M599" s="161"/>
    </row>
    <row r="600" spans="1:13" x14ac:dyDescent="0.25">
      <c r="A600" s="330"/>
      <c r="B600" s="314" t="s">
        <v>159</v>
      </c>
      <c r="C600" s="114" t="s">
        <v>55</v>
      </c>
      <c r="D600" s="113">
        <v>20.375354999999999</v>
      </c>
      <c r="E600" s="114">
        <v>40</v>
      </c>
      <c r="F600" s="114">
        <f>1920+16</f>
        <v>1936</v>
      </c>
      <c r="G600" s="114"/>
      <c r="H600" s="114">
        <f t="shared" si="25"/>
        <v>1936</v>
      </c>
      <c r="I600" s="161"/>
      <c r="J600" s="161"/>
      <c r="K600" s="161"/>
      <c r="L600" s="161"/>
      <c r="M600" s="161"/>
    </row>
    <row r="601" spans="1:13" x14ac:dyDescent="0.25">
      <c r="A601" s="330"/>
      <c r="B601" s="314"/>
      <c r="C601" s="114" t="s">
        <v>54</v>
      </c>
      <c r="D601" s="113">
        <v>23.462530000000001</v>
      </c>
      <c r="E601" s="114">
        <v>28</v>
      </c>
      <c r="F601" s="114">
        <v>1344</v>
      </c>
      <c r="G601" s="114"/>
      <c r="H601" s="114">
        <f t="shared" si="25"/>
        <v>1344</v>
      </c>
      <c r="I601" s="161"/>
      <c r="J601" s="161"/>
      <c r="K601" s="161"/>
      <c r="L601" s="161"/>
      <c r="M601" s="161"/>
    </row>
    <row r="602" spans="1:13" x14ac:dyDescent="0.25">
      <c r="A602" s="330"/>
      <c r="B602" s="314"/>
      <c r="C602" s="114" t="s">
        <v>53</v>
      </c>
      <c r="D602" s="113">
        <v>43.22045</v>
      </c>
      <c r="E602" s="114">
        <v>24</v>
      </c>
      <c r="F602" s="114">
        <v>1032</v>
      </c>
      <c r="G602" s="114"/>
      <c r="H602" s="114">
        <f t="shared" si="25"/>
        <v>1032</v>
      </c>
      <c r="I602" s="161"/>
      <c r="J602" s="161"/>
      <c r="K602" s="161"/>
      <c r="L602" s="161"/>
      <c r="M602" s="161"/>
    </row>
    <row r="603" spans="1:13" x14ac:dyDescent="0.25">
      <c r="A603" s="330"/>
      <c r="B603" s="314"/>
      <c r="C603" s="114" t="s">
        <v>57</v>
      </c>
      <c r="D603" s="113">
        <v>58.656325000000002</v>
      </c>
      <c r="E603" s="114">
        <v>18</v>
      </c>
      <c r="F603" s="114">
        <v>810</v>
      </c>
      <c r="G603" s="114"/>
      <c r="H603" s="114">
        <f t="shared" si="25"/>
        <v>810</v>
      </c>
      <c r="I603" s="161"/>
      <c r="J603" s="161"/>
      <c r="K603" s="161"/>
      <c r="L603" s="161"/>
      <c r="M603" s="161"/>
    </row>
    <row r="604" spans="1:13" x14ac:dyDescent="0.25">
      <c r="A604" s="330"/>
      <c r="B604" s="314" t="s">
        <v>163</v>
      </c>
      <c r="C604" s="114" t="s">
        <v>51</v>
      </c>
      <c r="D604" s="113">
        <v>18.523050000000001</v>
      </c>
      <c r="E604" s="114">
        <v>48</v>
      </c>
      <c r="F604" s="114">
        <v>2832</v>
      </c>
      <c r="G604" s="114"/>
      <c r="H604" s="114">
        <f t="shared" si="25"/>
        <v>2832</v>
      </c>
      <c r="I604" s="161"/>
      <c r="J604" s="161"/>
      <c r="K604" s="161"/>
      <c r="L604" s="161"/>
      <c r="M604" s="161"/>
    </row>
    <row r="605" spans="1:13" x14ac:dyDescent="0.25">
      <c r="A605" s="330"/>
      <c r="B605" s="314"/>
      <c r="C605" s="114" t="s">
        <v>29</v>
      </c>
      <c r="D605" s="113">
        <v>46.925060000000002</v>
      </c>
      <c r="E605" s="114">
        <v>24</v>
      </c>
      <c r="F605" s="114">
        <v>1152</v>
      </c>
      <c r="G605" s="114"/>
      <c r="H605" s="114">
        <f t="shared" si="25"/>
        <v>1152</v>
      </c>
      <c r="I605" s="161"/>
      <c r="J605" s="161"/>
      <c r="K605" s="161"/>
      <c r="L605" s="161"/>
      <c r="M605" s="161"/>
    </row>
    <row r="606" spans="1:13" x14ac:dyDescent="0.25">
      <c r="A606" s="330"/>
      <c r="B606" s="314"/>
      <c r="C606" s="114" t="s">
        <v>121</v>
      </c>
      <c r="D606" s="113">
        <v>58.656325000000002</v>
      </c>
      <c r="E606" s="114">
        <v>15</v>
      </c>
      <c r="F606" s="114">
        <v>675</v>
      </c>
      <c r="G606" s="114"/>
      <c r="H606" s="114">
        <f t="shared" si="25"/>
        <v>675</v>
      </c>
      <c r="I606" s="161"/>
      <c r="J606" s="161"/>
      <c r="K606" s="161"/>
      <c r="L606" s="161"/>
      <c r="M606" s="161"/>
    </row>
    <row r="607" spans="1:13" x14ac:dyDescent="0.25">
      <c r="A607" s="330"/>
      <c r="B607" s="311" t="s">
        <v>164</v>
      </c>
      <c r="C607" s="114" t="s">
        <v>72</v>
      </c>
      <c r="D607" s="113">
        <v>16.670745</v>
      </c>
      <c r="E607" s="114">
        <v>72</v>
      </c>
      <c r="F607" s="114">
        <v>4680</v>
      </c>
      <c r="G607" s="114"/>
      <c r="H607" s="114">
        <f t="shared" si="25"/>
        <v>4680</v>
      </c>
      <c r="I607" s="161"/>
      <c r="J607" s="161"/>
      <c r="K607" s="161"/>
      <c r="L607" s="161"/>
      <c r="M607" s="161"/>
    </row>
    <row r="608" spans="1:13" x14ac:dyDescent="0.25">
      <c r="A608" s="330"/>
      <c r="B608" s="311"/>
      <c r="C608" s="114" t="s">
        <v>73</v>
      </c>
      <c r="D608" s="113">
        <v>20.375354999999999</v>
      </c>
      <c r="E608" s="114">
        <v>48</v>
      </c>
      <c r="F608" s="114">
        <v>2688</v>
      </c>
      <c r="G608" s="114">
        <v>15</v>
      </c>
      <c r="H608" s="114">
        <f t="shared" si="25"/>
        <v>2673</v>
      </c>
      <c r="I608" s="161"/>
      <c r="J608" s="161"/>
      <c r="K608" s="161"/>
      <c r="L608" s="161"/>
      <c r="M608" s="161"/>
    </row>
    <row r="609" spans="1:13" x14ac:dyDescent="0.25">
      <c r="A609" s="330"/>
      <c r="B609" s="311"/>
      <c r="C609" s="152" t="s">
        <v>48</v>
      </c>
      <c r="D609" s="105">
        <v>46.925060000000002</v>
      </c>
      <c r="E609" s="152">
        <v>24</v>
      </c>
      <c r="F609" s="152">
        <v>1272</v>
      </c>
      <c r="G609" s="152">
        <v>12</v>
      </c>
      <c r="H609" s="114">
        <f t="shared" si="25"/>
        <v>1260</v>
      </c>
      <c r="I609" s="161"/>
      <c r="J609" s="161"/>
      <c r="K609" s="161"/>
      <c r="L609" s="161"/>
      <c r="M609" s="161"/>
    </row>
    <row r="610" spans="1:13" x14ac:dyDescent="0.25">
      <c r="A610" s="330"/>
      <c r="B610" s="320"/>
      <c r="C610" s="118" t="s">
        <v>47</v>
      </c>
      <c r="D610" s="106">
        <v>58.656325000000002</v>
      </c>
      <c r="E610" s="154">
        <v>12</v>
      </c>
      <c r="F610" s="154">
        <v>576</v>
      </c>
      <c r="G610" s="154"/>
      <c r="H610" s="114">
        <f t="shared" si="25"/>
        <v>576</v>
      </c>
      <c r="I610" s="161"/>
      <c r="J610" s="161"/>
      <c r="K610" s="161"/>
      <c r="L610" s="161"/>
      <c r="M610" s="161"/>
    </row>
    <row r="611" spans="1:13" x14ac:dyDescent="0.25">
      <c r="A611" s="330"/>
      <c r="B611" s="311" t="s">
        <v>44</v>
      </c>
      <c r="C611" s="152" t="s">
        <v>40</v>
      </c>
      <c r="D611" s="105">
        <v>16.8</v>
      </c>
      <c r="E611" s="152">
        <v>42</v>
      </c>
      <c r="F611" s="152">
        <v>1932</v>
      </c>
      <c r="G611" s="152"/>
      <c r="H611" s="114">
        <f t="shared" si="25"/>
        <v>1932</v>
      </c>
      <c r="I611" s="161"/>
      <c r="J611" s="161"/>
      <c r="K611" s="161"/>
      <c r="L611" s="161"/>
      <c r="M611" s="161"/>
    </row>
    <row r="612" spans="1:13" x14ac:dyDescent="0.25">
      <c r="A612" s="330"/>
      <c r="B612" s="311"/>
      <c r="C612" s="152" t="s">
        <v>80</v>
      </c>
      <c r="D612" s="105">
        <v>28.35</v>
      </c>
      <c r="E612" s="152">
        <v>24</v>
      </c>
      <c r="F612" s="152">
        <v>1104</v>
      </c>
      <c r="G612" s="152"/>
      <c r="H612" s="114">
        <f t="shared" si="25"/>
        <v>1104</v>
      </c>
      <c r="I612" s="161"/>
      <c r="J612" s="161"/>
      <c r="K612" s="161"/>
      <c r="L612" s="161"/>
      <c r="M612" s="161"/>
    </row>
    <row r="613" spans="1:13" x14ac:dyDescent="0.25">
      <c r="A613" s="330"/>
      <c r="B613" s="152" t="s">
        <v>65</v>
      </c>
      <c r="C613" s="152" t="s">
        <v>71</v>
      </c>
      <c r="D613" s="105">
        <v>10.5</v>
      </c>
      <c r="E613" s="152">
        <v>84</v>
      </c>
      <c r="F613" s="152">
        <v>4032</v>
      </c>
      <c r="G613" s="152"/>
      <c r="H613" s="114">
        <f t="shared" si="25"/>
        <v>4032</v>
      </c>
      <c r="I613" s="161"/>
      <c r="J613" s="161"/>
      <c r="K613" s="161"/>
      <c r="L613" s="161"/>
      <c r="M613" s="161"/>
    </row>
    <row r="614" spans="1:13" x14ac:dyDescent="0.25">
      <c r="A614" s="330"/>
      <c r="B614" s="319" t="s">
        <v>35</v>
      </c>
      <c r="C614" s="123" t="s">
        <v>27</v>
      </c>
      <c r="D614" s="109">
        <v>46.925060000000002</v>
      </c>
      <c r="E614" s="153">
        <v>24</v>
      </c>
      <c r="F614" s="123">
        <v>1200</v>
      </c>
      <c r="G614" s="153"/>
      <c r="H614" s="114">
        <f t="shared" si="25"/>
        <v>1200</v>
      </c>
      <c r="I614" s="161"/>
      <c r="J614" s="161"/>
      <c r="K614" s="161"/>
      <c r="L614" s="161"/>
      <c r="M614" s="161"/>
    </row>
    <row r="615" spans="1:13" x14ac:dyDescent="0.25">
      <c r="A615" s="330"/>
      <c r="B615" s="311"/>
      <c r="C615" s="114" t="s">
        <v>157</v>
      </c>
      <c r="D615" s="105">
        <v>58.656325000000002</v>
      </c>
      <c r="E615" s="152">
        <v>12</v>
      </c>
      <c r="F615" s="114">
        <v>504</v>
      </c>
      <c r="G615" s="152"/>
      <c r="H615" s="114">
        <f t="shared" si="25"/>
        <v>504</v>
      </c>
      <c r="I615" s="161"/>
      <c r="J615" s="161"/>
      <c r="K615" s="161"/>
      <c r="L615" s="161"/>
      <c r="M615" s="161"/>
    </row>
    <row r="616" spans="1:13" ht="15.75" thickBot="1" x14ac:dyDescent="0.3">
      <c r="A616" s="347"/>
      <c r="B616" s="154" t="s">
        <v>158</v>
      </c>
      <c r="C616" s="118" t="s">
        <v>27</v>
      </c>
      <c r="D616" s="106">
        <v>46.925060000000002</v>
      </c>
      <c r="E616" s="154">
        <v>24</v>
      </c>
      <c r="F616" s="118">
        <v>1200</v>
      </c>
      <c r="G616" s="154">
        <v>24</v>
      </c>
      <c r="H616" s="118">
        <f t="shared" si="25"/>
        <v>1176</v>
      </c>
      <c r="I616" s="161"/>
      <c r="J616" s="161"/>
      <c r="K616" s="161"/>
      <c r="L616" s="161"/>
      <c r="M616" s="161"/>
    </row>
    <row r="617" spans="1:13" ht="15.75" thickTop="1" x14ac:dyDescent="0.25">
      <c r="A617" s="329" t="s">
        <v>166</v>
      </c>
      <c r="B617" s="310" t="s">
        <v>159</v>
      </c>
      <c r="C617" s="112" t="s">
        <v>50</v>
      </c>
      <c r="D617" s="108">
        <v>16.670745</v>
      </c>
      <c r="E617" s="151">
        <v>45</v>
      </c>
      <c r="F617" s="151">
        <f>90+1755</f>
        <v>1845</v>
      </c>
      <c r="G617" s="151">
        <v>15</v>
      </c>
      <c r="H617" s="151">
        <f>F617-G617</f>
        <v>1830</v>
      </c>
      <c r="I617" s="161"/>
      <c r="J617" s="161"/>
      <c r="K617" s="161"/>
      <c r="L617" s="161"/>
      <c r="M617" s="161"/>
    </row>
    <row r="618" spans="1:13" x14ac:dyDescent="0.25">
      <c r="A618" s="330"/>
      <c r="B618" s="311"/>
      <c r="C618" s="114" t="s">
        <v>55</v>
      </c>
      <c r="D618" s="105">
        <v>20.375354999999999</v>
      </c>
      <c r="E618" s="152">
        <v>40</v>
      </c>
      <c r="F618" s="152">
        <f>40+1320</f>
        <v>1360</v>
      </c>
      <c r="G618" s="152">
        <v>15</v>
      </c>
      <c r="H618" s="152">
        <f>F618-G618</f>
        <v>1345</v>
      </c>
      <c r="I618" s="161"/>
      <c r="J618" s="161"/>
      <c r="K618" s="161"/>
      <c r="L618" s="161"/>
      <c r="M618" s="161"/>
    </row>
    <row r="619" spans="1:13" x14ac:dyDescent="0.25">
      <c r="A619" s="330"/>
      <c r="B619" s="311"/>
      <c r="C619" s="114" t="s">
        <v>54</v>
      </c>
      <c r="D619" s="105">
        <v>23.462530000000001</v>
      </c>
      <c r="E619" s="152">
        <v>28</v>
      </c>
      <c r="F619" s="152">
        <f>28+952</f>
        <v>980</v>
      </c>
      <c r="G619" s="152"/>
      <c r="H619" s="152">
        <f t="shared" ref="H619:H623" si="26">F619-G619</f>
        <v>980</v>
      </c>
      <c r="I619" s="161"/>
      <c r="J619" s="161"/>
      <c r="K619" s="161"/>
      <c r="L619" s="161"/>
      <c r="M619" s="161"/>
    </row>
    <row r="620" spans="1:13" x14ac:dyDescent="0.25">
      <c r="A620" s="330"/>
      <c r="B620" s="320" t="s">
        <v>163</v>
      </c>
      <c r="C620" s="114" t="s">
        <v>30</v>
      </c>
      <c r="D620" s="105">
        <v>23.462530000000001</v>
      </c>
      <c r="E620" s="152">
        <v>28</v>
      </c>
      <c r="F620" s="152">
        <v>56</v>
      </c>
      <c r="G620" s="152"/>
      <c r="H620" s="152">
        <f t="shared" si="26"/>
        <v>56</v>
      </c>
      <c r="I620" s="161"/>
      <c r="J620" s="161"/>
      <c r="K620" s="161"/>
      <c r="L620" s="161"/>
      <c r="M620" s="161"/>
    </row>
    <row r="621" spans="1:13" x14ac:dyDescent="0.25">
      <c r="A621" s="330"/>
      <c r="B621" s="319"/>
      <c r="C621" s="114" t="s">
        <v>29</v>
      </c>
      <c r="D621" s="105">
        <v>46.925060000000002</v>
      </c>
      <c r="E621" s="152">
        <v>24</v>
      </c>
      <c r="F621" s="152">
        <v>24</v>
      </c>
      <c r="G621" s="152"/>
      <c r="H621" s="152">
        <f t="shared" si="26"/>
        <v>24</v>
      </c>
      <c r="I621" s="161"/>
      <c r="J621" s="161"/>
      <c r="K621" s="161"/>
      <c r="L621" s="161"/>
      <c r="M621" s="161"/>
    </row>
    <row r="622" spans="1:13" x14ac:dyDescent="0.25">
      <c r="A622" s="330"/>
      <c r="B622" s="311" t="s">
        <v>164</v>
      </c>
      <c r="C622" s="114" t="s">
        <v>73</v>
      </c>
      <c r="D622" s="105">
        <v>20.375354999999999</v>
      </c>
      <c r="E622" s="152">
        <v>48</v>
      </c>
      <c r="F622" s="152">
        <f>48+1584</f>
        <v>1632</v>
      </c>
      <c r="G622" s="152"/>
      <c r="H622" s="152">
        <f t="shared" si="26"/>
        <v>1632</v>
      </c>
      <c r="I622" s="161"/>
      <c r="J622" s="161"/>
      <c r="K622" s="161"/>
      <c r="L622" s="161"/>
      <c r="M622" s="161"/>
    </row>
    <row r="623" spans="1:13" ht="15.75" thickBot="1" x14ac:dyDescent="0.3">
      <c r="A623" s="331"/>
      <c r="B623" s="312"/>
      <c r="C623" s="116" t="s">
        <v>48</v>
      </c>
      <c r="D623" s="107">
        <v>46.925060000000002</v>
      </c>
      <c r="E623" s="126">
        <v>24</v>
      </c>
      <c r="F623" s="126">
        <f>48+720</f>
        <v>768</v>
      </c>
      <c r="G623" s="126">
        <v>10</v>
      </c>
      <c r="H623" s="152">
        <f t="shared" si="26"/>
        <v>758</v>
      </c>
      <c r="I623" s="161"/>
      <c r="J623" s="161"/>
      <c r="K623" s="161"/>
      <c r="L623" s="161"/>
      <c r="M623" s="161"/>
    </row>
    <row r="624" spans="1:13" ht="15.75" thickTop="1" x14ac:dyDescent="0.25">
      <c r="A624" s="329" t="s">
        <v>167</v>
      </c>
      <c r="B624" s="310" t="s">
        <v>159</v>
      </c>
      <c r="C624" s="151" t="s">
        <v>50</v>
      </c>
      <c r="D624" s="108">
        <v>16.670745</v>
      </c>
      <c r="E624" s="151">
        <v>45</v>
      </c>
      <c r="F624" s="151">
        <f>495+1080+90</f>
        <v>1665</v>
      </c>
      <c r="G624" s="151"/>
      <c r="H624" s="151">
        <f>F624-G624</f>
        <v>1665</v>
      </c>
      <c r="I624" s="161"/>
      <c r="J624" s="161"/>
      <c r="K624" s="161"/>
      <c r="L624" s="161"/>
      <c r="M624" s="161"/>
    </row>
    <row r="625" spans="1:13" x14ac:dyDescent="0.25">
      <c r="A625" s="330"/>
      <c r="B625" s="311"/>
      <c r="C625" s="114" t="s">
        <v>55</v>
      </c>
      <c r="D625" s="105">
        <v>20.375354999999999</v>
      </c>
      <c r="E625" s="152">
        <v>40</v>
      </c>
      <c r="F625" s="152">
        <f>320+800+76</f>
        <v>1196</v>
      </c>
      <c r="G625" s="152"/>
      <c r="H625" s="152">
        <f>F625-G625</f>
        <v>1196</v>
      </c>
      <c r="I625" s="161"/>
      <c r="J625" s="161"/>
      <c r="K625" s="161"/>
      <c r="L625" s="161"/>
      <c r="M625" s="161"/>
    </row>
    <row r="626" spans="1:13" x14ac:dyDescent="0.25">
      <c r="A626" s="330"/>
      <c r="B626" s="311"/>
      <c r="C626" s="114" t="s">
        <v>54</v>
      </c>
      <c r="D626" s="105">
        <v>23.462530000000001</v>
      </c>
      <c r="E626" s="152">
        <v>28</v>
      </c>
      <c r="F626" s="152">
        <f>448+27</f>
        <v>475</v>
      </c>
      <c r="G626" s="152"/>
      <c r="H626" s="152">
        <f t="shared" ref="H626:H630" si="27">F626-G626</f>
        <v>475</v>
      </c>
      <c r="I626" s="161"/>
      <c r="J626" s="161"/>
      <c r="K626" s="161"/>
      <c r="L626" s="161"/>
      <c r="M626" s="161"/>
    </row>
    <row r="627" spans="1:13" x14ac:dyDescent="0.25">
      <c r="A627" s="330"/>
      <c r="B627" s="311" t="s">
        <v>163</v>
      </c>
      <c r="C627" s="114" t="s">
        <v>30</v>
      </c>
      <c r="D627" s="105">
        <v>23.462530000000001</v>
      </c>
      <c r="E627" s="152">
        <v>28</v>
      </c>
      <c r="F627" s="152">
        <v>126</v>
      </c>
      <c r="G627" s="152"/>
      <c r="H627" s="152">
        <f t="shared" si="27"/>
        <v>126</v>
      </c>
      <c r="I627" s="161"/>
      <c r="J627" s="161"/>
      <c r="K627" s="161"/>
      <c r="L627" s="161"/>
      <c r="M627" s="161"/>
    </row>
    <row r="628" spans="1:13" x14ac:dyDescent="0.25">
      <c r="A628" s="330"/>
      <c r="B628" s="311"/>
      <c r="C628" s="114" t="s">
        <v>29</v>
      </c>
      <c r="D628" s="105">
        <v>46.925060000000002</v>
      </c>
      <c r="E628" s="152">
        <v>24</v>
      </c>
      <c r="F628" s="152">
        <v>96</v>
      </c>
      <c r="G628" s="152"/>
      <c r="H628" s="152">
        <f t="shared" si="27"/>
        <v>96</v>
      </c>
      <c r="I628" s="161"/>
      <c r="J628" s="161"/>
      <c r="K628" s="161"/>
      <c r="L628" s="161"/>
      <c r="M628" s="161"/>
    </row>
    <row r="629" spans="1:13" x14ac:dyDescent="0.25">
      <c r="A629" s="330"/>
      <c r="B629" s="311" t="s">
        <v>164</v>
      </c>
      <c r="C629" s="114" t="s">
        <v>73</v>
      </c>
      <c r="D629" s="105">
        <v>20.375354999999999</v>
      </c>
      <c r="E629" s="152">
        <v>48</v>
      </c>
      <c r="F629" s="152">
        <f>864+288+72+49</f>
        <v>1273</v>
      </c>
      <c r="G629" s="152"/>
      <c r="H629" s="152">
        <f t="shared" si="27"/>
        <v>1273</v>
      </c>
      <c r="I629" s="161"/>
      <c r="J629" s="161"/>
      <c r="K629" s="161"/>
      <c r="L629" s="161"/>
      <c r="M629" s="161"/>
    </row>
    <row r="630" spans="1:13" ht="15.75" thickBot="1" x14ac:dyDescent="0.3">
      <c r="A630" s="331"/>
      <c r="B630" s="312"/>
      <c r="C630" s="116" t="s">
        <v>48</v>
      </c>
      <c r="D630" s="107">
        <v>46.925060000000002</v>
      </c>
      <c r="E630" s="126">
        <v>24</v>
      </c>
      <c r="F630" s="126">
        <f>468+47</f>
        <v>515</v>
      </c>
      <c r="G630" s="126"/>
      <c r="H630" s="126">
        <f t="shared" si="27"/>
        <v>515</v>
      </c>
      <c r="I630" s="161"/>
      <c r="J630" s="161"/>
      <c r="K630" s="161"/>
      <c r="L630" s="161"/>
      <c r="M630" s="161"/>
    </row>
    <row r="631" spans="1:13" ht="15.75" thickTop="1" x14ac:dyDescent="0.25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</row>
    <row r="632" spans="1:13" x14ac:dyDescent="0.25">
      <c r="J632" s="161"/>
      <c r="K632" s="161"/>
      <c r="L632" s="161"/>
      <c r="M632" s="161"/>
    </row>
    <row r="633" spans="1:13" x14ac:dyDescent="0.25">
      <c r="J633" s="161"/>
      <c r="K633" s="161"/>
      <c r="L633" s="161"/>
      <c r="M633" s="161"/>
    </row>
    <row r="634" spans="1:13" x14ac:dyDescent="0.25">
      <c r="J634" s="161"/>
      <c r="K634" s="161"/>
      <c r="L634" s="161"/>
      <c r="M634" s="161"/>
    </row>
    <row r="635" spans="1:13" x14ac:dyDescent="0.25">
      <c r="J635" s="161"/>
      <c r="K635" s="161"/>
      <c r="L635" s="161"/>
      <c r="M635" s="161"/>
    </row>
    <row r="636" spans="1:13" x14ac:dyDescent="0.25">
      <c r="J636" s="161"/>
      <c r="K636" s="161"/>
      <c r="L636" s="161"/>
      <c r="M636" s="161"/>
    </row>
    <row r="637" spans="1:13" x14ac:dyDescent="0.25">
      <c r="J637" s="161"/>
      <c r="K637" s="161"/>
      <c r="L637" s="161"/>
      <c r="M637" s="161"/>
    </row>
    <row r="638" spans="1:13" x14ac:dyDescent="0.25">
      <c r="J638" s="161"/>
      <c r="K638" s="161"/>
      <c r="L638" s="161"/>
      <c r="M638" s="161"/>
    </row>
    <row r="639" spans="1:13" x14ac:dyDescent="0.25">
      <c r="J639" s="161"/>
      <c r="K639" s="161"/>
      <c r="L639" s="161"/>
      <c r="M639" s="161"/>
    </row>
    <row r="640" spans="1:13" x14ac:dyDescent="0.25">
      <c r="J640" s="161"/>
      <c r="K640" s="161"/>
      <c r="L640" s="161"/>
      <c r="M640" s="161"/>
    </row>
    <row r="641" spans="10:13" x14ac:dyDescent="0.25">
      <c r="J641" s="161"/>
      <c r="K641" s="161"/>
      <c r="L641" s="161"/>
      <c r="M641" s="161"/>
    </row>
    <row r="642" spans="10:13" x14ac:dyDescent="0.25">
      <c r="J642" s="161"/>
      <c r="K642" s="161"/>
      <c r="L642" s="161"/>
      <c r="M642" s="161"/>
    </row>
    <row r="643" spans="10:13" x14ac:dyDescent="0.25">
      <c r="J643" s="161"/>
      <c r="K643" s="161"/>
      <c r="L643" s="161"/>
      <c r="M643" s="161"/>
    </row>
    <row r="644" spans="10:13" x14ac:dyDescent="0.25">
      <c r="J644" s="161"/>
      <c r="K644" s="161"/>
      <c r="L644" s="161"/>
      <c r="M644" s="161"/>
    </row>
    <row r="645" spans="10:13" x14ac:dyDescent="0.25">
      <c r="J645" s="161"/>
      <c r="K645" s="161"/>
      <c r="L645" s="161"/>
      <c r="M645" s="161"/>
    </row>
    <row r="646" spans="10:13" x14ac:dyDescent="0.25">
      <c r="J646" s="161"/>
      <c r="K646" s="161"/>
      <c r="L646" s="161"/>
      <c r="M646" s="161"/>
    </row>
    <row r="647" spans="10:13" x14ac:dyDescent="0.25">
      <c r="J647" s="161"/>
      <c r="K647" s="161"/>
      <c r="L647" s="161"/>
      <c r="M647" s="161"/>
    </row>
    <row r="648" spans="10:13" x14ac:dyDescent="0.25">
      <c r="J648" s="161"/>
      <c r="K648" s="161"/>
      <c r="L648" s="161"/>
      <c r="M648" s="161"/>
    </row>
    <row r="649" spans="10:13" x14ac:dyDescent="0.25">
      <c r="J649" s="161"/>
      <c r="K649" s="161"/>
      <c r="L649" s="161"/>
      <c r="M649" s="161"/>
    </row>
    <row r="650" spans="10:13" x14ac:dyDescent="0.25">
      <c r="J650" s="161"/>
      <c r="K650" s="161"/>
      <c r="L650" s="161"/>
      <c r="M650" s="161"/>
    </row>
    <row r="651" spans="10:13" x14ac:dyDescent="0.25">
      <c r="J651" s="161"/>
      <c r="K651" s="161"/>
      <c r="L651" s="161"/>
      <c r="M651" s="161"/>
    </row>
    <row r="652" spans="10:13" x14ac:dyDescent="0.25">
      <c r="J652" s="161"/>
      <c r="K652" s="161"/>
      <c r="L652" s="161"/>
      <c r="M652" s="161"/>
    </row>
    <row r="653" spans="10:13" x14ac:dyDescent="0.25">
      <c r="J653" s="161"/>
      <c r="K653" s="161"/>
      <c r="L653" s="161"/>
      <c r="M653" s="161"/>
    </row>
    <row r="654" spans="10:13" x14ac:dyDescent="0.25">
      <c r="J654" s="161"/>
      <c r="K654" s="161"/>
      <c r="L654" s="161"/>
      <c r="M654" s="161"/>
    </row>
    <row r="655" spans="10:13" x14ac:dyDescent="0.25">
      <c r="J655" s="161"/>
      <c r="K655" s="161"/>
      <c r="L655" s="161"/>
      <c r="M655" s="161"/>
    </row>
    <row r="656" spans="10:13" x14ac:dyDescent="0.25">
      <c r="J656" s="161"/>
      <c r="K656" s="161"/>
      <c r="L656" s="161"/>
      <c r="M656" s="161"/>
    </row>
    <row r="657" spans="10:13" x14ac:dyDescent="0.25">
      <c r="J657" s="161"/>
      <c r="K657" s="161"/>
      <c r="L657" s="161"/>
      <c r="M657" s="161"/>
    </row>
    <row r="658" spans="10:13" x14ac:dyDescent="0.25">
      <c r="J658" s="161"/>
      <c r="K658" s="161"/>
      <c r="L658" s="161"/>
      <c r="M658" s="161"/>
    </row>
    <row r="659" spans="10:13" x14ac:dyDescent="0.25">
      <c r="J659" s="161"/>
      <c r="K659" s="161"/>
      <c r="L659" s="161"/>
      <c r="M659" s="161"/>
    </row>
    <row r="660" spans="10:13" x14ac:dyDescent="0.25">
      <c r="J660" s="161"/>
      <c r="K660" s="161"/>
      <c r="L660" s="161"/>
      <c r="M660" s="161"/>
    </row>
    <row r="661" spans="10:13" x14ac:dyDescent="0.25">
      <c r="J661" s="161"/>
      <c r="K661" s="161"/>
      <c r="L661" s="161"/>
      <c r="M661" s="161"/>
    </row>
    <row r="662" spans="10:13" x14ac:dyDescent="0.25">
      <c r="J662" s="161"/>
      <c r="K662" s="161"/>
      <c r="L662" s="161"/>
      <c r="M662" s="161"/>
    </row>
    <row r="663" spans="10:13" x14ac:dyDescent="0.25">
      <c r="J663" s="161"/>
      <c r="K663" s="161"/>
      <c r="L663" s="161"/>
      <c r="M663" s="161"/>
    </row>
    <row r="664" spans="10:13" x14ac:dyDescent="0.25">
      <c r="J664" s="161"/>
      <c r="K664" s="161"/>
      <c r="L664" s="161"/>
      <c r="M664" s="161"/>
    </row>
    <row r="665" spans="10:13" x14ac:dyDescent="0.25">
      <c r="J665" s="161"/>
      <c r="K665" s="161"/>
      <c r="L665" s="161"/>
      <c r="M665" s="161"/>
    </row>
    <row r="666" spans="10:13" x14ac:dyDescent="0.25">
      <c r="J666" s="161"/>
      <c r="K666" s="161"/>
      <c r="L666" s="161"/>
      <c r="M666" s="161"/>
    </row>
    <row r="667" spans="10:13" x14ac:dyDescent="0.25">
      <c r="J667" s="161"/>
      <c r="K667" s="161"/>
      <c r="L667" s="161"/>
      <c r="M667" s="161"/>
    </row>
    <row r="668" spans="10:13" x14ac:dyDescent="0.25">
      <c r="J668" s="161"/>
      <c r="K668" s="161"/>
      <c r="L668" s="161"/>
      <c r="M668" s="161"/>
    </row>
    <row r="669" spans="10:13" x14ac:dyDescent="0.25">
      <c r="J669" s="161"/>
      <c r="K669" s="161"/>
      <c r="L669" s="161"/>
      <c r="M669" s="161"/>
    </row>
    <row r="670" spans="10:13" x14ac:dyDescent="0.25">
      <c r="J670" s="161"/>
      <c r="K670" s="161"/>
      <c r="L670" s="161"/>
      <c r="M670" s="161"/>
    </row>
    <row r="671" spans="10:13" x14ac:dyDescent="0.25">
      <c r="J671" s="161"/>
      <c r="K671" s="161"/>
      <c r="L671" s="161"/>
      <c r="M671" s="161"/>
    </row>
    <row r="672" spans="10:13" x14ac:dyDescent="0.25">
      <c r="J672" s="161"/>
      <c r="K672" s="161"/>
      <c r="L672" s="161"/>
      <c r="M672" s="161"/>
    </row>
    <row r="673" spans="10:13" x14ac:dyDescent="0.25">
      <c r="J673" s="161"/>
      <c r="K673" s="161"/>
      <c r="L673" s="161"/>
      <c r="M673" s="161"/>
    </row>
    <row r="674" spans="10:13" x14ac:dyDescent="0.25">
      <c r="J674" s="161"/>
      <c r="K674" s="161"/>
      <c r="L674" s="161"/>
      <c r="M674" s="161"/>
    </row>
    <row r="675" spans="10:13" x14ac:dyDescent="0.25">
      <c r="J675" s="161"/>
      <c r="K675" s="161"/>
      <c r="L675" s="161"/>
      <c r="M675" s="161"/>
    </row>
    <row r="676" spans="10:13" x14ac:dyDescent="0.25">
      <c r="J676" s="161"/>
      <c r="K676" s="161"/>
      <c r="L676" s="161"/>
      <c r="M676" s="161"/>
    </row>
    <row r="677" spans="10:13" x14ac:dyDescent="0.25">
      <c r="J677" s="161"/>
      <c r="K677" s="161"/>
      <c r="L677" s="161"/>
      <c r="M677" s="161"/>
    </row>
    <row r="678" spans="10:13" x14ac:dyDescent="0.25">
      <c r="J678" s="161"/>
      <c r="K678" s="161"/>
      <c r="L678" s="161"/>
      <c r="M678" s="161"/>
    </row>
    <row r="679" spans="10:13" x14ac:dyDescent="0.25">
      <c r="J679" s="161"/>
      <c r="K679" s="161"/>
      <c r="L679" s="161"/>
      <c r="M679" s="161"/>
    </row>
    <row r="680" spans="10:13" x14ac:dyDescent="0.25">
      <c r="J680" s="161"/>
      <c r="K680" s="161"/>
      <c r="L680" s="161"/>
      <c r="M680" s="161"/>
    </row>
    <row r="681" spans="10:13" x14ac:dyDescent="0.25">
      <c r="J681" s="161"/>
      <c r="K681" s="161"/>
      <c r="L681" s="161"/>
      <c r="M681" s="161"/>
    </row>
    <row r="682" spans="10:13" x14ac:dyDescent="0.25">
      <c r="J682" s="161"/>
      <c r="K682" s="161"/>
      <c r="L682" s="161"/>
      <c r="M682" s="161"/>
    </row>
    <row r="683" spans="10:13" x14ac:dyDescent="0.25">
      <c r="J683" s="161"/>
      <c r="K683" s="161"/>
      <c r="L683" s="161"/>
      <c r="M683" s="161"/>
    </row>
    <row r="684" spans="10:13" x14ac:dyDescent="0.25">
      <c r="J684" s="161"/>
      <c r="K684" s="161"/>
      <c r="L684" s="161"/>
      <c r="M684" s="161"/>
    </row>
    <row r="685" spans="10:13" x14ac:dyDescent="0.25">
      <c r="J685" s="161"/>
      <c r="K685" s="161"/>
      <c r="L685" s="161"/>
      <c r="M685" s="161"/>
    </row>
    <row r="686" spans="10:13" x14ac:dyDescent="0.25">
      <c r="J686" s="161"/>
      <c r="K686" s="161"/>
      <c r="L686" s="161"/>
      <c r="M686" s="161"/>
    </row>
    <row r="687" spans="10:13" x14ac:dyDescent="0.25">
      <c r="J687" s="161"/>
      <c r="K687" s="161"/>
      <c r="L687" s="161"/>
      <c r="M687" s="161"/>
    </row>
    <row r="688" spans="10:13" x14ac:dyDescent="0.25">
      <c r="J688" s="161"/>
      <c r="K688" s="161"/>
      <c r="L688" s="161"/>
      <c r="M688" s="161"/>
    </row>
    <row r="689" spans="10:13" x14ac:dyDescent="0.25">
      <c r="J689" s="161"/>
      <c r="K689" s="161"/>
      <c r="L689" s="161"/>
      <c r="M689" s="161"/>
    </row>
    <row r="690" spans="10:13" x14ac:dyDescent="0.25">
      <c r="J690" s="161"/>
      <c r="K690" s="161"/>
      <c r="L690" s="161"/>
      <c r="M690" s="161"/>
    </row>
    <row r="691" spans="10:13" x14ac:dyDescent="0.25">
      <c r="J691" s="161"/>
      <c r="K691" s="161"/>
      <c r="L691" s="161"/>
      <c r="M691" s="161"/>
    </row>
    <row r="692" spans="10:13" x14ac:dyDescent="0.25">
      <c r="J692" s="161"/>
      <c r="K692" s="161"/>
      <c r="L692" s="161"/>
      <c r="M692" s="161"/>
    </row>
    <row r="693" spans="10:13" x14ac:dyDescent="0.25">
      <c r="J693" s="161"/>
      <c r="K693" s="161"/>
      <c r="L693" s="161"/>
      <c r="M693" s="161"/>
    </row>
    <row r="694" spans="10:13" x14ac:dyDescent="0.25">
      <c r="J694" s="161"/>
      <c r="K694" s="161"/>
      <c r="L694" s="161"/>
      <c r="M694" s="161"/>
    </row>
    <row r="695" spans="10:13" x14ac:dyDescent="0.25">
      <c r="J695" s="161"/>
      <c r="K695" s="161"/>
      <c r="L695" s="161"/>
      <c r="M695" s="161"/>
    </row>
    <row r="696" spans="10:13" x14ac:dyDescent="0.25">
      <c r="J696" s="161"/>
      <c r="K696" s="161"/>
      <c r="L696" s="161"/>
      <c r="M696" s="161"/>
    </row>
    <row r="697" spans="10:13" x14ac:dyDescent="0.25">
      <c r="J697" s="161"/>
      <c r="K697" s="161"/>
      <c r="L697" s="161"/>
      <c r="M697" s="161"/>
    </row>
    <row r="698" spans="10:13" x14ac:dyDescent="0.25">
      <c r="J698" s="161"/>
      <c r="K698" s="161"/>
      <c r="L698" s="161"/>
      <c r="M698" s="161"/>
    </row>
    <row r="699" spans="10:13" x14ac:dyDescent="0.25">
      <c r="J699" s="161"/>
      <c r="K699" s="161"/>
      <c r="L699" s="161"/>
      <c r="M699" s="161"/>
    </row>
    <row r="700" spans="10:13" x14ac:dyDescent="0.25">
      <c r="J700" s="161"/>
      <c r="K700" s="161"/>
      <c r="L700" s="161"/>
      <c r="M700" s="161"/>
    </row>
    <row r="701" spans="10:13" x14ac:dyDescent="0.25">
      <c r="J701" s="161"/>
      <c r="K701" s="161"/>
      <c r="L701" s="161"/>
      <c r="M701" s="161"/>
    </row>
    <row r="702" spans="10:13" x14ac:dyDescent="0.25">
      <c r="J702" s="161"/>
      <c r="K702" s="161"/>
      <c r="L702" s="161"/>
      <c r="M702" s="161"/>
    </row>
    <row r="703" spans="10:13" x14ac:dyDescent="0.25">
      <c r="J703" s="161"/>
      <c r="K703" s="161"/>
      <c r="L703" s="161"/>
      <c r="M703" s="161"/>
    </row>
    <row r="704" spans="10:13" x14ac:dyDescent="0.25">
      <c r="J704" s="161"/>
      <c r="K704" s="161"/>
      <c r="L704" s="161"/>
      <c r="M704" s="161"/>
    </row>
    <row r="705" spans="10:13" x14ac:dyDescent="0.25">
      <c r="J705" s="161"/>
      <c r="K705" s="161"/>
      <c r="L705" s="161"/>
      <c r="M705" s="161"/>
    </row>
    <row r="706" spans="10:13" x14ac:dyDescent="0.25">
      <c r="J706" s="161"/>
      <c r="K706" s="161"/>
      <c r="L706" s="161"/>
      <c r="M706" s="161"/>
    </row>
    <row r="707" spans="10:13" x14ac:dyDescent="0.25">
      <c r="J707" s="161"/>
      <c r="K707" s="161"/>
      <c r="L707" s="161"/>
      <c r="M707" s="161"/>
    </row>
    <row r="708" spans="10:13" x14ac:dyDescent="0.25">
      <c r="J708" s="161"/>
      <c r="K708" s="161"/>
      <c r="L708" s="161"/>
      <c r="M708" s="161"/>
    </row>
    <row r="709" spans="10:13" x14ac:dyDescent="0.25">
      <c r="J709" s="161"/>
      <c r="K709" s="161"/>
      <c r="L709" s="161"/>
      <c r="M709" s="161"/>
    </row>
    <row r="710" spans="10:13" x14ac:dyDescent="0.25">
      <c r="J710" s="161"/>
      <c r="K710" s="161"/>
      <c r="L710" s="161"/>
      <c r="M710" s="161"/>
    </row>
    <row r="711" spans="10:13" x14ac:dyDescent="0.25">
      <c r="J711" s="161"/>
      <c r="K711" s="161"/>
      <c r="L711" s="161"/>
      <c r="M711" s="161"/>
    </row>
    <row r="712" spans="10:13" x14ac:dyDescent="0.25">
      <c r="J712" s="161"/>
      <c r="K712" s="161"/>
      <c r="L712" s="161"/>
      <c r="M712" s="161"/>
    </row>
    <row r="713" spans="10:13" x14ac:dyDescent="0.25">
      <c r="J713" s="161"/>
      <c r="K713" s="161"/>
      <c r="L713" s="161"/>
      <c r="M713" s="161"/>
    </row>
    <row r="714" spans="10:13" x14ac:dyDescent="0.25">
      <c r="J714" s="161"/>
      <c r="K714" s="161"/>
      <c r="L714" s="161"/>
      <c r="M714" s="161"/>
    </row>
    <row r="715" spans="10:13" x14ac:dyDescent="0.25">
      <c r="J715" s="161"/>
      <c r="K715" s="161"/>
      <c r="L715" s="161"/>
      <c r="M715" s="161"/>
    </row>
    <row r="716" spans="10:13" x14ac:dyDescent="0.25">
      <c r="J716" s="161"/>
      <c r="K716" s="161"/>
      <c r="L716" s="161"/>
      <c r="M716" s="161"/>
    </row>
    <row r="717" spans="10:13" x14ac:dyDescent="0.25">
      <c r="J717" s="161"/>
      <c r="K717" s="161"/>
      <c r="L717" s="161"/>
      <c r="M717" s="161"/>
    </row>
    <row r="718" spans="10:13" x14ac:dyDescent="0.25">
      <c r="J718" s="161"/>
      <c r="K718" s="161"/>
      <c r="L718" s="161"/>
      <c r="M718" s="161"/>
    </row>
    <row r="719" spans="10:13" x14ac:dyDescent="0.25">
      <c r="J719" s="161"/>
      <c r="K719" s="161"/>
      <c r="L719" s="161"/>
      <c r="M719" s="161"/>
    </row>
    <row r="720" spans="10:13" x14ac:dyDescent="0.25">
      <c r="J720" s="161"/>
      <c r="K720" s="161"/>
      <c r="L720" s="161"/>
      <c r="M720" s="161"/>
    </row>
    <row r="721" spans="10:13" x14ac:dyDescent="0.25">
      <c r="J721" s="161"/>
      <c r="K721" s="161"/>
      <c r="L721" s="161"/>
      <c r="M721" s="161"/>
    </row>
    <row r="722" spans="10:13" x14ac:dyDescent="0.25">
      <c r="J722" s="161"/>
      <c r="K722" s="161"/>
      <c r="L722" s="161"/>
      <c r="M722" s="161"/>
    </row>
    <row r="723" spans="10:13" x14ac:dyDescent="0.25">
      <c r="J723" s="161"/>
      <c r="K723" s="161"/>
      <c r="L723" s="161"/>
      <c r="M723" s="161"/>
    </row>
    <row r="724" spans="10:13" x14ac:dyDescent="0.25">
      <c r="J724" s="161"/>
      <c r="K724" s="161"/>
      <c r="L724" s="161"/>
      <c r="M724" s="161"/>
    </row>
    <row r="725" spans="10:13" x14ac:dyDescent="0.25">
      <c r="J725" s="161"/>
      <c r="K725" s="161"/>
      <c r="L725" s="161"/>
      <c r="M725" s="161"/>
    </row>
    <row r="726" spans="10:13" x14ac:dyDescent="0.25">
      <c r="J726" s="161"/>
      <c r="K726" s="161"/>
      <c r="L726" s="161"/>
      <c r="M726" s="161"/>
    </row>
    <row r="727" spans="10:13" x14ac:dyDescent="0.25">
      <c r="J727" s="161"/>
      <c r="K727" s="161"/>
      <c r="L727" s="161"/>
      <c r="M727" s="161"/>
    </row>
    <row r="728" spans="10:13" x14ac:dyDescent="0.25">
      <c r="J728" s="161"/>
      <c r="K728" s="161"/>
      <c r="L728" s="161"/>
      <c r="M728" s="161"/>
    </row>
    <row r="729" spans="10:13" x14ac:dyDescent="0.25">
      <c r="J729" s="161"/>
      <c r="K729" s="161"/>
      <c r="L729" s="161"/>
      <c r="M729" s="161"/>
    </row>
    <row r="730" spans="10:13" x14ac:dyDescent="0.25">
      <c r="J730" s="161"/>
      <c r="K730" s="161"/>
      <c r="L730" s="161"/>
      <c r="M730" s="161"/>
    </row>
    <row r="731" spans="10:13" x14ac:dyDescent="0.25">
      <c r="J731" s="161"/>
      <c r="K731" s="161"/>
      <c r="L731" s="161"/>
      <c r="M731" s="161"/>
    </row>
    <row r="732" spans="10:13" x14ac:dyDescent="0.25">
      <c r="J732" s="161"/>
      <c r="K732" s="161"/>
      <c r="L732" s="161"/>
      <c r="M732" s="161"/>
    </row>
    <row r="733" spans="10:13" x14ac:dyDescent="0.25">
      <c r="J733" s="161"/>
      <c r="K733" s="161"/>
      <c r="L733" s="161"/>
      <c r="M733" s="161"/>
    </row>
    <row r="734" spans="10:13" x14ac:dyDescent="0.25">
      <c r="J734" s="161"/>
      <c r="K734" s="161"/>
      <c r="L734" s="161"/>
      <c r="M734" s="161"/>
    </row>
    <row r="735" spans="10:13" x14ac:dyDescent="0.25">
      <c r="J735" s="161"/>
      <c r="K735" s="161"/>
      <c r="L735" s="161"/>
      <c r="M735" s="161"/>
    </row>
    <row r="736" spans="10:13" x14ac:dyDescent="0.25">
      <c r="J736" s="161"/>
      <c r="K736" s="161"/>
      <c r="L736" s="161"/>
      <c r="M736" s="161"/>
    </row>
    <row r="737" spans="10:13" x14ac:dyDescent="0.25">
      <c r="J737" s="161"/>
      <c r="K737" s="161"/>
      <c r="L737" s="161"/>
      <c r="M737" s="161"/>
    </row>
    <row r="738" spans="10:13" x14ac:dyDescent="0.25">
      <c r="J738" s="161"/>
      <c r="K738" s="161"/>
      <c r="L738" s="161"/>
      <c r="M738" s="161"/>
    </row>
    <row r="739" spans="10:13" x14ac:dyDescent="0.25">
      <c r="J739" s="161"/>
      <c r="K739" s="161"/>
      <c r="L739" s="161"/>
      <c r="M739" s="161"/>
    </row>
    <row r="740" spans="10:13" x14ac:dyDescent="0.25">
      <c r="J740" s="161"/>
      <c r="K740" s="161"/>
      <c r="L740" s="161"/>
      <c r="M740" s="161"/>
    </row>
    <row r="741" spans="10:13" x14ac:dyDescent="0.25">
      <c r="J741" s="161"/>
      <c r="K741" s="161"/>
      <c r="L741" s="161"/>
      <c r="M741" s="161"/>
    </row>
    <row r="742" spans="10:13" x14ac:dyDescent="0.25">
      <c r="J742" s="161"/>
      <c r="K742" s="161"/>
      <c r="L742" s="161"/>
      <c r="M742" s="161"/>
    </row>
    <row r="743" spans="10:13" x14ac:dyDescent="0.25">
      <c r="J743" s="161"/>
      <c r="K743" s="161"/>
      <c r="L743" s="161"/>
      <c r="M743" s="161"/>
    </row>
    <row r="744" spans="10:13" x14ac:dyDescent="0.25">
      <c r="J744" s="161"/>
      <c r="K744" s="161"/>
      <c r="L744" s="161"/>
      <c r="M744" s="161"/>
    </row>
    <row r="745" spans="10:13" x14ac:dyDescent="0.25">
      <c r="J745" s="161"/>
      <c r="K745" s="161"/>
      <c r="L745" s="161"/>
      <c r="M745" s="161"/>
    </row>
    <row r="746" spans="10:13" x14ac:dyDescent="0.25">
      <c r="J746" s="161"/>
      <c r="K746" s="161"/>
      <c r="L746" s="161"/>
      <c r="M746" s="161"/>
    </row>
    <row r="747" spans="10:13" x14ac:dyDescent="0.25">
      <c r="J747" s="161"/>
      <c r="K747" s="161"/>
      <c r="L747" s="161"/>
      <c r="M747" s="161"/>
    </row>
    <row r="748" spans="10:13" x14ac:dyDescent="0.25">
      <c r="J748" s="161"/>
      <c r="K748" s="161"/>
      <c r="L748" s="161"/>
      <c r="M748" s="161"/>
    </row>
    <row r="749" spans="10:13" x14ac:dyDescent="0.25">
      <c r="J749" s="161"/>
      <c r="K749" s="161"/>
      <c r="L749" s="161"/>
      <c r="M749" s="161"/>
    </row>
    <row r="750" spans="10:13" x14ac:dyDescent="0.25">
      <c r="J750" s="161"/>
      <c r="K750" s="161"/>
      <c r="L750" s="161"/>
      <c r="M750" s="161"/>
    </row>
    <row r="751" spans="10:13" x14ac:dyDescent="0.25">
      <c r="J751" s="161"/>
      <c r="K751" s="161"/>
      <c r="L751" s="161"/>
      <c r="M751" s="161"/>
    </row>
    <row r="752" spans="10:13" x14ac:dyDescent="0.25">
      <c r="J752" s="161"/>
      <c r="K752" s="161"/>
      <c r="L752" s="161"/>
      <c r="M752" s="161"/>
    </row>
    <row r="753" spans="10:13" x14ac:dyDescent="0.25">
      <c r="J753" s="161"/>
      <c r="K753" s="161"/>
      <c r="L753" s="161"/>
      <c r="M753" s="161"/>
    </row>
    <row r="754" spans="10:13" x14ac:dyDescent="0.25">
      <c r="J754" s="161"/>
      <c r="K754" s="161"/>
      <c r="L754" s="161"/>
      <c r="M754" s="161"/>
    </row>
    <row r="755" spans="10:13" x14ac:dyDescent="0.25">
      <c r="J755" s="161"/>
      <c r="K755" s="161"/>
      <c r="L755" s="161"/>
      <c r="M755" s="161"/>
    </row>
    <row r="756" spans="10:13" x14ac:dyDescent="0.25">
      <c r="J756" s="161"/>
      <c r="K756" s="161"/>
      <c r="L756" s="161"/>
      <c r="M756" s="161"/>
    </row>
    <row r="757" spans="10:13" x14ac:dyDescent="0.25">
      <c r="J757" s="161"/>
      <c r="K757" s="161"/>
      <c r="L757" s="161"/>
      <c r="M757" s="161"/>
    </row>
    <row r="758" spans="10:13" x14ac:dyDescent="0.25">
      <c r="J758" s="161"/>
      <c r="K758" s="161"/>
      <c r="L758" s="161"/>
      <c r="M758" s="161"/>
    </row>
    <row r="759" spans="10:13" x14ac:dyDescent="0.25">
      <c r="J759" s="161"/>
      <c r="K759" s="161"/>
      <c r="L759" s="161"/>
      <c r="M759" s="161"/>
    </row>
    <row r="760" spans="10:13" x14ac:dyDescent="0.25">
      <c r="J760" s="161"/>
      <c r="K760" s="161"/>
      <c r="L760" s="161"/>
      <c r="M760" s="161"/>
    </row>
    <row r="761" spans="10:13" x14ac:dyDescent="0.25">
      <c r="J761" s="161"/>
      <c r="K761" s="161"/>
      <c r="L761" s="161"/>
      <c r="M761" s="161"/>
    </row>
    <row r="762" spans="10:13" x14ac:dyDescent="0.25">
      <c r="J762" s="161"/>
      <c r="K762" s="161"/>
      <c r="L762" s="161"/>
      <c r="M762" s="161"/>
    </row>
    <row r="763" spans="10:13" x14ac:dyDescent="0.25">
      <c r="J763" s="161"/>
      <c r="K763" s="161"/>
      <c r="L763" s="161"/>
      <c r="M763" s="161"/>
    </row>
    <row r="764" spans="10:13" x14ac:dyDescent="0.25">
      <c r="J764" s="161"/>
      <c r="K764" s="161"/>
      <c r="L764" s="161"/>
      <c r="M764" s="161"/>
    </row>
    <row r="765" spans="10:13" x14ac:dyDescent="0.25">
      <c r="J765" s="161"/>
      <c r="K765" s="161"/>
      <c r="L765" s="161"/>
      <c r="M765" s="161"/>
    </row>
    <row r="766" spans="10:13" x14ac:dyDescent="0.25">
      <c r="J766" s="161"/>
      <c r="K766" s="161"/>
      <c r="L766" s="161"/>
      <c r="M766" s="161"/>
    </row>
    <row r="767" spans="10:13" x14ac:dyDescent="0.25">
      <c r="J767" s="161"/>
      <c r="K767" s="161"/>
      <c r="L767" s="161"/>
      <c r="M767" s="161"/>
    </row>
    <row r="768" spans="10:13" x14ac:dyDescent="0.25">
      <c r="J768" s="161"/>
      <c r="K768" s="161"/>
      <c r="L768" s="161"/>
      <c r="M768" s="161"/>
    </row>
    <row r="769" spans="1:13" x14ac:dyDescent="0.25">
      <c r="J769" s="161"/>
      <c r="K769" s="161"/>
      <c r="L769" s="161"/>
      <c r="M769" s="161"/>
    </row>
    <row r="770" spans="1:13" x14ac:dyDescent="0.25">
      <c r="J770" s="161"/>
      <c r="K770" s="161"/>
      <c r="L770" s="161"/>
      <c r="M770" s="161"/>
    </row>
    <row r="771" spans="1:13" x14ac:dyDescent="0.25">
      <c r="J771" s="161"/>
      <c r="K771" s="161"/>
      <c r="L771" s="161"/>
      <c r="M771" s="161"/>
    </row>
    <row r="772" spans="1:13" x14ac:dyDescent="0.25">
      <c r="J772" s="161"/>
      <c r="K772" s="161"/>
      <c r="L772" s="161"/>
      <c r="M772" s="161"/>
    </row>
    <row r="773" spans="1:13" x14ac:dyDescent="0.25">
      <c r="J773" s="161"/>
      <c r="K773" s="161"/>
      <c r="L773" s="161"/>
      <c r="M773" s="161"/>
    </row>
    <row r="774" spans="1:13" x14ac:dyDescent="0.25">
      <c r="J774" s="161"/>
      <c r="K774" s="161"/>
      <c r="L774" s="161"/>
      <c r="M774" s="161"/>
    </row>
    <row r="775" spans="1:13" x14ac:dyDescent="0.25">
      <c r="J775" s="161"/>
      <c r="K775" s="161"/>
      <c r="L775" s="161"/>
      <c r="M775" s="161"/>
    </row>
    <row r="776" spans="1:13" x14ac:dyDescent="0.25">
      <c r="J776" s="161"/>
      <c r="K776" s="161"/>
      <c r="L776" s="161"/>
      <c r="M776" s="161"/>
    </row>
    <row r="777" spans="1:13" x14ac:dyDescent="0.25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</row>
    <row r="780" spans="1:13" x14ac:dyDescent="0.25">
      <c r="A780" s="220"/>
      <c r="B780" s="220"/>
      <c r="C780" s="220"/>
    </row>
  </sheetData>
  <mergeCells count="223">
    <mergeCell ref="A431:A432"/>
    <mergeCell ref="A282:A283"/>
    <mergeCell ref="A385:A402"/>
    <mergeCell ref="B393:B394"/>
    <mergeCell ref="B391:B392"/>
    <mergeCell ref="B354:B355"/>
    <mergeCell ref="B341:B344"/>
    <mergeCell ref="B68:B72"/>
    <mergeCell ref="B34:B39"/>
    <mergeCell ref="A261:A279"/>
    <mergeCell ref="A238:A258"/>
    <mergeCell ref="A404:A430"/>
    <mergeCell ref="A341:A357"/>
    <mergeCell ref="A284:A303"/>
    <mergeCell ref="B116:B117"/>
    <mergeCell ref="B122:B123"/>
    <mergeCell ref="B146:B149"/>
    <mergeCell ref="B40:B43"/>
    <mergeCell ref="B154:B155"/>
    <mergeCell ref="B232:B234"/>
    <mergeCell ref="A158:A179"/>
    <mergeCell ref="B185:B187"/>
    <mergeCell ref="B165:B167"/>
    <mergeCell ref="B224:B226"/>
    <mergeCell ref="B25:B28"/>
    <mergeCell ref="B9:B12"/>
    <mergeCell ref="B158:B161"/>
    <mergeCell ref="B171:B172"/>
    <mergeCell ref="B169:B170"/>
    <mergeCell ref="B422:B423"/>
    <mergeCell ref="B416:B418"/>
    <mergeCell ref="B320:B321"/>
    <mergeCell ref="K431:K450"/>
    <mergeCell ref="B238:B242"/>
    <mergeCell ref="B245:B247"/>
    <mergeCell ref="B256:B258"/>
    <mergeCell ref="B251:B252"/>
    <mergeCell ref="B308:B309"/>
    <mergeCell ref="B297:B298"/>
    <mergeCell ref="B301:B303"/>
    <mergeCell ref="B284:B288"/>
    <mergeCell ref="B289:B290"/>
    <mergeCell ref="B291:B294"/>
    <mergeCell ref="B295:B296"/>
    <mergeCell ref="B13:B17"/>
    <mergeCell ref="B156:B157"/>
    <mergeCell ref="B118:B121"/>
    <mergeCell ref="B111:B115"/>
    <mergeCell ref="A439:A470"/>
    <mergeCell ref="B254:B255"/>
    <mergeCell ref="B243:B244"/>
    <mergeCell ref="A365:A383"/>
    <mergeCell ref="B370:B372"/>
    <mergeCell ref="B361:B362"/>
    <mergeCell ref="A259:A260"/>
    <mergeCell ref="L433:L434"/>
    <mergeCell ref="L435:L437"/>
    <mergeCell ref="L439:L440"/>
    <mergeCell ref="L441:L443"/>
    <mergeCell ref="L445:L447"/>
    <mergeCell ref="L448:L450"/>
    <mergeCell ref="B356:B357"/>
    <mergeCell ref="B381:B383"/>
    <mergeCell ref="B368:B369"/>
    <mergeCell ref="B378:B379"/>
    <mergeCell ref="B411:B415"/>
    <mergeCell ref="B248:B250"/>
    <mergeCell ref="B310:B312"/>
    <mergeCell ref="B399:B401"/>
    <mergeCell ref="B266:B268"/>
    <mergeCell ref="B270:B272"/>
    <mergeCell ref="B304:B307"/>
    <mergeCell ref="A3:A33"/>
    <mergeCell ref="B3:B8"/>
    <mergeCell ref="B19:B24"/>
    <mergeCell ref="A146:A157"/>
    <mergeCell ref="A111:A137"/>
    <mergeCell ref="A213:A235"/>
    <mergeCell ref="B173:B174"/>
    <mergeCell ref="B132:B133"/>
    <mergeCell ref="B134:B136"/>
    <mergeCell ref="B128:B131"/>
    <mergeCell ref="B124:B127"/>
    <mergeCell ref="B180:B182"/>
    <mergeCell ref="B218:B221"/>
    <mergeCell ref="B216:B217"/>
    <mergeCell ref="B227:B229"/>
    <mergeCell ref="B51:B54"/>
    <mergeCell ref="B55:B58"/>
    <mergeCell ref="B183:B184"/>
    <mergeCell ref="B162:B164"/>
    <mergeCell ref="B204:B205"/>
    <mergeCell ref="B150:B151"/>
    <mergeCell ref="B175:B177"/>
    <mergeCell ref="B230:B231"/>
    <mergeCell ref="A180:A193"/>
    <mergeCell ref="B213:B215"/>
    <mergeCell ref="B191:B193"/>
    <mergeCell ref="A194:A209"/>
    <mergeCell ref="B194:B196"/>
    <mergeCell ref="B198:B199"/>
    <mergeCell ref="B200:B201"/>
    <mergeCell ref="B202:B203"/>
    <mergeCell ref="B206:B207"/>
    <mergeCell ref="B208:B209"/>
    <mergeCell ref="A304:A318"/>
    <mergeCell ref="B323:B325"/>
    <mergeCell ref="B333:B335"/>
    <mergeCell ref="B385:B386"/>
    <mergeCell ref="B351:B353"/>
    <mergeCell ref="B375:B377"/>
    <mergeCell ref="B330:B331"/>
    <mergeCell ref="A360:A363"/>
    <mergeCell ref="A320:A321"/>
    <mergeCell ref="A323:A340"/>
    <mergeCell ref="B373:B374"/>
    <mergeCell ref="B365:B367"/>
    <mergeCell ref="B337:B339"/>
    <mergeCell ref="B326:B327"/>
    <mergeCell ref="B274:B275"/>
    <mergeCell ref="B593:B594"/>
    <mergeCell ref="A34:A87"/>
    <mergeCell ref="B59:B60"/>
    <mergeCell ref="A88:A108"/>
    <mergeCell ref="B93:B94"/>
    <mergeCell ref="B95:B97"/>
    <mergeCell ref="B99:B100"/>
    <mergeCell ref="B101:B103"/>
    <mergeCell ref="B105:B107"/>
    <mergeCell ref="B61:B63"/>
    <mergeCell ref="B44:B50"/>
    <mergeCell ref="B74:B78"/>
    <mergeCell ref="B65:B67"/>
    <mergeCell ref="B88:B92"/>
    <mergeCell ref="B79:B80"/>
    <mergeCell ref="B81:B84"/>
    <mergeCell ref="B85:B86"/>
    <mergeCell ref="A471:A502"/>
    <mergeCell ref="B277:B279"/>
    <mergeCell ref="B261:B263"/>
    <mergeCell ref="A433:A434"/>
    <mergeCell ref="B140:B141"/>
    <mergeCell ref="B142:B143"/>
    <mergeCell ref="B144:B145"/>
    <mergeCell ref="A617:A623"/>
    <mergeCell ref="B617:B619"/>
    <mergeCell ref="B620:B621"/>
    <mergeCell ref="B622:B623"/>
    <mergeCell ref="B517:B518"/>
    <mergeCell ref="A138:A145"/>
    <mergeCell ref="B138:B139"/>
    <mergeCell ref="B264:B265"/>
    <mergeCell ref="A596:A616"/>
    <mergeCell ref="B596:B599"/>
    <mergeCell ref="B600:B603"/>
    <mergeCell ref="B604:B606"/>
    <mergeCell ref="B607:B610"/>
    <mergeCell ref="B614:B615"/>
    <mergeCell ref="B611:B612"/>
    <mergeCell ref="B535:B539"/>
    <mergeCell ref="B540:B543"/>
    <mergeCell ref="B580:B583"/>
    <mergeCell ref="A535:A565"/>
    <mergeCell ref="B388:B390"/>
    <mergeCell ref="B314:B315"/>
    <mergeCell ref="B397:B398"/>
    <mergeCell ref="B328:B329"/>
    <mergeCell ref="B508:B511"/>
    <mergeCell ref="B512:B516"/>
    <mergeCell ref="B497:B499"/>
    <mergeCell ref="B439:B443"/>
    <mergeCell ref="B444:B447"/>
    <mergeCell ref="B448:B452"/>
    <mergeCell ref="B419:B421"/>
    <mergeCell ref="B316:B318"/>
    <mergeCell ref="B345:B346"/>
    <mergeCell ref="B426:B428"/>
    <mergeCell ref="B424:B425"/>
    <mergeCell ref="B404:B407"/>
    <mergeCell ref="B348:B350"/>
    <mergeCell ref="B433:B434"/>
    <mergeCell ref="B395:B396"/>
    <mergeCell ref="B431:B432"/>
    <mergeCell ref="B408:B410"/>
    <mergeCell ref="B459:B462"/>
    <mergeCell ref="B468:B469"/>
    <mergeCell ref="B463:B464"/>
    <mergeCell ref="B465:B467"/>
    <mergeCell ref="B503:B507"/>
    <mergeCell ref="B471:B475"/>
    <mergeCell ref="B476:B479"/>
    <mergeCell ref="B453:B454"/>
    <mergeCell ref="B455:B458"/>
    <mergeCell ref="B487:B490"/>
    <mergeCell ref="B480:B484"/>
    <mergeCell ref="B485:B486"/>
    <mergeCell ref="B491:B494"/>
    <mergeCell ref="B500:B501"/>
    <mergeCell ref="B495:B496"/>
    <mergeCell ref="B527:B528"/>
    <mergeCell ref="A624:A630"/>
    <mergeCell ref="B624:B626"/>
    <mergeCell ref="B627:B628"/>
    <mergeCell ref="B629:B630"/>
    <mergeCell ref="B588:B589"/>
    <mergeCell ref="B590:B592"/>
    <mergeCell ref="B544:B548"/>
    <mergeCell ref="A566:A595"/>
    <mergeCell ref="B566:B569"/>
    <mergeCell ref="A503:A534"/>
    <mergeCell ref="B574:B578"/>
    <mergeCell ref="B563:B564"/>
    <mergeCell ref="B555:B558"/>
    <mergeCell ref="B549:B550"/>
    <mergeCell ref="B551:B554"/>
    <mergeCell ref="B559:B560"/>
    <mergeCell ref="B519:B522"/>
    <mergeCell ref="B570:B573"/>
    <mergeCell ref="B584:B587"/>
    <mergeCell ref="B561:B562"/>
    <mergeCell ref="B529:B531"/>
    <mergeCell ref="B532:B533"/>
    <mergeCell ref="B523:B526"/>
  </mergeCells>
  <pageMargins left="0.70866141732283472" right="0.70866141732283472" top="0.74803149606299213" bottom="0.74803149606299213" header="0.31496062992125984" footer="0.31496062992125984"/>
  <pageSetup paperSize="9" scale="52" fitToHeight="1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F245-78FB-4BDD-BBFA-C9652907AF2D}">
  <dimension ref="A1:I146"/>
  <sheetViews>
    <sheetView tabSelected="1" topLeftCell="A64" workbookViewId="0">
      <selection activeCell="A73" sqref="A73:A82"/>
    </sheetView>
  </sheetViews>
  <sheetFormatPr defaultRowHeight="15" x14ac:dyDescent="0.25"/>
  <cols>
    <col min="1" max="1" width="21.5703125" bestFit="1" customWidth="1"/>
    <col min="2" max="2" width="16.85546875" bestFit="1" customWidth="1"/>
    <col min="3" max="3" width="7.7109375" bestFit="1" customWidth="1"/>
  </cols>
  <sheetData>
    <row r="1" spans="1:9" x14ac:dyDescent="0.25">
      <c r="A1" s="401" t="s">
        <v>498</v>
      </c>
      <c r="B1" s="401"/>
      <c r="C1" s="401"/>
      <c r="D1" s="401"/>
      <c r="E1" s="401"/>
      <c r="F1" s="161"/>
      <c r="G1" s="161"/>
      <c r="H1" s="161"/>
      <c r="I1" s="161"/>
    </row>
    <row r="2" spans="1:9" x14ac:dyDescent="0.25">
      <c r="A2" s="161"/>
      <c r="B2" s="161"/>
      <c r="C2" s="161"/>
      <c r="D2" s="161"/>
      <c r="E2" s="161"/>
      <c r="F2" s="161"/>
      <c r="G2" s="161"/>
      <c r="H2" s="161"/>
      <c r="I2" s="161"/>
    </row>
    <row r="3" spans="1:9" ht="43.5" thickBot="1" x14ac:dyDescent="0.3">
      <c r="A3" s="25" t="s">
        <v>16</v>
      </c>
      <c r="B3" s="25" t="s">
        <v>64</v>
      </c>
      <c r="C3" s="25" t="s">
        <v>17</v>
      </c>
      <c r="D3" s="25" t="s">
        <v>124</v>
      </c>
      <c r="E3" s="25" t="s">
        <v>63</v>
      </c>
      <c r="F3" s="25" t="s">
        <v>86</v>
      </c>
      <c r="G3" s="25" t="s">
        <v>87</v>
      </c>
      <c r="H3" s="25" t="s">
        <v>88</v>
      </c>
      <c r="I3" s="25" t="s">
        <v>16</v>
      </c>
    </row>
    <row r="4" spans="1:9" ht="15.75" thickTop="1" x14ac:dyDescent="0.25">
      <c r="A4" s="310" t="s">
        <v>476</v>
      </c>
      <c r="B4" s="412" t="s">
        <v>477</v>
      </c>
      <c r="C4" s="180" t="s">
        <v>478</v>
      </c>
      <c r="D4" s="181">
        <f>ROUND(12.7926,0)</f>
        <v>13</v>
      </c>
      <c r="E4" s="151">
        <v>45</v>
      </c>
      <c r="F4" s="182">
        <f>5*180</f>
        <v>900</v>
      </c>
      <c r="G4" s="151">
        <v>45</v>
      </c>
      <c r="H4" s="151">
        <f t="shared" ref="H4:H35" si="0">F4-G4</f>
        <v>855</v>
      </c>
      <c r="I4" s="310">
        <v>229</v>
      </c>
    </row>
    <row r="5" spans="1:9" x14ac:dyDescent="0.25">
      <c r="A5" s="311"/>
      <c r="B5" s="406"/>
      <c r="C5" s="183" t="s">
        <v>479</v>
      </c>
      <c r="D5" s="184">
        <v>17.767499999999998</v>
      </c>
      <c r="E5" s="152">
        <v>28</v>
      </c>
      <c r="F5" s="185">
        <f>5*112</f>
        <v>560</v>
      </c>
      <c r="G5" s="152">
        <f>28+28</f>
        <v>56</v>
      </c>
      <c r="H5" s="152">
        <f t="shared" si="0"/>
        <v>504</v>
      </c>
      <c r="I5" s="311"/>
    </row>
    <row r="6" spans="1:9" x14ac:dyDescent="0.25">
      <c r="A6" s="311"/>
      <c r="B6" s="406"/>
      <c r="C6" s="183" t="s">
        <v>480</v>
      </c>
      <c r="D6" s="184">
        <v>23.453100000000003</v>
      </c>
      <c r="E6" s="152">
        <v>28</v>
      </c>
      <c r="F6" s="185">
        <f>5*112</f>
        <v>560</v>
      </c>
      <c r="G6" s="152"/>
      <c r="H6" s="152">
        <f t="shared" si="0"/>
        <v>560</v>
      </c>
      <c r="I6" s="311"/>
    </row>
    <row r="7" spans="1:9" x14ac:dyDescent="0.25">
      <c r="A7" s="311"/>
      <c r="B7" s="406" t="s">
        <v>481</v>
      </c>
      <c r="C7" s="183" t="s">
        <v>321</v>
      </c>
      <c r="D7" s="184">
        <v>19.544250000000002</v>
      </c>
      <c r="E7" s="152">
        <v>48</v>
      </c>
      <c r="F7" s="185">
        <f>5*192</f>
        <v>960</v>
      </c>
      <c r="G7" s="152"/>
      <c r="H7" s="152">
        <f t="shared" si="0"/>
        <v>960</v>
      </c>
      <c r="I7" s="311"/>
    </row>
    <row r="8" spans="1:9" x14ac:dyDescent="0.25">
      <c r="A8" s="311"/>
      <c r="B8" s="406"/>
      <c r="C8" s="183" t="s">
        <v>66</v>
      </c>
      <c r="D8" s="184">
        <v>26.2959</v>
      </c>
      <c r="E8" s="152">
        <v>24</v>
      </c>
      <c r="F8" s="185">
        <f>5*192</f>
        <v>960</v>
      </c>
      <c r="G8" s="152"/>
      <c r="H8" s="152">
        <f t="shared" si="0"/>
        <v>960</v>
      </c>
      <c r="I8" s="311"/>
    </row>
    <row r="9" spans="1:9" x14ac:dyDescent="0.25">
      <c r="A9" s="311"/>
      <c r="B9" s="406"/>
      <c r="C9" s="183" t="s">
        <v>69</v>
      </c>
      <c r="D9" s="184">
        <v>37.311749999999996</v>
      </c>
      <c r="E9" s="152">
        <v>18</v>
      </c>
      <c r="F9" s="185">
        <f>5*72</f>
        <v>360</v>
      </c>
      <c r="G9" s="152"/>
      <c r="H9" s="152">
        <f t="shared" si="0"/>
        <v>360</v>
      </c>
      <c r="I9" s="311"/>
    </row>
    <row r="10" spans="1:9" x14ac:dyDescent="0.25">
      <c r="A10" s="311"/>
      <c r="B10" s="406" t="s">
        <v>482</v>
      </c>
      <c r="C10" s="183" t="s">
        <v>74</v>
      </c>
      <c r="D10" s="184">
        <v>15.99075</v>
      </c>
      <c r="E10" s="152">
        <v>24</v>
      </c>
      <c r="F10" s="185">
        <f>5*192</f>
        <v>960</v>
      </c>
      <c r="G10" s="152">
        <v>24</v>
      </c>
      <c r="H10" s="152">
        <f t="shared" si="0"/>
        <v>936</v>
      </c>
      <c r="I10" s="311"/>
    </row>
    <row r="11" spans="1:9" x14ac:dyDescent="0.25">
      <c r="A11" s="311"/>
      <c r="B11" s="406"/>
      <c r="C11" s="183" t="s">
        <v>59</v>
      </c>
      <c r="D11" s="184">
        <v>22.7424</v>
      </c>
      <c r="E11" s="152">
        <v>36</v>
      </c>
      <c r="F11" s="218">
        <f>5*108</f>
        <v>540</v>
      </c>
      <c r="G11" s="152">
        <v>36</v>
      </c>
      <c r="H11" s="152">
        <f t="shared" si="0"/>
        <v>504</v>
      </c>
      <c r="I11" s="311"/>
    </row>
    <row r="12" spans="1:9" x14ac:dyDescent="0.25">
      <c r="A12" s="311"/>
      <c r="B12" s="406" t="s">
        <v>483</v>
      </c>
      <c r="C12" s="183" t="s">
        <v>30</v>
      </c>
      <c r="D12" s="184">
        <v>19.8996</v>
      </c>
      <c r="E12" s="152">
        <v>28</v>
      </c>
      <c r="F12" s="185">
        <f>5*112</f>
        <v>560</v>
      </c>
      <c r="G12" s="152">
        <f>28+28</f>
        <v>56</v>
      </c>
      <c r="H12" s="152">
        <f t="shared" si="0"/>
        <v>504</v>
      </c>
      <c r="I12" s="311"/>
    </row>
    <row r="13" spans="1:9" x14ac:dyDescent="0.25">
      <c r="A13" s="311"/>
      <c r="B13" s="406"/>
      <c r="C13" s="183" t="s">
        <v>29</v>
      </c>
      <c r="D13" s="184">
        <v>30.560099999999998</v>
      </c>
      <c r="E13" s="152">
        <v>24</v>
      </c>
      <c r="F13" s="185">
        <f>5*96</f>
        <v>480</v>
      </c>
      <c r="G13" s="152">
        <v>24</v>
      </c>
      <c r="H13" s="152">
        <f t="shared" si="0"/>
        <v>456</v>
      </c>
      <c r="I13" s="311"/>
    </row>
    <row r="14" spans="1:9" x14ac:dyDescent="0.25">
      <c r="A14" s="311"/>
      <c r="B14" s="406"/>
      <c r="C14" s="183" t="s">
        <v>484</v>
      </c>
      <c r="D14" s="184">
        <v>44.063400000000001</v>
      </c>
      <c r="E14" s="152">
        <v>15</v>
      </c>
      <c r="F14" s="185">
        <f>5*45</f>
        <v>225</v>
      </c>
      <c r="G14" s="152"/>
      <c r="H14" s="152">
        <f t="shared" si="0"/>
        <v>225</v>
      </c>
      <c r="I14" s="311"/>
    </row>
    <row r="15" spans="1:9" x14ac:dyDescent="0.25">
      <c r="A15" s="311"/>
      <c r="B15" s="406" t="s">
        <v>485</v>
      </c>
      <c r="C15" s="183" t="s">
        <v>73</v>
      </c>
      <c r="D15" s="184">
        <v>17.41215</v>
      </c>
      <c r="E15" s="152">
        <v>48</v>
      </c>
      <c r="F15" s="185">
        <f>5*192</f>
        <v>960</v>
      </c>
      <c r="G15" s="152">
        <f>48+48</f>
        <v>96</v>
      </c>
      <c r="H15" s="152">
        <f t="shared" si="0"/>
        <v>864</v>
      </c>
      <c r="I15" s="311"/>
    </row>
    <row r="16" spans="1:9" x14ac:dyDescent="0.25">
      <c r="A16" s="311"/>
      <c r="B16" s="406"/>
      <c r="C16" s="183" t="s">
        <v>48</v>
      </c>
      <c r="D16" s="184">
        <v>30.560099999999998</v>
      </c>
      <c r="E16" s="152">
        <v>24</v>
      </c>
      <c r="F16" s="185">
        <f>5*96</f>
        <v>480</v>
      </c>
      <c r="G16" s="152">
        <f>50+24+24</f>
        <v>98</v>
      </c>
      <c r="H16" s="152">
        <f t="shared" si="0"/>
        <v>382</v>
      </c>
      <c r="I16" s="311"/>
    </row>
    <row r="17" spans="1:9" x14ac:dyDescent="0.25">
      <c r="A17" s="311"/>
      <c r="B17" s="406"/>
      <c r="C17" s="183" t="s">
        <v>486</v>
      </c>
      <c r="D17" s="184">
        <v>55.079250000000002</v>
      </c>
      <c r="E17" s="152">
        <v>12</v>
      </c>
      <c r="F17" s="185">
        <f>5*36</f>
        <v>180</v>
      </c>
      <c r="G17" s="152"/>
      <c r="H17" s="152">
        <f t="shared" si="0"/>
        <v>180</v>
      </c>
      <c r="I17" s="311"/>
    </row>
    <row r="18" spans="1:9" x14ac:dyDescent="0.25">
      <c r="A18" s="311"/>
      <c r="B18" s="406" t="s">
        <v>509</v>
      </c>
      <c r="C18" s="183" t="s">
        <v>40</v>
      </c>
      <c r="D18" s="184">
        <v>17.41215</v>
      </c>
      <c r="E18" s="152">
        <v>42</v>
      </c>
      <c r="F18" s="185">
        <f>5*168</f>
        <v>840</v>
      </c>
      <c r="G18" s="154">
        <v>42</v>
      </c>
      <c r="H18" s="154">
        <f t="shared" si="0"/>
        <v>798</v>
      </c>
      <c r="I18" s="311"/>
    </row>
    <row r="19" spans="1:9" ht="15.75" thickBot="1" x14ac:dyDescent="0.3">
      <c r="A19" s="312"/>
      <c r="B19" s="407"/>
      <c r="C19" s="186" t="s">
        <v>80</v>
      </c>
      <c r="D19" s="187">
        <v>22.7424</v>
      </c>
      <c r="E19" s="126">
        <v>24</v>
      </c>
      <c r="F19" s="188">
        <f>5*96</f>
        <v>480</v>
      </c>
      <c r="G19" s="126">
        <v>24</v>
      </c>
      <c r="H19" s="126">
        <f t="shared" si="0"/>
        <v>456</v>
      </c>
      <c r="I19" s="312"/>
    </row>
    <row r="20" spans="1:9" ht="15.75" thickTop="1" x14ac:dyDescent="0.25">
      <c r="A20" s="319" t="s">
        <v>487</v>
      </c>
      <c r="B20" s="408" t="s">
        <v>477</v>
      </c>
      <c r="C20" s="189" t="s">
        <v>478</v>
      </c>
      <c r="D20" s="190">
        <v>12.7926</v>
      </c>
      <c r="E20" s="153">
        <v>45</v>
      </c>
      <c r="F20" s="153">
        <f>5*180</f>
        <v>900</v>
      </c>
      <c r="G20" s="153"/>
      <c r="H20" s="153">
        <f t="shared" si="0"/>
        <v>900</v>
      </c>
      <c r="I20" s="319">
        <v>243</v>
      </c>
    </row>
    <row r="21" spans="1:9" x14ac:dyDescent="0.25">
      <c r="A21" s="311"/>
      <c r="B21" s="409"/>
      <c r="C21" s="191" t="s">
        <v>479</v>
      </c>
      <c r="D21" s="192">
        <v>17.767499999999998</v>
      </c>
      <c r="E21" s="152">
        <v>28</v>
      </c>
      <c r="F21" s="152">
        <f>5*112</f>
        <v>560</v>
      </c>
      <c r="G21" s="152"/>
      <c r="H21" s="152">
        <f t="shared" si="0"/>
        <v>560</v>
      </c>
      <c r="I21" s="311"/>
    </row>
    <row r="22" spans="1:9" x14ac:dyDescent="0.25">
      <c r="A22" s="311"/>
      <c r="B22" s="409"/>
      <c r="C22" s="191" t="s">
        <v>480</v>
      </c>
      <c r="D22" s="192">
        <v>23.453100000000003</v>
      </c>
      <c r="E22" s="152">
        <v>28</v>
      </c>
      <c r="F22" s="152">
        <f>5*112</f>
        <v>560</v>
      </c>
      <c r="G22" s="152"/>
      <c r="H22" s="152">
        <f t="shared" si="0"/>
        <v>560</v>
      </c>
      <c r="I22" s="311"/>
    </row>
    <row r="23" spans="1:9" x14ac:dyDescent="0.25">
      <c r="A23" s="311"/>
      <c r="B23" s="409" t="s">
        <v>481</v>
      </c>
      <c r="C23" s="191" t="s">
        <v>30</v>
      </c>
      <c r="D23" s="192">
        <v>19.544250000000002</v>
      </c>
      <c r="E23" s="152">
        <v>48</v>
      </c>
      <c r="F23" s="152">
        <f>5*192</f>
        <v>960</v>
      </c>
      <c r="G23" s="152"/>
      <c r="H23" s="152">
        <f t="shared" si="0"/>
        <v>960</v>
      </c>
      <c r="I23" s="311"/>
    </row>
    <row r="24" spans="1:9" x14ac:dyDescent="0.25">
      <c r="A24" s="311"/>
      <c r="B24" s="409"/>
      <c r="C24" s="191" t="s">
        <v>66</v>
      </c>
      <c r="D24" s="192">
        <v>26.2959</v>
      </c>
      <c r="E24" s="152">
        <v>24</v>
      </c>
      <c r="F24" s="152">
        <f>5*192</f>
        <v>960</v>
      </c>
      <c r="G24" s="152"/>
      <c r="H24" s="152">
        <f t="shared" si="0"/>
        <v>960</v>
      </c>
      <c r="I24" s="311"/>
    </row>
    <row r="25" spans="1:9" x14ac:dyDescent="0.25">
      <c r="A25" s="311"/>
      <c r="B25" s="409"/>
      <c r="C25" s="191" t="s">
        <v>69</v>
      </c>
      <c r="D25" s="192">
        <v>37.311749999999996</v>
      </c>
      <c r="E25" s="152">
        <v>18</v>
      </c>
      <c r="F25" s="152">
        <f>5*72</f>
        <v>360</v>
      </c>
      <c r="G25" s="152"/>
      <c r="H25" s="152">
        <f t="shared" si="0"/>
        <v>360</v>
      </c>
      <c r="I25" s="311"/>
    </row>
    <row r="26" spans="1:9" x14ac:dyDescent="0.25">
      <c r="A26" s="311"/>
      <c r="B26" s="409" t="s">
        <v>482</v>
      </c>
      <c r="C26" s="191" t="s">
        <v>74</v>
      </c>
      <c r="D26" s="192">
        <v>15.99075</v>
      </c>
      <c r="E26" s="152">
        <v>48</v>
      </c>
      <c r="F26" s="152">
        <f>5*192</f>
        <v>960</v>
      </c>
      <c r="G26" s="152"/>
      <c r="H26" s="152">
        <f t="shared" si="0"/>
        <v>960</v>
      </c>
      <c r="I26" s="311"/>
    </row>
    <row r="27" spans="1:9" x14ac:dyDescent="0.25">
      <c r="A27" s="311"/>
      <c r="B27" s="409"/>
      <c r="C27" s="191" t="s">
        <v>59</v>
      </c>
      <c r="D27" s="192">
        <v>22.7424</v>
      </c>
      <c r="E27" s="152">
        <v>36</v>
      </c>
      <c r="F27" s="83">
        <f>4*108</f>
        <v>432</v>
      </c>
      <c r="G27" s="152"/>
      <c r="H27" s="152">
        <f t="shared" si="0"/>
        <v>432</v>
      </c>
      <c r="I27" s="311"/>
    </row>
    <row r="28" spans="1:9" x14ac:dyDescent="0.25">
      <c r="A28" s="311"/>
      <c r="B28" s="409" t="s">
        <v>483</v>
      </c>
      <c r="C28" s="191" t="s">
        <v>30</v>
      </c>
      <c r="D28" s="192">
        <v>19.8996</v>
      </c>
      <c r="E28" s="152">
        <v>28</v>
      </c>
      <c r="F28" s="152">
        <f>5*112</f>
        <v>560</v>
      </c>
      <c r="G28" s="152"/>
      <c r="H28" s="152">
        <f t="shared" si="0"/>
        <v>560</v>
      </c>
      <c r="I28" s="311"/>
    </row>
    <row r="29" spans="1:9" x14ac:dyDescent="0.25">
      <c r="A29" s="311"/>
      <c r="B29" s="409"/>
      <c r="C29" s="191" t="s">
        <v>29</v>
      </c>
      <c r="D29" s="192">
        <v>30.560099999999998</v>
      </c>
      <c r="E29" s="152">
        <v>24</v>
      </c>
      <c r="F29" s="152">
        <f>5*96</f>
        <v>480</v>
      </c>
      <c r="G29" s="152"/>
      <c r="H29" s="152">
        <f t="shared" si="0"/>
        <v>480</v>
      </c>
      <c r="I29" s="311"/>
    </row>
    <row r="30" spans="1:9" x14ac:dyDescent="0.25">
      <c r="A30" s="311"/>
      <c r="B30" s="409"/>
      <c r="C30" s="191" t="s">
        <v>121</v>
      </c>
      <c r="D30" s="192">
        <v>44.063400000000001</v>
      </c>
      <c r="E30" s="152">
        <v>15</v>
      </c>
      <c r="F30" s="152">
        <f>5*45</f>
        <v>225</v>
      </c>
      <c r="G30" s="152"/>
      <c r="H30" s="152">
        <f t="shared" si="0"/>
        <v>225</v>
      </c>
      <c r="I30" s="311"/>
    </row>
    <row r="31" spans="1:9" x14ac:dyDescent="0.25">
      <c r="A31" s="311"/>
      <c r="B31" s="409" t="s">
        <v>485</v>
      </c>
      <c r="C31" s="191" t="s">
        <v>73</v>
      </c>
      <c r="D31" s="192">
        <v>17.41215</v>
      </c>
      <c r="E31" s="152">
        <v>48</v>
      </c>
      <c r="F31" s="152">
        <f>5*192</f>
        <v>960</v>
      </c>
      <c r="G31" s="152"/>
      <c r="H31" s="152">
        <f t="shared" si="0"/>
        <v>960</v>
      </c>
      <c r="I31" s="311"/>
    </row>
    <row r="32" spans="1:9" x14ac:dyDescent="0.25">
      <c r="A32" s="311"/>
      <c r="B32" s="409"/>
      <c r="C32" s="191" t="s">
        <v>48</v>
      </c>
      <c r="D32" s="192">
        <v>30.560099999999998</v>
      </c>
      <c r="E32" s="152">
        <v>24</v>
      </c>
      <c r="F32" s="152">
        <f>5*96</f>
        <v>480</v>
      </c>
      <c r="G32" s="152"/>
      <c r="H32" s="152">
        <f t="shared" si="0"/>
        <v>480</v>
      </c>
      <c r="I32" s="311"/>
    </row>
    <row r="33" spans="1:9" x14ac:dyDescent="0.25">
      <c r="A33" s="311"/>
      <c r="B33" s="409"/>
      <c r="C33" s="191" t="s">
        <v>47</v>
      </c>
      <c r="D33" s="192">
        <v>55.079250000000002</v>
      </c>
      <c r="E33" s="152">
        <v>12</v>
      </c>
      <c r="F33" s="152">
        <f>5*36</f>
        <v>180</v>
      </c>
      <c r="G33" s="152"/>
      <c r="H33" s="152">
        <f t="shared" si="0"/>
        <v>180</v>
      </c>
      <c r="I33" s="311"/>
    </row>
    <row r="34" spans="1:9" x14ac:dyDescent="0.25">
      <c r="A34" s="311"/>
      <c r="B34" s="409" t="s">
        <v>509</v>
      </c>
      <c r="C34" s="191" t="s">
        <v>40</v>
      </c>
      <c r="D34" s="192">
        <v>17.41215</v>
      </c>
      <c r="E34" s="152">
        <v>42</v>
      </c>
      <c r="F34" s="152">
        <f>5*168</f>
        <v>840</v>
      </c>
      <c r="G34" s="152"/>
      <c r="H34" s="152">
        <f t="shared" si="0"/>
        <v>840</v>
      </c>
      <c r="I34" s="311"/>
    </row>
    <row r="35" spans="1:9" ht="15.75" thickBot="1" x14ac:dyDescent="0.3">
      <c r="A35" s="320"/>
      <c r="B35" s="413"/>
      <c r="C35" s="193" t="s">
        <v>80</v>
      </c>
      <c r="D35" s="194">
        <v>22.7424</v>
      </c>
      <c r="E35" s="154">
        <v>24</v>
      </c>
      <c r="F35" s="154">
        <f>5*96</f>
        <v>480</v>
      </c>
      <c r="G35" s="154"/>
      <c r="H35" s="126">
        <f t="shared" si="0"/>
        <v>480</v>
      </c>
      <c r="I35" s="320"/>
    </row>
    <row r="36" spans="1:9" ht="15.75" thickTop="1" x14ac:dyDescent="0.25">
      <c r="A36" s="310" t="s">
        <v>488</v>
      </c>
      <c r="B36" s="404" t="s">
        <v>477</v>
      </c>
      <c r="C36" s="195" t="s">
        <v>478</v>
      </c>
      <c r="D36" s="196">
        <v>12.7926</v>
      </c>
      <c r="E36" s="151">
        <v>45</v>
      </c>
      <c r="F36" s="151">
        <f>5*180</f>
        <v>900</v>
      </c>
      <c r="G36" s="151">
        <v>45</v>
      </c>
      <c r="H36" s="153">
        <f t="shared" ref="H36:H67" si="1">F36-G36</f>
        <v>855</v>
      </c>
      <c r="I36" s="310">
        <v>502</v>
      </c>
    </row>
    <row r="37" spans="1:9" x14ac:dyDescent="0.25">
      <c r="A37" s="311"/>
      <c r="B37" s="405"/>
      <c r="C37" s="197" t="s">
        <v>479</v>
      </c>
      <c r="D37" s="198">
        <v>17.767499999999998</v>
      </c>
      <c r="E37" s="152">
        <v>28</v>
      </c>
      <c r="F37" s="152">
        <f>5*112</f>
        <v>560</v>
      </c>
      <c r="G37" s="152"/>
      <c r="H37" s="152">
        <f t="shared" si="1"/>
        <v>560</v>
      </c>
      <c r="I37" s="311"/>
    </row>
    <row r="38" spans="1:9" x14ac:dyDescent="0.25">
      <c r="A38" s="311"/>
      <c r="B38" s="405"/>
      <c r="C38" s="197" t="s">
        <v>480</v>
      </c>
      <c r="D38" s="198">
        <v>23.453100000000003</v>
      </c>
      <c r="E38" s="152">
        <v>28</v>
      </c>
      <c r="F38" s="152">
        <f>5*112</f>
        <v>560</v>
      </c>
      <c r="G38" s="152">
        <v>28</v>
      </c>
      <c r="H38" s="152">
        <f t="shared" si="1"/>
        <v>532</v>
      </c>
      <c r="I38" s="311"/>
    </row>
    <row r="39" spans="1:9" x14ac:dyDescent="0.25">
      <c r="A39" s="311"/>
      <c r="B39" s="405" t="s">
        <v>481</v>
      </c>
      <c r="C39" s="197" t="s">
        <v>30</v>
      </c>
      <c r="D39" s="198">
        <v>19.544250000000002</v>
      </c>
      <c r="E39" s="152">
        <v>48</v>
      </c>
      <c r="F39" s="152">
        <f>5*192</f>
        <v>960</v>
      </c>
      <c r="G39" s="152">
        <v>144</v>
      </c>
      <c r="H39" s="152">
        <f t="shared" si="1"/>
        <v>816</v>
      </c>
      <c r="I39" s="311"/>
    </row>
    <row r="40" spans="1:9" x14ac:dyDescent="0.25">
      <c r="A40" s="311"/>
      <c r="B40" s="405"/>
      <c r="C40" s="197" t="s">
        <v>66</v>
      </c>
      <c r="D40" s="198">
        <v>26.2959</v>
      </c>
      <c r="E40" s="152">
        <v>24</v>
      </c>
      <c r="F40" s="152">
        <f>5*192</f>
        <v>960</v>
      </c>
      <c r="G40" s="152">
        <v>72</v>
      </c>
      <c r="H40" s="152">
        <f t="shared" si="1"/>
        <v>888</v>
      </c>
      <c r="I40" s="311"/>
    </row>
    <row r="41" spans="1:9" x14ac:dyDescent="0.25">
      <c r="A41" s="311"/>
      <c r="B41" s="405"/>
      <c r="C41" s="197" t="s">
        <v>69</v>
      </c>
      <c r="D41" s="198">
        <v>37.311749999999996</v>
      </c>
      <c r="E41" s="152">
        <v>18</v>
      </c>
      <c r="F41" s="152">
        <f>5*72</f>
        <v>360</v>
      </c>
      <c r="G41" s="152">
        <f>54+2</f>
        <v>56</v>
      </c>
      <c r="H41" s="152">
        <f t="shared" si="1"/>
        <v>304</v>
      </c>
      <c r="I41" s="311"/>
    </row>
    <row r="42" spans="1:9" x14ac:dyDescent="0.25">
      <c r="A42" s="311"/>
      <c r="B42" s="405" t="s">
        <v>482</v>
      </c>
      <c r="C42" s="197" t="s">
        <v>74</v>
      </c>
      <c r="D42" s="198">
        <v>15.99075</v>
      </c>
      <c r="E42" s="152">
        <v>48</v>
      </c>
      <c r="F42" s="152">
        <f>5*192</f>
        <v>960</v>
      </c>
      <c r="G42" s="152"/>
      <c r="H42" s="152">
        <f t="shared" si="1"/>
        <v>960</v>
      </c>
      <c r="I42" s="311"/>
    </row>
    <row r="43" spans="1:9" x14ac:dyDescent="0.25">
      <c r="A43" s="311"/>
      <c r="B43" s="405"/>
      <c r="C43" s="197" t="s">
        <v>59</v>
      </c>
      <c r="D43" s="198">
        <v>22.7424</v>
      </c>
      <c r="E43" s="152">
        <v>36</v>
      </c>
      <c r="F43" s="83">
        <f>4*108</f>
        <v>432</v>
      </c>
      <c r="G43" s="152">
        <v>50</v>
      </c>
      <c r="H43" s="152">
        <f t="shared" si="1"/>
        <v>382</v>
      </c>
      <c r="I43" s="311"/>
    </row>
    <row r="44" spans="1:9" x14ac:dyDescent="0.25">
      <c r="A44" s="311"/>
      <c r="B44" s="405" t="s">
        <v>483</v>
      </c>
      <c r="C44" s="197" t="s">
        <v>30</v>
      </c>
      <c r="D44" s="198">
        <v>19.8996</v>
      </c>
      <c r="E44" s="152">
        <v>28</v>
      </c>
      <c r="F44" s="152">
        <f>5*112</f>
        <v>560</v>
      </c>
      <c r="G44" s="152"/>
      <c r="H44" s="152">
        <f t="shared" si="1"/>
        <v>560</v>
      </c>
      <c r="I44" s="311"/>
    </row>
    <row r="45" spans="1:9" x14ac:dyDescent="0.25">
      <c r="A45" s="311"/>
      <c r="B45" s="405"/>
      <c r="C45" s="197" t="s">
        <v>29</v>
      </c>
      <c r="D45" s="198">
        <v>30.560099999999998</v>
      </c>
      <c r="E45" s="152">
        <v>24</v>
      </c>
      <c r="F45" s="152">
        <f>5*96</f>
        <v>480</v>
      </c>
      <c r="G45" s="152"/>
      <c r="H45" s="152">
        <f t="shared" si="1"/>
        <v>480</v>
      </c>
      <c r="I45" s="311"/>
    </row>
    <row r="46" spans="1:9" x14ac:dyDescent="0.25">
      <c r="A46" s="311"/>
      <c r="B46" s="405"/>
      <c r="C46" s="197" t="s">
        <v>121</v>
      </c>
      <c r="D46" s="198">
        <v>44.063400000000001</v>
      </c>
      <c r="E46" s="152">
        <v>15</v>
      </c>
      <c r="F46" s="152">
        <f>5*45</f>
        <v>225</v>
      </c>
      <c r="G46" s="152"/>
      <c r="H46" s="152">
        <f t="shared" si="1"/>
        <v>225</v>
      </c>
      <c r="I46" s="311"/>
    </row>
    <row r="47" spans="1:9" x14ac:dyDescent="0.25">
      <c r="A47" s="311"/>
      <c r="B47" s="405" t="s">
        <v>485</v>
      </c>
      <c r="C47" s="197" t="s">
        <v>73</v>
      </c>
      <c r="D47" s="198">
        <v>17.41215</v>
      </c>
      <c r="E47" s="152">
        <v>48</v>
      </c>
      <c r="F47" s="152">
        <f>5*192</f>
        <v>960</v>
      </c>
      <c r="G47" s="152"/>
      <c r="H47" s="152">
        <f t="shared" si="1"/>
        <v>960</v>
      </c>
      <c r="I47" s="311"/>
    </row>
    <row r="48" spans="1:9" x14ac:dyDescent="0.25">
      <c r="A48" s="311"/>
      <c r="B48" s="405"/>
      <c r="C48" s="197" t="s">
        <v>48</v>
      </c>
      <c r="D48" s="198">
        <v>30.560099999999998</v>
      </c>
      <c r="E48" s="152">
        <v>24</v>
      </c>
      <c r="F48" s="152">
        <f>5*96</f>
        <v>480</v>
      </c>
      <c r="G48" s="152"/>
      <c r="H48" s="152">
        <f t="shared" si="1"/>
        <v>480</v>
      </c>
      <c r="I48" s="311"/>
    </row>
    <row r="49" spans="1:9" x14ac:dyDescent="0.25">
      <c r="A49" s="311"/>
      <c r="B49" s="405"/>
      <c r="C49" s="197" t="s">
        <v>47</v>
      </c>
      <c r="D49" s="198">
        <v>55.079250000000002</v>
      </c>
      <c r="E49" s="152">
        <v>12</v>
      </c>
      <c r="F49" s="152">
        <f>5*36</f>
        <v>180</v>
      </c>
      <c r="G49" s="152"/>
      <c r="H49" s="152">
        <f t="shared" si="1"/>
        <v>180</v>
      </c>
      <c r="I49" s="311"/>
    </row>
    <row r="50" spans="1:9" x14ac:dyDescent="0.25">
      <c r="A50" s="311"/>
      <c r="B50" s="405" t="s">
        <v>509</v>
      </c>
      <c r="C50" s="197" t="s">
        <v>40</v>
      </c>
      <c r="D50" s="198">
        <v>17.41215</v>
      </c>
      <c r="E50" s="152">
        <v>42</v>
      </c>
      <c r="F50" s="152">
        <f>5*168</f>
        <v>840</v>
      </c>
      <c r="G50" s="152"/>
      <c r="H50" s="152">
        <f t="shared" si="1"/>
        <v>840</v>
      </c>
      <c r="I50" s="311"/>
    </row>
    <row r="51" spans="1:9" ht="15.75" thickBot="1" x14ac:dyDescent="0.3">
      <c r="A51" s="312"/>
      <c r="B51" s="411"/>
      <c r="C51" s="199" t="s">
        <v>80</v>
      </c>
      <c r="D51" s="200">
        <v>22.7424</v>
      </c>
      <c r="E51" s="126">
        <v>24</v>
      </c>
      <c r="F51" s="126">
        <f>5*96</f>
        <v>480</v>
      </c>
      <c r="G51" s="126"/>
      <c r="H51" s="126">
        <f t="shared" si="1"/>
        <v>480</v>
      </c>
      <c r="I51" s="312"/>
    </row>
    <row r="52" spans="1:9" ht="15.75" thickTop="1" x14ac:dyDescent="0.25">
      <c r="A52" s="310" t="s">
        <v>489</v>
      </c>
      <c r="B52" s="402" t="s">
        <v>477</v>
      </c>
      <c r="C52" s="201" t="s">
        <v>478</v>
      </c>
      <c r="D52" s="202">
        <v>12.7926</v>
      </c>
      <c r="E52" s="151">
        <v>45</v>
      </c>
      <c r="F52" s="151">
        <f>5*180</f>
        <v>900</v>
      </c>
      <c r="G52" s="151"/>
      <c r="H52" s="151">
        <f t="shared" si="1"/>
        <v>900</v>
      </c>
      <c r="I52" s="310">
        <v>263</v>
      </c>
    </row>
    <row r="53" spans="1:9" x14ac:dyDescent="0.25">
      <c r="A53" s="311"/>
      <c r="B53" s="403"/>
      <c r="C53" s="203" t="s">
        <v>479</v>
      </c>
      <c r="D53" s="204">
        <v>17.767499999999998</v>
      </c>
      <c r="E53" s="152">
        <v>28</v>
      </c>
      <c r="F53" s="152">
        <f>5*112</f>
        <v>560</v>
      </c>
      <c r="G53" s="152"/>
      <c r="H53" s="152">
        <f t="shared" si="1"/>
        <v>560</v>
      </c>
      <c r="I53" s="311"/>
    </row>
    <row r="54" spans="1:9" x14ac:dyDescent="0.25">
      <c r="A54" s="311"/>
      <c r="B54" s="403"/>
      <c r="C54" s="203" t="s">
        <v>480</v>
      </c>
      <c r="D54" s="204">
        <v>23.453100000000003</v>
      </c>
      <c r="E54" s="152">
        <v>28</v>
      </c>
      <c r="F54" s="152">
        <f>5*112</f>
        <v>560</v>
      </c>
      <c r="G54" s="152"/>
      <c r="H54" s="152">
        <f t="shared" si="1"/>
        <v>560</v>
      </c>
      <c r="I54" s="311"/>
    </row>
    <row r="55" spans="1:9" x14ac:dyDescent="0.25">
      <c r="A55" s="311"/>
      <c r="B55" s="403" t="s">
        <v>481</v>
      </c>
      <c r="C55" s="203" t="s">
        <v>30</v>
      </c>
      <c r="D55" s="204">
        <v>19.544250000000002</v>
      </c>
      <c r="E55" s="152">
        <v>48</v>
      </c>
      <c r="F55" s="152">
        <f>5*192</f>
        <v>960</v>
      </c>
      <c r="G55" s="152"/>
      <c r="H55" s="152">
        <f t="shared" si="1"/>
        <v>960</v>
      </c>
      <c r="I55" s="311"/>
    </row>
    <row r="56" spans="1:9" x14ac:dyDescent="0.25">
      <c r="A56" s="311"/>
      <c r="B56" s="403"/>
      <c r="C56" s="203" t="s">
        <v>66</v>
      </c>
      <c r="D56" s="204">
        <v>26.2959</v>
      </c>
      <c r="E56" s="152">
        <v>24</v>
      </c>
      <c r="F56" s="152">
        <f>5*192</f>
        <v>960</v>
      </c>
      <c r="G56" s="152"/>
      <c r="H56" s="152">
        <f t="shared" si="1"/>
        <v>960</v>
      </c>
      <c r="I56" s="311"/>
    </row>
    <row r="57" spans="1:9" x14ac:dyDescent="0.25">
      <c r="A57" s="311"/>
      <c r="B57" s="403"/>
      <c r="C57" s="203" t="s">
        <v>69</v>
      </c>
      <c r="D57" s="204">
        <v>37.311749999999996</v>
      </c>
      <c r="E57" s="152">
        <v>18</v>
      </c>
      <c r="F57" s="152">
        <f>5*72</f>
        <v>360</v>
      </c>
      <c r="G57" s="152"/>
      <c r="H57" s="152">
        <f t="shared" si="1"/>
        <v>360</v>
      </c>
      <c r="I57" s="311"/>
    </row>
    <row r="58" spans="1:9" x14ac:dyDescent="0.25">
      <c r="A58" s="311"/>
      <c r="B58" s="403" t="s">
        <v>482</v>
      </c>
      <c r="C58" s="203" t="s">
        <v>74</v>
      </c>
      <c r="D58" s="204">
        <v>15.99075</v>
      </c>
      <c r="E58" s="152">
        <v>48</v>
      </c>
      <c r="F58" s="152">
        <f>5*192</f>
        <v>960</v>
      </c>
      <c r="G58" s="152"/>
      <c r="H58" s="152">
        <f t="shared" si="1"/>
        <v>960</v>
      </c>
      <c r="I58" s="311"/>
    </row>
    <row r="59" spans="1:9" x14ac:dyDescent="0.25">
      <c r="A59" s="311"/>
      <c r="B59" s="403"/>
      <c r="C59" s="203" t="s">
        <v>59</v>
      </c>
      <c r="D59" s="204">
        <v>22.7424</v>
      </c>
      <c r="E59" s="152">
        <v>36</v>
      </c>
      <c r="F59" s="83">
        <f>4*108</f>
        <v>432</v>
      </c>
      <c r="G59" s="152"/>
      <c r="H59" s="152">
        <f t="shared" si="1"/>
        <v>432</v>
      </c>
      <c r="I59" s="311"/>
    </row>
    <row r="60" spans="1:9" x14ac:dyDescent="0.25">
      <c r="A60" s="311"/>
      <c r="B60" s="403" t="s">
        <v>483</v>
      </c>
      <c r="C60" s="203" t="s">
        <v>30</v>
      </c>
      <c r="D60" s="204">
        <v>19.8996</v>
      </c>
      <c r="E60" s="152">
        <v>28</v>
      </c>
      <c r="F60" s="152">
        <f>5*112</f>
        <v>560</v>
      </c>
      <c r="G60" s="152"/>
      <c r="H60" s="152">
        <f t="shared" si="1"/>
        <v>560</v>
      </c>
      <c r="I60" s="311"/>
    </row>
    <row r="61" spans="1:9" x14ac:dyDescent="0.25">
      <c r="A61" s="311"/>
      <c r="B61" s="403"/>
      <c r="C61" s="203" t="s">
        <v>29</v>
      </c>
      <c r="D61" s="204">
        <v>30.560099999999998</v>
      </c>
      <c r="E61" s="152">
        <v>24</v>
      </c>
      <c r="F61" s="152">
        <f>5*96</f>
        <v>480</v>
      </c>
      <c r="G61" s="152"/>
      <c r="H61" s="152">
        <f t="shared" si="1"/>
        <v>480</v>
      </c>
      <c r="I61" s="311"/>
    </row>
    <row r="62" spans="1:9" x14ac:dyDescent="0.25">
      <c r="A62" s="311"/>
      <c r="B62" s="403"/>
      <c r="C62" s="203" t="s">
        <v>121</v>
      </c>
      <c r="D62" s="204">
        <v>44.063400000000001</v>
      </c>
      <c r="E62" s="152">
        <v>15</v>
      </c>
      <c r="F62" s="152">
        <f>5*45</f>
        <v>225</v>
      </c>
      <c r="G62" s="152"/>
      <c r="H62" s="152">
        <f t="shared" si="1"/>
        <v>225</v>
      </c>
      <c r="I62" s="311"/>
    </row>
    <row r="63" spans="1:9" x14ac:dyDescent="0.25">
      <c r="A63" s="311"/>
      <c r="B63" s="403" t="s">
        <v>485</v>
      </c>
      <c r="C63" s="203" t="s">
        <v>73</v>
      </c>
      <c r="D63" s="204">
        <v>17.41215</v>
      </c>
      <c r="E63" s="152">
        <v>48</v>
      </c>
      <c r="F63" s="152">
        <f>5*192</f>
        <v>960</v>
      </c>
      <c r="G63" s="152"/>
      <c r="H63" s="152">
        <f t="shared" si="1"/>
        <v>960</v>
      </c>
      <c r="I63" s="311"/>
    </row>
    <row r="64" spans="1:9" x14ac:dyDescent="0.25">
      <c r="A64" s="311"/>
      <c r="B64" s="403"/>
      <c r="C64" s="203" t="s">
        <v>48</v>
      </c>
      <c r="D64" s="204">
        <v>30.560099999999998</v>
      </c>
      <c r="E64" s="152">
        <v>24</v>
      </c>
      <c r="F64" s="152">
        <f>5*96</f>
        <v>480</v>
      </c>
      <c r="G64" s="152"/>
      <c r="H64" s="152">
        <f t="shared" si="1"/>
        <v>480</v>
      </c>
      <c r="I64" s="311"/>
    </row>
    <row r="65" spans="1:9" x14ac:dyDescent="0.25">
      <c r="A65" s="311"/>
      <c r="B65" s="403"/>
      <c r="C65" s="203" t="s">
        <v>47</v>
      </c>
      <c r="D65" s="204">
        <v>55.079250000000002</v>
      </c>
      <c r="E65" s="152">
        <v>12</v>
      </c>
      <c r="F65" s="152">
        <f>5*36</f>
        <v>180</v>
      </c>
      <c r="G65" s="152"/>
      <c r="H65" s="152">
        <f t="shared" si="1"/>
        <v>180</v>
      </c>
      <c r="I65" s="311"/>
    </row>
    <row r="66" spans="1:9" x14ac:dyDescent="0.25">
      <c r="A66" s="311"/>
      <c r="B66" s="403" t="s">
        <v>509</v>
      </c>
      <c r="C66" s="203" t="s">
        <v>40</v>
      </c>
      <c r="D66" s="204">
        <v>17.41215</v>
      </c>
      <c r="E66" s="152">
        <v>42</v>
      </c>
      <c r="F66" s="152">
        <f>5*168</f>
        <v>840</v>
      </c>
      <c r="G66" s="152"/>
      <c r="H66" s="152">
        <f t="shared" si="1"/>
        <v>840</v>
      </c>
      <c r="I66" s="311"/>
    </row>
    <row r="67" spans="1:9" ht="15.75" thickBot="1" x14ac:dyDescent="0.3">
      <c r="A67" s="312"/>
      <c r="B67" s="410"/>
      <c r="C67" s="205" t="s">
        <v>80</v>
      </c>
      <c r="D67" s="206">
        <v>22.7424</v>
      </c>
      <c r="E67" s="126">
        <v>24</v>
      </c>
      <c r="F67" s="126">
        <f>5*96</f>
        <v>480</v>
      </c>
      <c r="G67" s="126"/>
      <c r="H67" s="126">
        <f t="shared" si="1"/>
        <v>480</v>
      </c>
      <c r="I67" s="312"/>
    </row>
    <row r="68" spans="1:9" ht="15.75" thickTop="1" x14ac:dyDescent="0.25">
      <c r="A68" s="310" t="s">
        <v>216</v>
      </c>
      <c r="B68" s="201" t="s">
        <v>161</v>
      </c>
      <c r="C68" s="201" t="s">
        <v>69</v>
      </c>
      <c r="D68" s="202">
        <v>38</v>
      </c>
      <c r="E68" s="151">
        <v>18</v>
      </c>
      <c r="F68" s="151">
        <v>144</v>
      </c>
      <c r="G68" s="151">
        <f>10+20</f>
        <v>30</v>
      </c>
      <c r="H68" s="151">
        <f t="shared" ref="H68:H99" si="2">F68-G68</f>
        <v>114</v>
      </c>
      <c r="I68" s="310"/>
    </row>
    <row r="69" spans="1:9" x14ac:dyDescent="0.25">
      <c r="A69" s="311"/>
      <c r="B69" s="203" t="s">
        <v>164</v>
      </c>
      <c r="C69" s="203" t="s">
        <v>73</v>
      </c>
      <c r="D69" s="204">
        <v>18</v>
      </c>
      <c r="E69" s="152">
        <v>48</v>
      </c>
      <c r="F69" s="152">
        <v>384</v>
      </c>
      <c r="G69" s="152">
        <v>10</v>
      </c>
      <c r="H69" s="152">
        <f t="shared" si="2"/>
        <v>374</v>
      </c>
      <c r="I69" s="311"/>
    </row>
    <row r="70" spans="1:9" x14ac:dyDescent="0.25">
      <c r="A70" s="311"/>
      <c r="B70" s="403" t="s">
        <v>162</v>
      </c>
      <c r="C70" s="203" t="s">
        <v>59</v>
      </c>
      <c r="D70" s="204">
        <v>24</v>
      </c>
      <c r="E70" s="152">
        <v>36</v>
      </c>
      <c r="F70" s="152">
        <v>216</v>
      </c>
      <c r="G70" s="152">
        <v>10</v>
      </c>
      <c r="H70" s="152">
        <f t="shared" si="2"/>
        <v>206</v>
      </c>
      <c r="I70" s="311"/>
    </row>
    <row r="71" spans="1:9" ht="15.75" thickBot="1" x14ac:dyDescent="0.3">
      <c r="A71" s="312"/>
      <c r="B71" s="410"/>
      <c r="C71" s="205" t="s">
        <v>539</v>
      </c>
      <c r="D71" s="206">
        <v>42</v>
      </c>
      <c r="E71" s="126"/>
      <c r="F71" s="126">
        <v>144</v>
      </c>
      <c r="G71" s="126">
        <v>10</v>
      </c>
      <c r="H71" s="126">
        <f t="shared" si="2"/>
        <v>134</v>
      </c>
      <c r="I71" s="312"/>
    </row>
    <row r="72" spans="1:9" ht="16.5" thickTop="1" thickBot="1" x14ac:dyDescent="0.3">
      <c r="A72" s="31" t="s">
        <v>583</v>
      </c>
      <c r="B72" s="232" t="s">
        <v>161</v>
      </c>
      <c r="C72" s="232" t="s">
        <v>66</v>
      </c>
      <c r="D72" s="233">
        <v>27</v>
      </c>
      <c r="E72" s="31">
        <v>24</v>
      </c>
      <c r="F72" s="31">
        <v>192</v>
      </c>
      <c r="G72" s="31"/>
      <c r="H72" s="31">
        <f t="shared" si="2"/>
        <v>192</v>
      </c>
      <c r="I72" s="31"/>
    </row>
    <row r="73" spans="1:9" ht="15.75" thickTop="1" x14ac:dyDescent="0.25">
      <c r="A73" s="319" t="s">
        <v>1714</v>
      </c>
      <c r="B73" s="319" t="s">
        <v>159</v>
      </c>
      <c r="C73" s="207" t="s">
        <v>50</v>
      </c>
      <c r="D73" s="208">
        <v>16</v>
      </c>
      <c r="E73" s="153">
        <v>45</v>
      </c>
      <c r="F73" s="153">
        <f>3*180</f>
        <v>540</v>
      </c>
      <c r="G73" s="153">
        <f>45+90</f>
        <v>135</v>
      </c>
      <c r="H73" s="153">
        <f t="shared" si="2"/>
        <v>405</v>
      </c>
      <c r="I73" s="319" t="s">
        <v>490</v>
      </c>
    </row>
    <row r="74" spans="1:9" x14ac:dyDescent="0.25">
      <c r="A74" s="311"/>
      <c r="B74" s="311"/>
      <c r="C74" s="203" t="s">
        <v>55</v>
      </c>
      <c r="D74" s="204">
        <v>22</v>
      </c>
      <c r="E74" s="152">
        <v>28</v>
      </c>
      <c r="F74" s="152">
        <f>3*112</f>
        <v>336</v>
      </c>
      <c r="G74" s="152">
        <f>28+56</f>
        <v>84</v>
      </c>
      <c r="H74" s="152">
        <f t="shared" si="2"/>
        <v>252</v>
      </c>
      <c r="I74" s="311"/>
    </row>
    <row r="75" spans="1:9" x14ac:dyDescent="0.25">
      <c r="A75" s="311"/>
      <c r="B75" s="311" t="s">
        <v>161</v>
      </c>
      <c r="C75" s="203" t="s">
        <v>66</v>
      </c>
      <c r="D75" s="204">
        <v>32</v>
      </c>
      <c r="E75" s="152">
        <v>24</v>
      </c>
      <c r="F75" s="152">
        <f>3*96+96</f>
        <v>384</v>
      </c>
      <c r="G75" s="152">
        <f>24+48+48+48+18</f>
        <v>186</v>
      </c>
      <c r="H75" s="152">
        <f t="shared" si="2"/>
        <v>198</v>
      </c>
      <c r="I75" s="311"/>
    </row>
    <row r="76" spans="1:9" x14ac:dyDescent="0.25">
      <c r="A76" s="311"/>
      <c r="B76" s="311"/>
      <c r="C76" s="203" t="s">
        <v>69</v>
      </c>
      <c r="D76" s="204">
        <v>46</v>
      </c>
      <c r="E76" s="152">
        <v>18</v>
      </c>
      <c r="F76" s="152">
        <f>3*72+144</f>
        <v>360</v>
      </c>
      <c r="G76" s="152">
        <f>18+36+2+54+72+2+32</f>
        <v>216</v>
      </c>
      <c r="H76" s="152">
        <f t="shared" si="2"/>
        <v>144</v>
      </c>
      <c r="I76" s="311"/>
    </row>
    <row r="77" spans="1:9" x14ac:dyDescent="0.25">
      <c r="A77" s="311"/>
      <c r="B77" s="311" t="s">
        <v>163</v>
      </c>
      <c r="C77" s="203" t="s">
        <v>29</v>
      </c>
      <c r="D77" s="204">
        <v>38</v>
      </c>
      <c r="E77" s="152">
        <v>24</v>
      </c>
      <c r="F77" s="152">
        <f>3*96</f>
        <v>288</v>
      </c>
      <c r="G77" s="152">
        <f>24+48+25+72</f>
        <v>169</v>
      </c>
      <c r="H77" s="152">
        <f t="shared" si="2"/>
        <v>119</v>
      </c>
      <c r="I77" s="311"/>
    </row>
    <row r="78" spans="1:9" x14ac:dyDescent="0.25">
      <c r="A78" s="311"/>
      <c r="B78" s="311"/>
      <c r="C78" s="203" t="s">
        <v>328</v>
      </c>
      <c r="D78" s="204">
        <v>54</v>
      </c>
      <c r="E78" s="152">
        <v>15</v>
      </c>
      <c r="F78" s="152">
        <f>3*45</f>
        <v>135</v>
      </c>
      <c r="G78" s="152">
        <f>30+30</f>
        <v>60</v>
      </c>
      <c r="H78" s="152">
        <f t="shared" si="2"/>
        <v>75</v>
      </c>
      <c r="I78" s="311"/>
    </row>
    <row r="79" spans="1:9" x14ac:dyDescent="0.25">
      <c r="A79" s="311"/>
      <c r="B79" s="311" t="s">
        <v>164</v>
      </c>
      <c r="C79" s="203" t="s">
        <v>73</v>
      </c>
      <c r="D79" s="204">
        <v>21</v>
      </c>
      <c r="E79" s="152">
        <v>48</v>
      </c>
      <c r="F79" s="152">
        <f>3*192+192</f>
        <v>768</v>
      </c>
      <c r="G79" s="152">
        <f>24+96+96</f>
        <v>216</v>
      </c>
      <c r="H79" s="152">
        <f t="shared" si="2"/>
        <v>552</v>
      </c>
      <c r="I79" s="311"/>
    </row>
    <row r="80" spans="1:9" x14ac:dyDescent="0.25">
      <c r="A80" s="311"/>
      <c r="B80" s="311"/>
      <c r="C80" s="203" t="s">
        <v>48</v>
      </c>
      <c r="D80" s="204">
        <v>38</v>
      </c>
      <c r="E80" s="152">
        <v>24</v>
      </c>
      <c r="F80" s="152">
        <f>3*96</f>
        <v>288</v>
      </c>
      <c r="G80" s="152">
        <f>48+48+96</f>
        <v>192</v>
      </c>
      <c r="H80" s="152">
        <f t="shared" si="2"/>
        <v>96</v>
      </c>
      <c r="I80" s="311"/>
    </row>
    <row r="81" spans="1:9" x14ac:dyDescent="0.25">
      <c r="A81" s="311"/>
      <c r="B81" s="311" t="s">
        <v>162</v>
      </c>
      <c r="C81" s="203" t="s">
        <v>34</v>
      </c>
      <c r="D81" s="204">
        <v>15</v>
      </c>
      <c r="E81" s="152">
        <v>72</v>
      </c>
      <c r="F81" s="152">
        <f>3*288</f>
        <v>864</v>
      </c>
      <c r="G81" s="152">
        <v>144</v>
      </c>
      <c r="H81" s="152">
        <f t="shared" si="2"/>
        <v>720</v>
      </c>
      <c r="I81" s="311"/>
    </row>
    <row r="82" spans="1:9" ht="15.75" thickBot="1" x14ac:dyDescent="0.3">
      <c r="A82" s="312"/>
      <c r="B82" s="312"/>
      <c r="C82" s="205" t="s">
        <v>74</v>
      </c>
      <c r="D82" s="206">
        <v>20</v>
      </c>
      <c r="E82" s="126">
        <v>48</v>
      </c>
      <c r="F82" s="126">
        <f>3*192+192</f>
        <v>768</v>
      </c>
      <c r="G82" s="126">
        <f>50+96</f>
        <v>146</v>
      </c>
      <c r="H82" s="126">
        <f t="shared" si="2"/>
        <v>622</v>
      </c>
      <c r="I82" s="312"/>
    </row>
    <row r="83" spans="1:9" ht="15.75" thickTop="1" x14ac:dyDescent="0.25">
      <c r="A83" s="319" t="s">
        <v>301</v>
      </c>
      <c r="B83" s="319" t="s">
        <v>159</v>
      </c>
      <c r="C83" s="207" t="s">
        <v>50</v>
      </c>
      <c r="D83" s="208">
        <v>16</v>
      </c>
      <c r="E83" s="153">
        <v>45</v>
      </c>
      <c r="F83" s="153">
        <f>3*180</f>
        <v>540</v>
      </c>
      <c r="G83" s="153">
        <v>20</v>
      </c>
      <c r="H83" s="153">
        <f t="shared" si="2"/>
        <v>520</v>
      </c>
      <c r="I83" s="319" t="s">
        <v>491</v>
      </c>
    </row>
    <row r="84" spans="1:9" x14ac:dyDescent="0.25">
      <c r="A84" s="311"/>
      <c r="B84" s="311"/>
      <c r="C84" s="203" t="s">
        <v>55</v>
      </c>
      <c r="D84" s="204">
        <v>22</v>
      </c>
      <c r="E84" s="152">
        <v>28</v>
      </c>
      <c r="F84" s="152">
        <f>3*112</f>
        <v>336</v>
      </c>
      <c r="G84" s="152">
        <v>28</v>
      </c>
      <c r="H84" s="152">
        <f t="shared" si="2"/>
        <v>308</v>
      </c>
      <c r="I84" s="311"/>
    </row>
    <row r="85" spans="1:9" x14ac:dyDescent="0.25">
      <c r="A85" s="311"/>
      <c r="B85" s="311" t="s">
        <v>161</v>
      </c>
      <c r="C85" s="203" t="s">
        <v>66</v>
      </c>
      <c r="D85" s="204">
        <v>32</v>
      </c>
      <c r="E85" s="152">
        <v>24</v>
      </c>
      <c r="F85" s="152">
        <f>3*96</f>
        <v>288</v>
      </c>
      <c r="G85" s="152"/>
      <c r="H85" s="152">
        <f t="shared" si="2"/>
        <v>288</v>
      </c>
      <c r="I85" s="311"/>
    </row>
    <row r="86" spans="1:9" x14ac:dyDescent="0.25">
      <c r="A86" s="311"/>
      <c r="B86" s="311"/>
      <c r="C86" s="203" t="s">
        <v>69</v>
      </c>
      <c r="D86" s="204">
        <v>46</v>
      </c>
      <c r="E86" s="152">
        <v>18</v>
      </c>
      <c r="F86" s="152">
        <f>3*72</f>
        <v>216</v>
      </c>
      <c r="G86" s="152">
        <v>2</v>
      </c>
      <c r="H86" s="152">
        <f t="shared" si="2"/>
        <v>214</v>
      </c>
      <c r="I86" s="311"/>
    </row>
    <row r="87" spans="1:9" x14ac:dyDescent="0.25">
      <c r="A87" s="311"/>
      <c r="B87" s="311" t="s">
        <v>163</v>
      </c>
      <c r="C87" s="203" t="s">
        <v>29</v>
      </c>
      <c r="D87" s="204">
        <v>38</v>
      </c>
      <c r="E87" s="152">
        <v>24</v>
      </c>
      <c r="F87" s="152">
        <f>3*96</f>
        <v>288</v>
      </c>
      <c r="G87" s="152"/>
      <c r="H87" s="152">
        <f t="shared" si="2"/>
        <v>288</v>
      </c>
      <c r="I87" s="311"/>
    </row>
    <row r="88" spans="1:9" x14ac:dyDescent="0.25">
      <c r="A88" s="311"/>
      <c r="B88" s="311"/>
      <c r="C88" s="203" t="s">
        <v>328</v>
      </c>
      <c r="D88" s="204">
        <v>54</v>
      </c>
      <c r="E88" s="152">
        <v>15</v>
      </c>
      <c r="F88" s="152">
        <f>3*45</f>
        <v>135</v>
      </c>
      <c r="G88" s="152"/>
      <c r="H88" s="152">
        <f t="shared" si="2"/>
        <v>135</v>
      </c>
      <c r="I88" s="311"/>
    </row>
    <row r="89" spans="1:9" x14ac:dyDescent="0.25">
      <c r="A89" s="311"/>
      <c r="B89" s="311" t="s">
        <v>164</v>
      </c>
      <c r="C89" s="203" t="s">
        <v>73</v>
      </c>
      <c r="D89" s="204">
        <v>21</v>
      </c>
      <c r="E89" s="152">
        <v>48</v>
      </c>
      <c r="F89" s="152">
        <f>3*192</f>
        <v>576</v>
      </c>
      <c r="G89" s="152"/>
      <c r="H89" s="152">
        <f t="shared" si="2"/>
        <v>576</v>
      </c>
      <c r="I89" s="311"/>
    </row>
    <row r="90" spans="1:9" x14ac:dyDescent="0.25">
      <c r="A90" s="311"/>
      <c r="B90" s="311"/>
      <c r="C90" s="203" t="s">
        <v>48</v>
      </c>
      <c r="D90" s="204">
        <v>38</v>
      </c>
      <c r="E90" s="152">
        <v>24</v>
      </c>
      <c r="F90" s="152">
        <f>3*96</f>
        <v>288</v>
      </c>
      <c r="G90" s="152">
        <v>168</v>
      </c>
      <c r="H90" s="152">
        <f t="shared" si="2"/>
        <v>120</v>
      </c>
      <c r="I90" s="311"/>
    </row>
    <row r="91" spans="1:9" x14ac:dyDescent="0.25">
      <c r="A91" s="311"/>
      <c r="B91" s="311" t="s">
        <v>162</v>
      </c>
      <c r="C91" s="203" t="s">
        <v>34</v>
      </c>
      <c r="D91" s="204">
        <v>15</v>
      </c>
      <c r="E91" s="152">
        <v>72</v>
      </c>
      <c r="F91" s="152">
        <f>3*288</f>
        <v>864</v>
      </c>
      <c r="G91" s="152"/>
      <c r="H91" s="152">
        <f t="shared" si="2"/>
        <v>864</v>
      </c>
      <c r="I91" s="311"/>
    </row>
    <row r="92" spans="1:9" ht="15.75" thickBot="1" x14ac:dyDescent="0.3">
      <c r="A92" s="320"/>
      <c r="B92" s="320"/>
      <c r="C92" s="209" t="s">
        <v>74</v>
      </c>
      <c r="D92" s="210">
        <v>20</v>
      </c>
      <c r="E92" s="154">
        <v>48</v>
      </c>
      <c r="F92" s="154">
        <f>3*192</f>
        <v>576</v>
      </c>
      <c r="G92" s="126"/>
      <c r="H92" s="126">
        <f t="shared" si="2"/>
        <v>576</v>
      </c>
      <c r="I92" s="320"/>
    </row>
    <row r="93" spans="1:9" ht="15.75" thickTop="1" x14ac:dyDescent="0.25">
      <c r="A93" s="304" t="s">
        <v>12</v>
      </c>
      <c r="B93" s="310" t="s">
        <v>159</v>
      </c>
      <c r="C93" s="201" t="s">
        <v>50</v>
      </c>
      <c r="D93" s="202">
        <v>16</v>
      </c>
      <c r="E93" s="151">
        <v>45</v>
      </c>
      <c r="F93" s="151">
        <f>3*180</f>
        <v>540</v>
      </c>
      <c r="G93" s="153">
        <f>12+20</f>
        <v>32</v>
      </c>
      <c r="H93" s="153">
        <f t="shared" si="2"/>
        <v>508</v>
      </c>
      <c r="I93" s="310" t="s">
        <v>492</v>
      </c>
    </row>
    <row r="94" spans="1:9" x14ac:dyDescent="0.25">
      <c r="A94" s="305"/>
      <c r="B94" s="311"/>
      <c r="C94" s="203" t="s">
        <v>55</v>
      </c>
      <c r="D94" s="204">
        <v>22</v>
      </c>
      <c r="E94" s="152">
        <v>28</v>
      </c>
      <c r="F94" s="152">
        <f>3*112</f>
        <v>336</v>
      </c>
      <c r="G94" s="152">
        <v>12</v>
      </c>
      <c r="H94" s="152">
        <f t="shared" si="2"/>
        <v>324</v>
      </c>
      <c r="I94" s="311"/>
    </row>
    <row r="95" spans="1:9" x14ac:dyDescent="0.25">
      <c r="A95" s="305"/>
      <c r="B95" s="311" t="s">
        <v>161</v>
      </c>
      <c r="C95" s="203" t="s">
        <v>66</v>
      </c>
      <c r="D95" s="204">
        <v>32</v>
      </c>
      <c r="E95" s="152">
        <v>24</v>
      </c>
      <c r="F95" s="152">
        <f>3*96</f>
        <v>288</v>
      </c>
      <c r="G95" s="152"/>
      <c r="H95" s="152">
        <f t="shared" si="2"/>
        <v>288</v>
      </c>
      <c r="I95" s="311"/>
    </row>
    <row r="96" spans="1:9" x14ac:dyDescent="0.25">
      <c r="A96" s="305"/>
      <c r="B96" s="311"/>
      <c r="C96" s="203" t="s">
        <v>69</v>
      </c>
      <c r="D96" s="204">
        <v>46</v>
      </c>
      <c r="E96" s="152">
        <v>18</v>
      </c>
      <c r="F96" s="152">
        <f>3*72</f>
        <v>216</v>
      </c>
      <c r="G96" s="152">
        <v>2</v>
      </c>
      <c r="H96" s="152">
        <f t="shared" si="2"/>
        <v>214</v>
      </c>
      <c r="I96" s="311"/>
    </row>
    <row r="97" spans="1:9" x14ac:dyDescent="0.25">
      <c r="A97" s="305"/>
      <c r="B97" s="311" t="s">
        <v>163</v>
      </c>
      <c r="C97" s="203" t="s">
        <v>29</v>
      </c>
      <c r="D97" s="204">
        <v>38</v>
      </c>
      <c r="E97" s="152">
        <v>24</v>
      </c>
      <c r="F97" s="152">
        <f>3*96</f>
        <v>288</v>
      </c>
      <c r="G97" s="152">
        <v>12</v>
      </c>
      <c r="H97" s="152">
        <f t="shared" si="2"/>
        <v>276</v>
      </c>
      <c r="I97" s="311"/>
    </row>
    <row r="98" spans="1:9" x14ac:dyDescent="0.25">
      <c r="A98" s="305"/>
      <c r="B98" s="311"/>
      <c r="C98" s="203" t="s">
        <v>328</v>
      </c>
      <c r="D98" s="204">
        <v>54</v>
      </c>
      <c r="E98" s="152">
        <v>15</v>
      </c>
      <c r="F98" s="152">
        <f>3*45</f>
        <v>135</v>
      </c>
      <c r="G98" s="152"/>
      <c r="H98" s="152">
        <f t="shared" si="2"/>
        <v>135</v>
      </c>
      <c r="I98" s="311"/>
    </row>
    <row r="99" spans="1:9" x14ac:dyDescent="0.25">
      <c r="A99" s="305"/>
      <c r="B99" s="311" t="s">
        <v>164</v>
      </c>
      <c r="C99" s="203" t="s">
        <v>73</v>
      </c>
      <c r="D99" s="204">
        <v>21</v>
      </c>
      <c r="E99" s="152">
        <v>48</v>
      </c>
      <c r="F99" s="152">
        <f>3*192</f>
        <v>576</v>
      </c>
      <c r="G99" s="152">
        <v>16</v>
      </c>
      <c r="H99" s="152">
        <f t="shared" si="2"/>
        <v>560</v>
      </c>
      <c r="I99" s="311"/>
    </row>
    <row r="100" spans="1:9" x14ac:dyDescent="0.25">
      <c r="A100" s="305"/>
      <c r="B100" s="311"/>
      <c r="C100" s="203" t="s">
        <v>48</v>
      </c>
      <c r="D100" s="204">
        <v>38</v>
      </c>
      <c r="E100" s="152">
        <v>24</v>
      </c>
      <c r="F100" s="152">
        <f>3*96</f>
        <v>288</v>
      </c>
      <c r="G100" s="152">
        <v>12</v>
      </c>
      <c r="H100" s="152">
        <f t="shared" ref="H100:H131" si="3">F100-G100</f>
        <v>276</v>
      </c>
      <c r="I100" s="311"/>
    </row>
    <row r="101" spans="1:9" x14ac:dyDescent="0.25">
      <c r="A101" s="305"/>
      <c r="B101" s="311" t="s">
        <v>162</v>
      </c>
      <c r="C101" s="203" t="s">
        <v>34</v>
      </c>
      <c r="D101" s="204">
        <v>15</v>
      </c>
      <c r="E101" s="152">
        <v>72</v>
      </c>
      <c r="F101" s="152">
        <f>3*288</f>
        <v>864</v>
      </c>
      <c r="G101" s="152"/>
      <c r="H101" s="152">
        <f t="shared" si="3"/>
        <v>864</v>
      </c>
      <c r="I101" s="311"/>
    </row>
    <row r="102" spans="1:9" ht="15.75" thickBot="1" x14ac:dyDescent="0.3">
      <c r="A102" s="306"/>
      <c r="B102" s="312"/>
      <c r="C102" s="205" t="s">
        <v>74</v>
      </c>
      <c r="D102" s="206">
        <v>20</v>
      </c>
      <c r="E102" s="126">
        <v>48</v>
      </c>
      <c r="F102" s="126">
        <f>3*192</f>
        <v>576</v>
      </c>
      <c r="G102" s="126">
        <v>24</v>
      </c>
      <c r="H102" s="126">
        <f t="shared" si="3"/>
        <v>552</v>
      </c>
      <c r="I102" s="312"/>
    </row>
    <row r="103" spans="1:9" ht="15.75" thickTop="1" x14ac:dyDescent="0.25">
      <c r="A103" s="397" t="s">
        <v>171</v>
      </c>
      <c r="B103" s="319" t="s">
        <v>159</v>
      </c>
      <c r="C103" s="207" t="s">
        <v>50</v>
      </c>
      <c r="D103" s="208">
        <v>16</v>
      </c>
      <c r="E103" s="153">
        <v>45</v>
      </c>
      <c r="F103" s="153">
        <f>3*180</f>
        <v>540</v>
      </c>
      <c r="G103" s="153"/>
      <c r="H103" s="153">
        <f t="shared" si="3"/>
        <v>540</v>
      </c>
      <c r="I103" s="391" t="s">
        <v>493</v>
      </c>
    </row>
    <row r="104" spans="1:9" x14ac:dyDescent="0.25">
      <c r="A104" s="389"/>
      <c r="B104" s="311"/>
      <c r="C104" s="203" t="s">
        <v>55</v>
      </c>
      <c r="D104" s="204">
        <v>22</v>
      </c>
      <c r="E104" s="152">
        <v>28</v>
      </c>
      <c r="F104" s="152">
        <f>3*112</f>
        <v>336</v>
      </c>
      <c r="G104" s="152"/>
      <c r="H104" s="152">
        <f t="shared" si="3"/>
        <v>336</v>
      </c>
      <c r="I104" s="392"/>
    </row>
    <row r="105" spans="1:9" x14ac:dyDescent="0.25">
      <c r="A105" s="389"/>
      <c r="B105" s="311" t="s">
        <v>161</v>
      </c>
      <c r="C105" s="203" t="s">
        <v>66</v>
      </c>
      <c r="D105" s="204">
        <v>32</v>
      </c>
      <c r="E105" s="152">
        <v>24</v>
      </c>
      <c r="F105" s="152">
        <f>3*96</f>
        <v>288</v>
      </c>
      <c r="G105" s="152"/>
      <c r="H105" s="152">
        <f t="shared" si="3"/>
        <v>288</v>
      </c>
      <c r="I105" s="392"/>
    </row>
    <row r="106" spans="1:9" x14ac:dyDescent="0.25">
      <c r="A106" s="389"/>
      <c r="B106" s="311"/>
      <c r="C106" s="203" t="s">
        <v>69</v>
      </c>
      <c r="D106" s="204">
        <v>46</v>
      </c>
      <c r="E106" s="152">
        <v>18</v>
      </c>
      <c r="F106" s="152">
        <f>3*72</f>
        <v>216</v>
      </c>
      <c r="G106" s="152">
        <v>2</v>
      </c>
      <c r="H106" s="152">
        <f t="shared" si="3"/>
        <v>214</v>
      </c>
      <c r="I106" s="392"/>
    </row>
    <row r="107" spans="1:9" x14ac:dyDescent="0.25">
      <c r="A107" s="389"/>
      <c r="B107" s="311" t="s">
        <v>163</v>
      </c>
      <c r="C107" s="203" t="s">
        <v>29</v>
      </c>
      <c r="D107" s="204">
        <v>38</v>
      </c>
      <c r="E107" s="152">
        <v>24</v>
      </c>
      <c r="F107" s="152">
        <f>3*96</f>
        <v>288</v>
      </c>
      <c r="G107" s="152"/>
      <c r="H107" s="152">
        <f t="shared" si="3"/>
        <v>288</v>
      </c>
      <c r="I107" s="392"/>
    </row>
    <row r="108" spans="1:9" x14ac:dyDescent="0.25">
      <c r="A108" s="389"/>
      <c r="B108" s="311"/>
      <c r="C108" s="203" t="s">
        <v>328</v>
      </c>
      <c r="D108" s="204">
        <v>54</v>
      </c>
      <c r="E108" s="152">
        <v>15</v>
      </c>
      <c r="F108" s="152">
        <f>3*45</f>
        <v>135</v>
      </c>
      <c r="G108" s="152"/>
      <c r="H108" s="152">
        <f t="shared" si="3"/>
        <v>135</v>
      </c>
      <c r="I108" s="392"/>
    </row>
    <row r="109" spans="1:9" x14ac:dyDescent="0.25">
      <c r="A109" s="389"/>
      <c r="B109" s="311" t="s">
        <v>164</v>
      </c>
      <c r="C109" s="203" t="s">
        <v>73</v>
      </c>
      <c r="D109" s="204">
        <v>21</v>
      </c>
      <c r="E109" s="152">
        <v>48</v>
      </c>
      <c r="F109" s="152">
        <f>3*192</f>
        <v>576</v>
      </c>
      <c r="G109" s="152"/>
      <c r="H109" s="152">
        <f t="shared" si="3"/>
        <v>576</v>
      </c>
      <c r="I109" s="392"/>
    </row>
    <row r="110" spans="1:9" x14ac:dyDescent="0.25">
      <c r="A110" s="389"/>
      <c r="B110" s="311"/>
      <c r="C110" s="203" t="s">
        <v>48</v>
      </c>
      <c r="D110" s="204">
        <v>38</v>
      </c>
      <c r="E110" s="152">
        <v>24</v>
      </c>
      <c r="F110" s="152">
        <f>3*96</f>
        <v>288</v>
      </c>
      <c r="G110" s="152"/>
      <c r="H110" s="152">
        <f t="shared" si="3"/>
        <v>288</v>
      </c>
      <c r="I110" s="392"/>
    </row>
    <row r="111" spans="1:9" x14ac:dyDescent="0.25">
      <c r="A111" s="389"/>
      <c r="B111" s="311" t="s">
        <v>162</v>
      </c>
      <c r="C111" s="203" t="s">
        <v>34</v>
      </c>
      <c r="D111" s="204">
        <v>15</v>
      </c>
      <c r="E111" s="152">
        <v>72</v>
      </c>
      <c r="F111" s="152">
        <f>3*288</f>
        <v>864</v>
      </c>
      <c r="G111" s="152"/>
      <c r="H111" s="152">
        <f t="shared" si="3"/>
        <v>864</v>
      </c>
      <c r="I111" s="392"/>
    </row>
    <row r="112" spans="1:9" ht="15.75" thickBot="1" x14ac:dyDescent="0.3">
      <c r="A112" s="398"/>
      <c r="B112" s="320"/>
      <c r="C112" s="209" t="s">
        <v>74</v>
      </c>
      <c r="D112" s="210">
        <v>20</v>
      </c>
      <c r="E112" s="154">
        <v>48</v>
      </c>
      <c r="F112" s="154">
        <f>3*192</f>
        <v>576</v>
      </c>
      <c r="G112" s="126"/>
      <c r="H112" s="126">
        <f t="shared" si="3"/>
        <v>576</v>
      </c>
      <c r="I112" s="393"/>
    </row>
    <row r="113" spans="1:9" ht="15.75" thickTop="1" x14ac:dyDescent="0.25">
      <c r="A113" s="388" t="s">
        <v>218</v>
      </c>
      <c r="B113" s="310" t="s">
        <v>159</v>
      </c>
      <c r="C113" s="201" t="s">
        <v>50</v>
      </c>
      <c r="D113" s="202">
        <v>16</v>
      </c>
      <c r="E113" s="151">
        <v>45</v>
      </c>
      <c r="F113" s="151">
        <f>3*180</f>
        <v>540</v>
      </c>
      <c r="G113" s="153">
        <v>12</v>
      </c>
      <c r="H113" s="153">
        <f t="shared" si="3"/>
        <v>528</v>
      </c>
      <c r="I113" s="399" t="s">
        <v>494</v>
      </c>
    </row>
    <row r="114" spans="1:9" x14ac:dyDescent="0.25">
      <c r="A114" s="389"/>
      <c r="B114" s="311"/>
      <c r="C114" s="203" t="s">
        <v>55</v>
      </c>
      <c r="D114" s="204">
        <v>22</v>
      </c>
      <c r="E114" s="152">
        <v>28</v>
      </c>
      <c r="F114" s="152">
        <f>3*112</f>
        <v>336</v>
      </c>
      <c r="G114" s="152">
        <v>12</v>
      </c>
      <c r="H114" s="152">
        <f t="shared" si="3"/>
        <v>324</v>
      </c>
      <c r="I114" s="392"/>
    </row>
    <row r="115" spans="1:9" x14ac:dyDescent="0.25">
      <c r="A115" s="389"/>
      <c r="B115" s="311" t="s">
        <v>161</v>
      </c>
      <c r="C115" s="203" t="s">
        <v>66</v>
      </c>
      <c r="D115" s="204">
        <v>32</v>
      </c>
      <c r="E115" s="152">
        <v>24</v>
      </c>
      <c r="F115" s="152">
        <f>3*96</f>
        <v>288</v>
      </c>
      <c r="G115" s="152"/>
      <c r="H115" s="152">
        <f t="shared" si="3"/>
        <v>288</v>
      </c>
      <c r="I115" s="392"/>
    </row>
    <row r="116" spans="1:9" x14ac:dyDescent="0.25">
      <c r="A116" s="389"/>
      <c r="B116" s="311"/>
      <c r="C116" s="203" t="s">
        <v>69</v>
      </c>
      <c r="D116" s="204">
        <v>46</v>
      </c>
      <c r="E116" s="152">
        <v>18</v>
      </c>
      <c r="F116" s="152">
        <f>3*72</f>
        <v>216</v>
      </c>
      <c r="G116" s="152">
        <v>2</v>
      </c>
      <c r="H116" s="152">
        <f t="shared" si="3"/>
        <v>214</v>
      </c>
      <c r="I116" s="392"/>
    </row>
    <row r="117" spans="1:9" x14ac:dyDescent="0.25">
      <c r="A117" s="389"/>
      <c r="B117" s="311" t="s">
        <v>163</v>
      </c>
      <c r="C117" s="203" t="s">
        <v>29</v>
      </c>
      <c r="D117" s="204">
        <v>38</v>
      </c>
      <c r="E117" s="152">
        <v>24</v>
      </c>
      <c r="F117" s="152">
        <f>3*96</f>
        <v>288</v>
      </c>
      <c r="G117" s="152">
        <v>12</v>
      </c>
      <c r="H117" s="152">
        <f t="shared" si="3"/>
        <v>276</v>
      </c>
      <c r="I117" s="392"/>
    </row>
    <row r="118" spans="1:9" x14ac:dyDescent="0.25">
      <c r="A118" s="389"/>
      <c r="B118" s="311"/>
      <c r="C118" s="203" t="s">
        <v>328</v>
      </c>
      <c r="D118" s="204">
        <v>54</v>
      </c>
      <c r="E118" s="152">
        <v>15</v>
      </c>
      <c r="F118" s="152">
        <f>3*45</f>
        <v>135</v>
      </c>
      <c r="G118" s="152"/>
      <c r="H118" s="152">
        <f t="shared" si="3"/>
        <v>135</v>
      </c>
      <c r="I118" s="392"/>
    </row>
    <row r="119" spans="1:9" x14ac:dyDescent="0.25">
      <c r="A119" s="389"/>
      <c r="B119" s="311" t="s">
        <v>164</v>
      </c>
      <c r="C119" s="203" t="s">
        <v>73</v>
      </c>
      <c r="D119" s="204">
        <v>21</v>
      </c>
      <c r="E119" s="152">
        <v>48</v>
      </c>
      <c r="F119" s="152">
        <f>3*192</f>
        <v>576</v>
      </c>
      <c r="G119" s="152">
        <v>48</v>
      </c>
      <c r="H119" s="152">
        <f t="shared" si="3"/>
        <v>528</v>
      </c>
      <c r="I119" s="392"/>
    </row>
    <row r="120" spans="1:9" x14ac:dyDescent="0.25">
      <c r="A120" s="389"/>
      <c r="B120" s="311"/>
      <c r="C120" s="203" t="s">
        <v>48</v>
      </c>
      <c r="D120" s="204">
        <v>38</v>
      </c>
      <c r="E120" s="152">
        <v>24</v>
      </c>
      <c r="F120" s="152">
        <f>3*96</f>
        <v>288</v>
      </c>
      <c r="G120" s="152">
        <v>12</v>
      </c>
      <c r="H120" s="152">
        <f t="shared" si="3"/>
        <v>276</v>
      </c>
      <c r="I120" s="392"/>
    </row>
    <row r="121" spans="1:9" x14ac:dyDescent="0.25">
      <c r="A121" s="389"/>
      <c r="B121" s="311" t="s">
        <v>162</v>
      </c>
      <c r="C121" s="203" t="s">
        <v>34</v>
      </c>
      <c r="D121" s="204">
        <v>15</v>
      </c>
      <c r="E121" s="152">
        <v>72</v>
      </c>
      <c r="F121" s="152">
        <f>3*288</f>
        <v>864</v>
      </c>
      <c r="G121" s="152">
        <v>72</v>
      </c>
      <c r="H121" s="152">
        <f t="shared" si="3"/>
        <v>792</v>
      </c>
      <c r="I121" s="392"/>
    </row>
    <row r="122" spans="1:9" ht="15.75" thickBot="1" x14ac:dyDescent="0.3">
      <c r="A122" s="390"/>
      <c r="B122" s="312"/>
      <c r="C122" s="205" t="s">
        <v>74</v>
      </c>
      <c r="D122" s="206">
        <v>20</v>
      </c>
      <c r="E122" s="126">
        <v>48</v>
      </c>
      <c r="F122" s="126">
        <f>3*192</f>
        <v>576</v>
      </c>
      <c r="G122" s="126">
        <v>48</v>
      </c>
      <c r="H122" s="126">
        <f t="shared" si="3"/>
        <v>528</v>
      </c>
      <c r="I122" s="400"/>
    </row>
    <row r="123" spans="1:9" ht="15.75" thickTop="1" x14ac:dyDescent="0.25">
      <c r="A123" s="397" t="s">
        <v>495</v>
      </c>
      <c r="B123" s="319" t="s">
        <v>159</v>
      </c>
      <c r="C123" s="207" t="s">
        <v>50</v>
      </c>
      <c r="D123" s="208">
        <v>16</v>
      </c>
      <c r="E123" s="153">
        <v>45</v>
      </c>
      <c r="F123" s="153">
        <f>3*180</f>
        <v>540</v>
      </c>
      <c r="G123" s="153"/>
      <c r="H123" s="153">
        <f t="shared" si="3"/>
        <v>540</v>
      </c>
      <c r="I123" s="391" t="s">
        <v>496</v>
      </c>
    </row>
    <row r="124" spans="1:9" x14ac:dyDescent="0.25">
      <c r="A124" s="389"/>
      <c r="B124" s="311"/>
      <c r="C124" s="203" t="s">
        <v>55</v>
      </c>
      <c r="D124" s="204">
        <v>22</v>
      </c>
      <c r="E124" s="152">
        <v>28</v>
      </c>
      <c r="F124" s="83">
        <f>3*112</f>
        <v>336</v>
      </c>
      <c r="G124" s="152"/>
      <c r="H124" s="152">
        <f t="shared" si="3"/>
        <v>336</v>
      </c>
      <c r="I124" s="392"/>
    </row>
    <row r="125" spans="1:9" x14ac:dyDescent="0.25">
      <c r="A125" s="389"/>
      <c r="B125" s="311" t="s">
        <v>161</v>
      </c>
      <c r="C125" s="203" t="s">
        <v>66</v>
      </c>
      <c r="D125" s="204">
        <v>32</v>
      </c>
      <c r="E125" s="152">
        <v>24</v>
      </c>
      <c r="F125" s="152">
        <f>3*96</f>
        <v>288</v>
      </c>
      <c r="G125" s="152"/>
      <c r="H125" s="152">
        <f t="shared" si="3"/>
        <v>288</v>
      </c>
      <c r="I125" s="392"/>
    </row>
    <row r="126" spans="1:9" x14ac:dyDescent="0.25">
      <c r="A126" s="389"/>
      <c r="B126" s="311"/>
      <c r="C126" s="203" t="s">
        <v>69</v>
      </c>
      <c r="D126" s="204">
        <v>46</v>
      </c>
      <c r="E126" s="152">
        <v>18</v>
      </c>
      <c r="F126" s="152">
        <f>3*72</f>
        <v>216</v>
      </c>
      <c r="G126" s="152">
        <v>2</v>
      </c>
      <c r="H126" s="152">
        <f t="shared" si="3"/>
        <v>214</v>
      </c>
      <c r="I126" s="392"/>
    </row>
    <row r="127" spans="1:9" x14ac:dyDescent="0.25">
      <c r="A127" s="389"/>
      <c r="B127" s="311" t="s">
        <v>163</v>
      </c>
      <c r="C127" s="203" t="s">
        <v>29</v>
      </c>
      <c r="D127" s="204">
        <v>38</v>
      </c>
      <c r="E127" s="152">
        <v>24</v>
      </c>
      <c r="F127" s="152">
        <f>3*96</f>
        <v>288</v>
      </c>
      <c r="G127" s="152"/>
      <c r="H127" s="152">
        <f t="shared" si="3"/>
        <v>288</v>
      </c>
      <c r="I127" s="392"/>
    </row>
    <row r="128" spans="1:9" x14ac:dyDescent="0.25">
      <c r="A128" s="389"/>
      <c r="B128" s="311"/>
      <c r="C128" s="203" t="s">
        <v>328</v>
      </c>
      <c r="D128" s="204">
        <v>54</v>
      </c>
      <c r="E128" s="152">
        <v>15</v>
      </c>
      <c r="F128" s="152">
        <v>47</v>
      </c>
      <c r="G128" s="152"/>
      <c r="H128" s="152">
        <f t="shared" si="3"/>
        <v>47</v>
      </c>
      <c r="I128" s="392"/>
    </row>
    <row r="129" spans="1:9" x14ac:dyDescent="0.25">
      <c r="A129" s="389"/>
      <c r="B129" s="311" t="s">
        <v>164</v>
      </c>
      <c r="C129" s="203" t="s">
        <v>73</v>
      </c>
      <c r="D129" s="204">
        <v>21</v>
      </c>
      <c r="E129" s="152">
        <v>48</v>
      </c>
      <c r="F129" s="152">
        <f>3*192</f>
        <v>576</v>
      </c>
      <c r="G129" s="152"/>
      <c r="H129" s="152">
        <f t="shared" si="3"/>
        <v>576</v>
      </c>
      <c r="I129" s="392"/>
    </row>
    <row r="130" spans="1:9" x14ac:dyDescent="0.25">
      <c r="A130" s="389"/>
      <c r="B130" s="311"/>
      <c r="C130" s="203" t="s">
        <v>48</v>
      </c>
      <c r="D130" s="204">
        <v>38</v>
      </c>
      <c r="E130" s="152">
        <v>24</v>
      </c>
      <c r="F130" s="152">
        <f>3*96</f>
        <v>288</v>
      </c>
      <c r="G130" s="152"/>
      <c r="H130" s="152">
        <f t="shared" si="3"/>
        <v>288</v>
      </c>
      <c r="I130" s="392"/>
    </row>
    <row r="131" spans="1:9" x14ac:dyDescent="0.25">
      <c r="A131" s="389"/>
      <c r="B131" s="311" t="s">
        <v>162</v>
      </c>
      <c r="C131" s="203" t="s">
        <v>34</v>
      </c>
      <c r="D131" s="204">
        <v>15</v>
      </c>
      <c r="E131" s="152">
        <v>72</v>
      </c>
      <c r="F131" s="152">
        <f>3*288</f>
        <v>864</v>
      </c>
      <c r="G131" s="152"/>
      <c r="H131" s="152">
        <f t="shared" si="3"/>
        <v>864</v>
      </c>
      <c r="I131" s="392"/>
    </row>
    <row r="132" spans="1:9" ht="15.75" thickBot="1" x14ac:dyDescent="0.3">
      <c r="A132" s="398"/>
      <c r="B132" s="320"/>
      <c r="C132" s="209" t="s">
        <v>74</v>
      </c>
      <c r="D132" s="210">
        <v>20</v>
      </c>
      <c r="E132" s="154">
        <v>48</v>
      </c>
      <c r="F132" s="154">
        <f>3*192</f>
        <v>576</v>
      </c>
      <c r="G132" s="126"/>
      <c r="H132" s="126">
        <f t="shared" ref="H132:H145" si="4">F132-G132</f>
        <v>576</v>
      </c>
      <c r="I132" s="393"/>
    </row>
    <row r="133" spans="1:9" ht="15.75" thickTop="1" x14ac:dyDescent="0.25">
      <c r="A133" s="388" t="s">
        <v>1215</v>
      </c>
      <c r="B133" s="310" t="s">
        <v>159</v>
      </c>
      <c r="C133" s="201" t="s">
        <v>50</v>
      </c>
      <c r="D133" s="202">
        <v>16</v>
      </c>
      <c r="E133" s="151">
        <v>45</v>
      </c>
      <c r="F133" s="45">
        <f>1*180</f>
        <v>180</v>
      </c>
      <c r="G133" s="153">
        <f>12+12+22</f>
        <v>46</v>
      </c>
      <c r="H133" s="153">
        <f t="shared" si="4"/>
        <v>134</v>
      </c>
      <c r="I133" s="399" t="s">
        <v>497</v>
      </c>
    </row>
    <row r="134" spans="1:9" x14ac:dyDescent="0.25">
      <c r="A134" s="389"/>
      <c r="B134" s="311"/>
      <c r="C134" s="203" t="s">
        <v>55</v>
      </c>
      <c r="D134" s="204">
        <v>22</v>
      </c>
      <c r="E134" s="152">
        <v>28</v>
      </c>
      <c r="F134" s="152">
        <f>3*112</f>
        <v>336</v>
      </c>
      <c r="G134" s="152">
        <f>14+12</f>
        <v>26</v>
      </c>
      <c r="H134" s="152">
        <f t="shared" si="4"/>
        <v>310</v>
      </c>
      <c r="I134" s="392"/>
    </row>
    <row r="135" spans="1:9" x14ac:dyDescent="0.25">
      <c r="A135" s="389"/>
      <c r="B135" s="311" t="s">
        <v>161</v>
      </c>
      <c r="C135" s="203" t="s">
        <v>66</v>
      </c>
      <c r="D135" s="204">
        <v>32</v>
      </c>
      <c r="E135" s="152">
        <v>24</v>
      </c>
      <c r="F135" s="152">
        <f>3*96</f>
        <v>288</v>
      </c>
      <c r="G135" s="152">
        <f>12+96</f>
        <v>108</v>
      </c>
      <c r="H135" s="152">
        <f t="shared" si="4"/>
        <v>180</v>
      </c>
      <c r="I135" s="392"/>
    </row>
    <row r="136" spans="1:9" x14ac:dyDescent="0.25">
      <c r="A136" s="389"/>
      <c r="B136" s="311"/>
      <c r="C136" s="203" t="s">
        <v>69</v>
      </c>
      <c r="D136" s="204">
        <v>46</v>
      </c>
      <c r="E136" s="152">
        <v>18</v>
      </c>
      <c r="F136" s="152">
        <f>3*72</f>
        <v>216</v>
      </c>
      <c r="G136" s="152">
        <f>72+72+2+12+36</f>
        <v>194</v>
      </c>
      <c r="H136" s="152">
        <f t="shared" si="4"/>
        <v>22</v>
      </c>
      <c r="I136" s="392"/>
    </row>
    <row r="137" spans="1:9" x14ac:dyDescent="0.25">
      <c r="A137" s="389"/>
      <c r="B137" s="311" t="s">
        <v>163</v>
      </c>
      <c r="C137" s="203" t="s">
        <v>29</v>
      </c>
      <c r="D137" s="204">
        <v>38</v>
      </c>
      <c r="E137" s="152">
        <v>24</v>
      </c>
      <c r="F137" s="152">
        <f>3*96</f>
        <v>288</v>
      </c>
      <c r="G137" s="152">
        <v>12</v>
      </c>
      <c r="H137" s="152">
        <f t="shared" si="4"/>
        <v>276</v>
      </c>
      <c r="I137" s="392"/>
    </row>
    <row r="138" spans="1:9" x14ac:dyDescent="0.25">
      <c r="A138" s="389"/>
      <c r="B138" s="311"/>
      <c r="C138" s="203" t="s">
        <v>328</v>
      </c>
      <c r="D138" s="204">
        <v>54</v>
      </c>
      <c r="E138" s="152">
        <v>15</v>
      </c>
      <c r="F138" s="152">
        <f>3*45</f>
        <v>135</v>
      </c>
      <c r="G138" s="152">
        <v>7</v>
      </c>
      <c r="H138" s="152">
        <f t="shared" si="4"/>
        <v>128</v>
      </c>
      <c r="I138" s="392"/>
    </row>
    <row r="139" spans="1:9" x14ac:dyDescent="0.25">
      <c r="A139" s="389"/>
      <c r="B139" s="311" t="s">
        <v>164</v>
      </c>
      <c r="C139" s="203" t="s">
        <v>73</v>
      </c>
      <c r="D139" s="204">
        <v>21</v>
      </c>
      <c r="E139" s="152">
        <v>48</v>
      </c>
      <c r="F139" s="152">
        <f>3*192</f>
        <v>576</v>
      </c>
      <c r="G139" s="152">
        <f>192+24+48</f>
        <v>264</v>
      </c>
      <c r="H139" s="152">
        <f t="shared" si="4"/>
        <v>312</v>
      </c>
      <c r="I139" s="392"/>
    </row>
    <row r="140" spans="1:9" x14ac:dyDescent="0.25">
      <c r="A140" s="389"/>
      <c r="B140" s="311"/>
      <c r="C140" s="203" t="s">
        <v>48</v>
      </c>
      <c r="D140" s="204">
        <v>38</v>
      </c>
      <c r="E140" s="152">
        <v>24</v>
      </c>
      <c r="F140" s="152">
        <f>3*96</f>
        <v>288</v>
      </c>
      <c r="G140" s="152">
        <f>96+12+12+12+12+48</f>
        <v>192</v>
      </c>
      <c r="H140" s="152">
        <f t="shared" si="4"/>
        <v>96</v>
      </c>
      <c r="I140" s="392"/>
    </row>
    <row r="141" spans="1:9" x14ac:dyDescent="0.25">
      <c r="A141" s="389"/>
      <c r="B141" s="311" t="s">
        <v>162</v>
      </c>
      <c r="C141" s="203" t="s">
        <v>34</v>
      </c>
      <c r="D141" s="204">
        <v>15</v>
      </c>
      <c r="E141" s="152">
        <v>72</v>
      </c>
      <c r="F141" s="152">
        <f>3*288</f>
        <v>864</v>
      </c>
      <c r="G141" s="152">
        <f>36+36</f>
        <v>72</v>
      </c>
      <c r="H141" s="152">
        <f t="shared" si="4"/>
        <v>792</v>
      </c>
      <c r="I141" s="392"/>
    </row>
    <row r="142" spans="1:9" ht="15.75" thickBot="1" x14ac:dyDescent="0.3">
      <c r="A142" s="390"/>
      <c r="B142" s="312"/>
      <c r="C142" s="205" t="s">
        <v>74</v>
      </c>
      <c r="D142" s="206">
        <v>20</v>
      </c>
      <c r="E142" s="126">
        <v>48</v>
      </c>
      <c r="F142" s="126">
        <f>3*192</f>
        <v>576</v>
      </c>
      <c r="G142" s="126">
        <f>24+24+24</f>
        <v>72</v>
      </c>
      <c r="H142" s="126">
        <f t="shared" si="4"/>
        <v>504</v>
      </c>
      <c r="I142" s="400"/>
    </row>
    <row r="143" spans="1:9" ht="15.75" thickTop="1" x14ac:dyDescent="0.25">
      <c r="A143" s="388" t="s">
        <v>543</v>
      </c>
      <c r="B143" s="310" t="s">
        <v>540</v>
      </c>
      <c r="C143" s="201" t="s">
        <v>205</v>
      </c>
      <c r="D143" s="202">
        <v>15</v>
      </c>
      <c r="E143" s="151">
        <v>40</v>
      </c>
      <c r="F143" s="151">
        <v>197</v>
      </c>
      <c r="G143" s="151">
        <f>80+25+40+10+5</f>
        <v>160</v>
      </c>
      <c r="H143" s="151">
        <f t="shared" si="4"/>
        <v>37</v>
      </c>
      <c r="I143" s="394"/>
    </row>
    <row r="144" spans="1:9" x14ac:dyDescent="0.25">
      <c r="A144" s="389"/>
      <c r="B144" s="311"/>
      <c r="C144" s="203" t="s">
        <v>541</v>
      </c>
      <c r="D144" s="204">
        <v>20</v>
      </c>
      <c r="E144" s="152">
        <v>20</v>
      </c>
      <c r="F144" s="152">
        <v>100</v>
      </c>
      <c r="G144" s="152">
        <f>40+25+20+10+5</f>
        <v>100</v>
      </c>
      <c r="H144" s="152">
        <f t="shared" si="4"/>
        <v>0</v>
      </c>
      <c r="I144" s="395"/>
    </row>
    <row r="145" spans="1:9" ht="15.75" thickBot="1" x14ac:dyDescent="0.3">
      <c r="A145" s="390"/>
      <c r="B145" s="312"/>
      <c r="C145" s="205" t="s">
        <v>542</v>
      </c>
      <c r="D145" s="206">
        <v>35</v>
      </c>
      <c r="E145" s="126">
        <v>12</v>
      </c>
      <c r="F145" s="126">
        <v>72</v>
      </c>
      <c r="G145" s="126">
        <f>24+25+15+8</f>
        <v>72</v>
      </c>
      <c r="H145" s="126">
        <f t="shared" si="4"/>
        <v>0</v>
      </c>
      <c r="I145" s="396"/>
    </row>
    <row r="146" spans="1:9" ht="15.75" thickTop="1" x14ac:dyDescent="0.25"/>
  </sheetData>
  <mergeCells count="88">
    <mergeCell ref="A68:A71"/>
    <mergeCell ref="B70:B71"/>
    <mergeCell ref="I68:I71"/>
    <mergeCell ref="A4:A19"/>
    <mergeCell ref="B4:B6"/>
    <mergeCell ref="I4:I19"/>
    <mergeCell ref="B7:B9"/>
    <mergeCell ref="B10:B11"/>
    <mergeCell ref="B12:B14"/>
    <mergeCell ref="B15:B17"/>
    <mergeCell ref="I20:I35"/>
    <mergeCell ref="B23:B25"/>
    <mergeCell ref="B26:B27"/>
    <mergeCell ref="B28:B30"/>
    <mergeCell ref="B31:B33"/>
    <mergeCell ref="B34:B35"/>
    <mergeCell ref="I36:I51"/>
    <mergeCell ref="B39:B41"/>
    <mergeCell ref="B42:B43"/>
    <mergeCell ref="B44:B46"/>
    <mergeCell ref="B47:B49"/>
    <mergeCell ref="B50:B51"/>
    <mergeCell ref="I52:I67"/>
    <mergeCell ref="B55:B57"/>
    <mergeCell ref="B58:B59"/>
    <mergeCell ref="B60:B62"/>
    <mergeCell ref="B63:B65"/>
    <mergeCell ref="B66:B67"/>
    <mergeCell ref="I113:I122"/>
    <mergeCell ref="B115:B116"/>
    <mergeCell ref="B117:B118"/>
    <mergeCell ref="B119:B120"/>
    <mergeCell ref="B121:B122"/>
    <mergeCell ref="B125:B126"/>
    <mergeCell ref="B127:B128"/>
    <mergeCell ref="B129:B130"/>
    <mergeCell ref="B131:B132"/>
    <mergeCell ref="A1:E1"/>
    <mergeCell ref="A113:A122"/>
    <mergeCell ref="B113:B114"/>
    <mergeCell ref="A93:A102"/>
    <mergeCell ref="B93:B94"/>
    <mergeCell ref="A52:A67"/>
    <mergeCell ref="B52:B54"/>
    <mergeCell ref="A36:A51"/>
    <mergeCell ref="B36:B38"/>
    <mergeCell ref="B18:B19"/>
    <mergeCell ref="A20:A35"/>
    <mergeCell ref="B20:B22"/>
    <mergeCell ref="A143:A145"/>
    <mergeCell ref="B143:B145"/>
    <mergeCell ref="I143:I145"/>
    <mergeCell ref="B133:B134"/>
    <mergeCell ref="I103:I112"/>
    <mergeCell ref="B105:B106"/>
    <mergeCell ref="B107:B108"/>
    <mergeCell ref="B109:B110"/>
    <mergeCell ref="B111:B112"/>
    <mergeCell ref="A103:A112"/>
    <mergeCell ref="I133:I142"/>
    <mergeCell ref="B135:B136"/>
    <mergeCell ref="B137:B138"/>
    <mergeCell ref="B139:B140"/>
    <mergeCell ref="B141:B142"/>
    <mergeCell ref="A123:A132"/>
    <mergeCell ref="A73:A82"/>
    <mergeCell ref="B73:B74"/>
    <mergeCell ref="I73:I82"/>
    <mergeCell ref="B75:B76"/>
    <mergeCell ref="B77:B78"/>
    <mergeCell ref="B79:B80"/>
    <mergeCell ref="B81:B82"/>
    <mergeCell ref="B103:B104"/>
    <mergeCell ref="A133:A142"/>
    <mergeCell ref="A83:A92"/>
    <mergeCell ref="B83:B84"/>
    <mergeCell ref="I83:I92"/>
    <mergeCell ref="B85:B86"/>
    <mergeCell ref="B87:B88"/>
    <mergeCell ref="B89:B90"/>
    <mergeCell ref="B91:B92"/>
    <mergeCell ref="I93:I102"/>
    <mergeCell ref="B95:B96"/>
    <mergeCell ref="B97:B98"/>
    <mergeCell ref="B99:B100"/>
    <mergeCell ref="B101:B102"/>
    <mergeCell ref="B123:B124"/>
    <mergeCell ref="I123:I1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497D-3418-4232-8C91-F29F17883718}">
  <dimension ref="A1:G101"/>
  <sheetViews>
    <sheetView topLeftCell="A70" workbookViewId="0">
      <selection activeCell="G36" sqref="G36"/>
    </sheetView>
  </sheetViews>
  <sheetFormatPr defaultRowHeight="15" x14ac:dyDescent="0.25"/>
  <cols>
    <col min="1" max="1" width="21" bestFit="1" customWidth="1"/>
    <col min="2" max="2" width="17.7109375" bestFit="1" customWidth="1"/>
  </cols>
  <sheetData>
    <row r="1" spans="1:7" ht="15.75" thickBot="1" x14ac:dyDescent="0.3">
      <c r="A1" s="422" t="s">
        <v>526</v>
      </c>
      <c r="B1" s="422"/>
      <c r="C1" s="422"/>
      <c r="D1" s="422"/>
      <c r="E1" s="422"/>
      <c r="F1" s="422"/>
      <c r="G1" s="422"/>
    </row>
    <row r="2" spans="1:7" ht="44.25" thickTop="1" thickBot="1" x14ac:dyDescent="0.3">
      <c r="A2" s="179" t="s">
        <v>16</v>
      </c>
      <c r="B2" s="179" t="s">
        <v>64</v>
      </c>
      <c r="C2" s="179" t="s">
        <v>17</v>
      </c>
      <c r="D2" s="179" t="s">
        <v>124</v>
      </c>
      <c r="E2" s="179" t="s">
        <v>86</v>
      </c>
      <c r="F2" s="179" t="s">
        <v>87</v>
      </c>
      <c r="G2" s="179" t="s">
        <v>88</v>
      </c>
    </row>
    <row r="3" spans="1:7" ht="15.75" thickTop="1" x14ac:dyDescent="0.25">
      <c r="A3" s="414" t="s">
        <v>9</v>
      </c>
      <c r="B3" s="221" t="s">
        <v>158</v>
      </c>
      <c r="C3" s="221" t="s">
        <v>27</v>
      </c>
      <c r="D3" s="221">
        <v>28</v>
      </c>
      <c r="E3" s="221">
        <v>144</v>
      </c>
      <c r="F3" s="221"/>
      <c r="G3" s="221">
        <f>E3-F3</f>
        <v>144</v>
      </c>
    </row>
    <row r="4" spans="1:7" x14ac:dyDescent="0.25">
      <c r="A4" s="415"/>
      <c r="B4" s="219" t="s">
        <v>162</v>
      </c>
      <c r="C4" s="219" t="s">
        <v>59</v>
      </c>
      <c r="D4" s="219">
        <v>15</v>
      </c>
      <c r="E4" s="219">
        <v>216</v>
      </c>
      <c r="F4" s="219">
        <f>10+10</f>
        <v>20</v>
      </c>
      <c r="G4" s="219">
        <f>E4-F4</f>
        <v>196</v>
      </c>
    </row>
    <row r="5" spans="1:7" x14ac:dyDescent="0.25">
      <c r="A5" s="415"/>
      <c r="B5" s="219" t="s">
        <v>161</v>
      </c>
      <c r="C5" s="219" t="s">
        <v>30</v>
      </c>
      <c r="D5" s="219">
        <v>13</v>
      </c>
      <c r="E5" s="219">
        <f>72</f>
        <v>72</v>
      </c>
      <c r="F5" s="219">
        <v>10</v>
      </c>
      <c r="G5" s="219">
        <f t="shared" ref="G5:G100" si="0">E5-F5</f>
        <v>62</v>
      </c>
    </row>
    <row r="6" spans="1:7" x14ac:dyDescent="0.25">
      <c r="A6" s="415"/>
      <c r="B6" s="417" t="s">
        <v>68</v>
      </c>
      <c r="C6" s="219" t="s">
        <v>55</v>
      </c>
      <c r="D6" s="219">
        <v>15</v>
      </c>
      <c r="E6" s="219">
        <v>56</v>
      </c>
      <c r="F6" s="219">
        <v>10</v>
      </c>
      <c r="G6" s="219">
        <f t="shared" si="0"/>
        <v>46</v>
      </c>
    </row>
    <row r="7" spans="1:7" x14ac:dyDescent="0.25">
      <c r="A7" s="415"/>
      <c r="B7" s="421"/>
      <c r="C7" s="219" t="s">
        <v>53</v>
      </c>
      <c r="D7" s="219">
        <v>26</v>
      </c>
      <c r="E7" s="219">
        <v>288</v>
      </c>
      <c r="F7" s="219">
        <f>10+10</f>
        <v>20</v>
      </c>
      <c r="G7" s="219">
        <f t="shared" si="0"/>
        <v>268</v>
      </c>
    </row>
    <row r="8" spans="1:7" x14ac:dyDescent="0.25">
      <c r="A8" s="415"/>
      <c r="B8" s="219" t="s">
        <v>164</v>
      </c>
      <c r="C8" s="219" t="s">
        <v>48</v>
      </c>
      <c r="D8" s="219">
        <v>47</v>
      </c>
      <c r="E8" s="219">
        <v>168</v>
      </c>
      <c r="F8" s="219"/>
      <c r="G8" s="219">
        <f t="shared" si="0"/>
        <v>168</v>
      </c>
    </row>
    <row r="9" spans="1:7" x14ac:dyDescent="0.25">
      <c r="A9" s="417"/>
      <c r="B9" s="417" t="s">
        <v>163</v>
      </c>
      <c r="C9" s="223" t="s">
        <v>30</v>
      </c>
      <c r="D9" s="223">
        <v>17</v>
      </c>
      <c r="E9" s="223">
        <v>168</v>
      </c>
      <c r="F9" s="223">
        <v>10</v>
      </c>
      <c r="G9" s="223">
        <f t="shared" si="0"/>
        <v>158</v>
      </c>
    </row>
    <row r="10" spans="1:7" ht="15.75" thickBot="1" x14ac:dyDescent="0.3">
      <c r="A10" s="416"/>
      <c r="B10" s="418"/>
      <c r="C10" s="222" t="s">
        <v>121</v>
      </c>
      <c r="D10" s="222">
        <v>59</v>
      </c>
      <c r="E10" s="222">
        <v>60</v>
      </c>
      <c r="F10" s="222"/>
      <c r="G10" s="222">
        <f t="shared" si="0"/>
        <v>60</v>
      </c>
    </row>
    <row r="11" spans="1:7" ht="15.75" thickTop="1" x14ac:dyDescent="0.25">
      <c r="A11" s="414" t="s">
        <v>167</v>
      </c>
      <c r="B11" s="414" t="s">
        <v>163</v>
      </c>
      <c r="C11" s="221" t="s">
        <v>30</v>
      </c>
      <c r="D11" s="221">
        <v>23</v>
      </c>
      <c r="E11" s="221">
        <v>112</v>
      </c>
      <c r="F11" s="221">
        <v>5</v>
      </c>
      <c r="G11" s="221">
        <f t="shared" si="0"/>
        <v>107</v>
      </c>
    </row>
    <row r="12" spans="1:7" x14ac:dyDescent="0.25">
      <c r="A12" s="415"/>
      <c r="B12" s="415"/>
      <c r="C12" s="219" t="s">
        <v>29</v>
      </c>
      <c r="D12" s="219">
        <v>47</v>
      </c>
      <c r="E12" s="219">
        <v>156</v>
      </c>
      <c r="F12" s="219">
        <v>10</v>
      </c>
      <c r="G12" s="219">
        <f t="shared" si="0"/>
        <v>146</v>
      </c>
    </row>
    <row r="13" spans="1:7" ht="15.75" thickBot="1" x14ac:dyDescent="0.3">
      <c r="A13" s="416"/>
      <c r="B13" s="222" t="s">
        <v>164</v>
      </c>
      <c r="C13" s="222" t="s">
        <v>48</v>
      </c>
      <c r="D13" s="222">
        <v>47</v>
      </c>
      <c r="E13" s="222">
        <v>156</v>
      </c>
      <c r="F13" s="222">
        <v>10</v>
      </c>
      <c r="G13" s="222">
        <f t="shared" si="0"/>
        <v>146</v>
      </c>
    </row>
    <row r="14" spans="1:7" ht="15.75" thickTop="1" x14ac:dyDescent="0.25">
      <c r="A14" s="419" t="s">
        <v>33</v>
      </c>
      <c r="B14" s="419" t="s">
        <v>161</v>
      </c>
      <c r="C14" s="221" t="s">
        <v>66</v>
      </c>
      <c r="D14" s="221">
        <v>17</v>
      </c>
      <c r="E14" s="221">
        <v>48</v>
      </c>
      <c r="F14" s="221">
        <v>10</v>
      </c>
      <c r="G14" s="221">
        <f t="shared" si="0"/>
        <v>38</v>
      </c>
    </row>
    <row r="15" spans="1:7" x14ac:dyDescent="0.25">
      <c r="A15" s="420"/>
      <c r="B15" s="420"/>
      <c r="C15" s="224" t="s">
        <v>69</v>
      </c>
      <c r="D15" s="224">
        <v>38</v>
      </c>
      <c r="E15" s="224">
        <f>48+144</f>
        <v>192</v>
      </c>
      <c r="F15" s="224"/>
      <c r="G15" s="224">
        <f t="shared" si="0"/>
        <v>192</v>
      </c>
    </row>
    <row r="16" spans="1:7" x14ac:dyDescent="0.25">
      <c r="A16" s="420"/>
      <c r="B16" s="421"/>
      <c r="C16" s="224" t="s">
        <v>67</v>
      </c>
      <c r="D16" s="224">
        <v>53</v>
      </c>
      <c r="E16" s="224">
        <v>56</v>
      </c>
      <c r="F16" s="224"/>
      <c r="G16" s="224">
        <f t="shared" si="0"/>
        <v>56</v>
      </c>
    </row>
    <row r="17" spans="1:7" x14ac:dyDescent="0.25">
      <c r="A17" s="420"/>
      <c r="B17" s="219" t="s">
        <v>164</v>
      </c>
      <c r="C17" s="219" t="s">
        <v>48</v>
      </c>
      <c r="D17" s="219">
        <v>35</v>
      </c>
      <c r="E17" s="219">
        <f>48+47</f>
        <v>95</v>
      </c>
      <c r="F17" s="219"/>
      <c r="G17" s="219">
        <f t="shared" si="0"/>
        <v>95</v>
      </c>
    </row>
    <row r="18" spans="1:7" x14ac:dyDescent="0.25">
      <c r="A18" s="420"/>
      <c r="B18" s="219" t="s">
        <v>162</v>
      </c>
      <c r="C18" s="219" t="s">
        <v>59</v>
      </c>
      <c r="D18" s="219">
        <v>27</v>
      </c>
      <c r="E18" s="219">
        <v>286</v>
      </c>
      <c r="F18" s="219"/>
      <c r="G18" s="219">
        <f t="shared" si="0"/>
        <v>286</v>
      </c>
    </row>
    <row r="19" spans="1:7" x14ac:dyDescent="0.25">
      <c r="A19" s="420"/>
      <c r="B19" s="219" t="s">
        <v>160</v>
      </c>
      <c r="C19" s="219" t="s">
        <v>80</v>
      </c>
      <c r="D19" s="219">
        <v>59</v>
      </c>
      <c r="E19" s="219">
        <v>48</v>
      </c>
      <c r="F19" s="219"/>
      <c r="G19" s="219">
        <f t="shared" si="0"/>
        <v>48</v>
      </c>
    </row>
    <row r="20" spans="1:7" x14ac:dyDescent="0.25">
      <c r="A20" s="420"/>
      <c r="B20" s="417" t="s">
        <v>163</v>
      </c>
      <c r="C20" s="219" t="s">
        <v>30</v>
      </c>
      <c r="D20" s="219">
        <v>17</v>
      </c>
      <c r="E20" s="219">
        <v>224</v>
      </c>
      <c r="F20" s="219"/>
      <c r="G20" s="219">
        <f t="shared" si="0"/>
        <v>224</v>
      </c>
    </row>
    <row r="21" spans="1:7" ht="15.75" thickBot="1" x14ac:dyDescent="0.3">
      <c r="A21" s="418"/>
      <c r="B21" s="418"/>
      <c r="C21" s="226" t="s">
        <v>29</v>
      </c>
      <c r="D21" s="226">
        <v>24</v>
      </c>
      <c r="E21" s="226">
        <f>89+48</f>
        <v>137</v>
      </c>
      <c r="F21" s="226">
        <v>10</v>
      </c>
      <c r="G21" s="226">
        <f t="shared" si="0"/>
        <v>127</v>
      </c>
    </row>
    <row r="22" spans="1:7" ht="15.75" thickTop="1" x14ac:dyDescent="0.25">
      <c r="A22" s="414" t="s">
        <v>62</v>
      </c>
      <c r="B22" s="414" t="s">
        <v>160</v>
      </c>
      <c r="C22" s="221" t="s">
        <v>41</v>
      </c>
      <c r="D22" s="221">
        <v>14</v>
      </c>
      <c r="E22" s="221">
        <f>240+153</f>
        <v>393</v>
      </c>
      <c r="F22" s="221"/>
      <c r="G22" s="221">
        <f t="shared" si="0"/>
        <v>393</v>
      </c>
    </row>
    <row r="23" spans="1:7" x14ac:dyDescent="0.25">
      <c r="A23" s="421"/>
      <c r="B23" s="421"/>
      <c r="C23" s="224" t="s">
        <v>40</v>
      </c>
      <c r="D23" s="224">
        <v>25</v>
      </c>
      <c r="E23" s="224">
        <v>252</v>
      </c>
      <c r="F23" s="224"/>
      <c r="G23" s="224">
        <f>E23-F23</f>
        <v>252</v>
      </c>
    </row>
    <row r="24" spans="1:7" x14ac:dyDescent="0.25">
      <c r="A24" s="415"/>
      <c r="B24" s="415"/>
      <c r="C24" s="219" t="s">
        <v>80</v>
      </c>
      <c r="D24" s="219">
        <v>38</v>
      </c>
      <c r="E24" s="219">
        <f>48+144</f>
        <v>192</v>
      </c>
      <c r="F24" s="219"/>
      <c r="G24" s="219">
        <f t="shared" si="0"/>
        <v>192</v>
      </c>
    </row>
    <row r="25" spans="1:7" x14ac:dyDescent="0.25">
      <c r="A25" s="415"/>
      <c r="B25" s="415"/>
      <c r="C25" s="219" t="s">
        <v>156</v>
      </c>
      <c r="D25" s="219">
        <v>48</v>
      </c>
      <c r="E25" s="219">
        <v>144</v>
      </c>
      <c r="F25" s="219"/>
      <c r="G25" s="219">
        <f t="shared" si="0"/>
        <v>144</v>
      </c>
    </row>
    <row r="26" spans="1:7" x14ac:dyDescent="0.25">
      <c r="A26" s="415"/>
      <c r="B26" s="415" t="s">
        <v>46</v>
      </c>
      <c r="C26" s="219" t="s">
        <v>30</v>
      </c>
      <c r="D26" s="219">
        <v>14</v>
      </c>
      <c r="E26" s="219">
        <v>144</v>
      </c>
      <c r="F26" s="219">
        <v>10</v>
      </c>
      <c r="G26" s="219">
        <f t="shared" si="0"/>
        <v>134</v>
      </c>
    </row>
    <row r="27" spans="1:7" x14ac:dyDescent="0.25">
      <c r="A27" s="415"/>
      <c r="B27" s="415"/>
      <c r="C27" s="219" t="s">
        <v>38</v>
      </c>
      <c r="D27" s="219">
        <v>24</v>
      </c>
      <c r="E27" s="219">
        <v>48</v>
      </c>
      <c r="F27" s="219">
        <v>48</v>
      </c>
      <c r="G27" s="219">
        <f t="shared" si="0"/>
        <v>0</v>
      </c>
    </row>
    <row r="28" spans="1:7" x14ac:dyDescent="0.25">
      <c r="A28" s="415"/>
      <c r="B28" s="417" t="s">
        <v>58</v>
      </c>
      <c r="C28" s="219" t="s">
        <v>54</v>
      </c>
      <c r="D28" s="219">
        <v>25</v>
      </c>
      <c r="E28" s="219">
        <f>28+56</f>
        <v>84</v>
      </c>
      <c r="F28" s="219">
        <f>10+10</f>
        <v>20</v>
      </c>
      <c r="G28" s="219">
        <f t="shared" si="0"/>
        <v>64</v>
      </c>
    </row>
    <row r="29" spans="1:7" x14ac:dyDescent="0.25">
      <c r="A29" s="415"/>
      <c r="B29" s="421"/>
      <c r="C29" s="219" t="s">
        <v>53</v>
      </c>
      <c r="D29" s="219">
        <v>36</v>
      </c>
      <c r="E29" s="219">
        <v>96</v>
      </c>
      <c r="F29" s="219"/>
      <c r="G29" s="219">
        <f t="shared" si="0"/>
        <v>96</v>
      </c>
    </row>
    <row r="30" spans="1:7" x14ac:dyDescent="0.25">
      <c r="A30" s="415"/>
      <c r="B30" s="415" t="s">
        <v>161</v>
      </c>
      <c r="C30" s="219" t="s">
        <v>61</v>
      </c>
      <c r="D30" s="219">
        <v>9</v>
      </c>
      <c r="E30" s="219">
        <v>910</v>
      </c>
      <c r="F30" s="219"/>
      <c r="G30" s="219">
        <f t="shared" si="0"/>
        <v>910</v>
      </c>
    </row>
    <row r="31" spans="1:7" x14ac:dyDescent="0.25">
      <c r="A31" s="415"/>
      <c r="B31" s="415"/>
      <c r="C31" s="219" t="s">
        <v>149</v>
      </c>
      <c r="D31" s="219">
        <v>14</v>
      </c>
      <c r="E31" s="219">
        <v>792</v>
      </c>
      <c r="F31" s="219"/>
      <c r="G31" s="219">
        <f t="shared" si="0"/>
        <v>792</v>
      </c>
    </row>
    <row r="32" spans="1:7" x14ac:dyDescent="0.25">
      <c r="A32" s="415"/>
      <c r="B32" s="415"/>
      <c r="C32" s="219" t="s">
        <v>69</v>
      </c>
      <c r="D32" s="219">
        <v>38</v>
      </c>
      <c r="E32" s="219">
        <f>48+120</f>
        <v>168</v>
      </c>
      <c r="F32" s="219">
        <v>10</v>
      </c>
      <c r="G32" s="219">
        <f t="shared" si="0"/>
        <v>158</v>
      </c>
    </row>
    <row r="33" spans="1:7" x14ac:dyDescent="0.25">
      <c r="A33" s="415"/>
      <c r="B33" s="415"/>
      <c r="C33" s="219" t="s">
        <v>67</v>
      </c>
      <c r="D33" s="219">
        <v>47</v>
      </c>
      <c r="E33" s="219">
        <f>36+9</f>
        <v>45</v>
      </c>
      <c r="F33" s="219"/>
      <c r="G33" s="219">
        <f t="shared" si="0"/>
        <v>45</v>
      </c>
    </row>
    <row r="34" spans="1:7" x14ac:dyDescent="0.25">
      <c r="A34" s="415"/>
      <c r="B34" s="417" t="s">
        <v>164</v>
      </c>
      <c r="C34" s="219" t="s">
        <v>73</v>
      </c>
      <c r="D34" s="219">
        <v>21</v>
      </c>
      <c r="E34" s="219">
        <v>89</v>
      </c>
      <c r="F34" s="219"/>
      <c r="G34" s="219">
        <f t="shared" si="0"/>
        <v>89</v>
      </c>
    </row>
    <row r="35" spans="1:7" x14ac:dyDescent="0.25">
      <c r="A35" s="415"/>
      <c r="B35" s="421"/>
      <c r="C35" s="219" t="s">
        <v>48</v>
      </c>
      <c r="D35" s="219">
        <v>38</v>
      </c>
      <c r="E35" s="219">
        <f>144+80+48</f>
        <v>272</v>
      </c>
      <c r="F35" s="219"/>
      <c r="G35" s="219">
        <f t="shared" si="0"/>
        <v>272</v>
      </c>
    </row>
    <row r="36" spans="1:7" x14ac:dyDescent="0.25">
      <c r="A36" s="415"/>
      <c r="B36" s="417" t="s">
        <v>163</v>
      </c>
      <c r="C36" s="219" t="s">
        <v>51</v>
      </c>
      <c r="D36" s="219">
        <v>21</v>
      </c>
      <c r="E36" s="219">
        <v>624</v>
      </c>
      <c r="F36" s="219"/>
      <c r="G36" s="219">
        <f t="shared" si="0"/>
        <v>624</v>
      </c>
    </row>
    <row r="37" spans="1:7" x14ac:dyDescent="0.25">
      <c r="A37" s="415"/>
      <c r="B37" s="420"/>
      <c r="C37" s="219" t="s">
        <v>30</v>
      </c>
      <c r="D37" s="219">
        <v>26</v>
      </c>
      <c r="E37" s="219">
        <v>280</v>
      </c>
      <c r="F37" s="219"/>
      <c r="G37" s="219">
        <f t="shared" si="0"/>
        <v>280</v>
      </c>
    </row>
    <row r="38" spans="1:7" x14ac:dyDescent="0.25">
      <c r="A38" s="415"/>
      <c r="B38" s="420"/>
      <c r="C38" s="219" t="s">
        <v>29</v>
      </c>
      <c r="D38" s="219">
        <v>24</v>
      </c>
      <c r="E38" s="219">
        <f>141+96</f>
        <v>237</v>
      </c>
      <c r="F38" s="219">
        <f>10+10</f>
        <v>20</v>
      </c>
      <c r="G38" s="219">
        <f t="shared" si="0"/>
        <v>217</v>
      </c>
    </row>
    <row r="39" spans="1:7" x14ac:dyDescent="0.25">
      <c r="A39" s="415"/>
      <c r="B39" s="421"/>
      <c r="C39" s="219" t="s">
        <v>121</v>
      </c>
      <c r="D39" s="219">
        <v>58</v>
      </c>
      <c r="E39" s="219">
        <v>63</v>
      </c>
      <c r="F39" s="219"/>
      <c r="G39" s="219">
        <f t="shared" si="0"/>
        <v>63</v>
      </c>
    </row>
    <row r="40" spans="1:7" x14ac:dyDescent="0.25">
      <c r="A40" s="415"/>
      <c r="B40" s="219" t="s">
        <v>68</v>
      </c>
      <c r="C40" s="219" t="s">
        <v>53</v>
      </c>
      <c r="D40" s="219">
        <v>51</v>
      </c>
      <c r="E40" s="219">
        <v>78</v>
      </c>
      <c r="F40" s="219"/>
      <c r="G40" s="219">
        <f t="shared" si="0"/>
        <v>78</v>
      </c>
    </row>
    <row r="41" spans="1:7" x14ac:dyDescent="0.25">
      <c r="A41" s="415"/>
      <c r="B41" s="219" t="s">
        <v>96</v>
      </c>
      <c r="C41" s="219" t="s">
        <v>153</v>
      </c>
      <c r="D41" s="219">
        <v>51</v>
      </c>
      <c r="E41" s="219">
        <v>111</v>
      </c>
      <c r="F41" s="219"/>
      <c r="G41" s="219">
        <f t="shared" si="0"/>
        <v>111</v>
      </c>
    </row>
    <row r="42" spans="1:7" x14ac:dyDescent="0.25">
      <c r="A42" s="415"/>
      <c r="B42" s="417" t="s">
        <v>56</v>
      </c>
      <c r="C42" s="219" t="s">
        <v>55</v>
      </c>
      <c r="D42" s="219">
        <v>25</v>
      </c>
      <c r="E42" s="219">
        <f>40+240</f>
        <v>280</v>
      </c>
      <c r="F42" s="219"/>
      <c r="G42" s="219">
        <f t="shared" si="0"/>
        <v>280</v>
      </c>
    </row>
    <row r="43" spans="1:7" x14ac:dyDescent="0.25">
      <c r="A43" s="415"/>
      <c r="B43" s="420"/>
      <c r="C43" s="219" t="s">
        <v>54</v>
      </c>
      <c r="D43" s="219">
        <v>35</v>
      </c>
      <c r="E43" s="219">
        <v>112</v>
      </c>
      <c r="F43" s="219"/>
      <c r="G43" s="219">
        <f t="shared" si="0"/>
        <v>112</v>
      </c>
    </row>
    <row r="44" spans="1:7" x14ac:dyDescent="0.25">
      <c r="A44" s="415"/>
      <c r="B44" s="421"/>
      <c r="C44" s="219" t="s">
        <v>53</v>
      </c>
      <c r="D44" s="219">
        <v>50</v>
      </c>
      <c r="E44" s="219">
        <v>48</v>
      </c>
      <c r="F44" s="219"/>
      <c r="G44" s="219">
        <f t="shared" si="0"/>
        <v>48</v>
      </c>
    </row>
    <row r="45" spans="1:7" x14ac:dyDescent="0.25">
      <c r="A45" s="415"/>
      <c r="B45" s="219" t="s">
        <v>35</v>
      </c>
      <c r="C45" s="219" t="s">
        <v>27</v>
      </c>
      <c r="D45" s="219">
        <v>38</v>
      </c>
      <c r="E45" s="219">
        <f>24+48</f>
        <v>72</v>
      </c>
      <c r="F45" s="219"/>
      <c r="G45" s="219">
        <f t="shared" si="0"/>
        <v>72</v>
      </c>
    </row>
    <row r="46" spans="1:7" x14ac:dyDescent="0.25">
      <c r="A46" s="415"/>
      <c r="B46" s="219" t="s">
        <v>158</v>
      </c>
      <c r="C46" s="219" t="s">
        <v>27</v>
      </c>
      <c r="D46" s="219">
        <v>38</v>
      </c>
      <c r="E46" s="219">
        <f>144+168+24</f>
        <v>336</v>
      </c>
      <c r="F46" s="219"/>
      <c r="G46" s="219">
        <f t="shared" si="0"/>
        <v>336</v>
      </c>
    </row>
    <row r="47" spans="1:7" x14ac:dyDescent="0.25">
      <c r="A47" s="415"/>
      <c r="B47" s="415" t="s">
        <v>162</v>
      </c>
      <c r="C47" s="219" t="s">
        <v>69</v>
      </c>
      <c r="D47" s="219">
        <v>38</v>
      </c>
      <c r="E47" s="219">
        <f>96+110</f>
        <v>206</v>
      </c>
      <c r="F47" s="219">
        <f>24+15+10</f>
        <v>49</v>
      </c>
      <c r="G47" s="219">
        <f t="shared" si="0"/>
        <v>157</v>
      </c>
    </row>
    <row r="48" spans="1:7" ht="15.75" thickBot="1" x14ac:dyDescent="0.3">
      <c r="A48" s="416"/>
      <c r="B48" s="416"/>
      <c r="C48" s="222" t="s">
        <v>150</v>
      </c>
      <c r="D48" s="222">
        <v>47</v>
      </c>
      <c r="E48" s="222">
        <v>50</v>
      </c>
      <c r="F48" s="222">
        <v>12</v>
      </c>
      <c r="G48" s="222">
        <f t="shared" si="0"/>
        <v>38</v>
      </c>
    </row>
    <row r="49" spans="1:7" ht="15.75" thickTop="1" x14ac:dyDescent="0.25">
      <c r="A49" s="414" t="s">
        <v>78</v>
      </c>
      <c r="B49" s="221" t="s">
        <v>164</v>
      </c>
      <c r="C49" s="221" t="s">
        <v>48</v>
      </c>
      <c r="D49" s="221">
        <v>47</v>
      </c>
      <c r="E49" s="221">
        <v>23</v>
      </c>
      <c r="F49" s="227"/>
      <c r="G49" s="221">
        <f t="shared" si="0"/>
        <v>23</v>
      </c>
    </row>
    <row r="50" spans="1:7" x14ac:dyDescent="0.25">
      <c r="A50" s="415"/>
      <c r="B50" s="415" t="s">
        <v>161</v>
      </c>
      <c r="C50" s="219" t="s">
        <v>69</v>
      </c>
      <c r="D50" s="219">
        <v>47</v>
      </c>
      <c r="E50" s="219">
        <v>115</v>
      </c>
      <c r="F50" s="3"/>
      <c r="G50" s="219">
        <f t="shared" si="0"/>
        <v>115</v>
      </c>
    </row>
    <row r="51" spans="1:7" x14ac:dyDescent="0.25">
      <c r="A51" s="415"/>
      <c r="B51" s="415"/>
      <c r="C51" s="219" t="s">
        <v>67</v>
      </c>
      <c r="D51" s="219">
        <v>59</v>
      </c>
      <c r="E51" s="219">
        <v>44</v>
      </c>
      <c r="F51" s="3"/>
      <c r="G51" s="219">
        <f t="shared" si="0"/>
        <v>44</v>
      </c>
    </row>
    <row r="52" spans="1:7" x14ac:dyDescent="0.25">
      <c r="A52" s="415"/>
      <c r="B52" s="415" t="s">
        <v>163</v>
      </c>
      <c r="C52" s="219" t="s">
        <v>30</v>
      </c>
      <c r="D52" s="219">
        <v>23</v>
      </c>
      <c r="E52" s="219">
        <v>109</v>
      </c>
      <c r="F52" s="3"/>
      <c r="G52" s="219">
        <f t="shared" si="0"/>
        <v>109</v>
      </c>
    </row>
    <row r="53" spans="1:7" x14ac:dyDescent="0.25">
      <c r="A53" s="415"/>
      <c r="B53" s="415"/>
      <c r="C53" s="219" t="s">
        <v>29</v>
      </c>
      <c r="D53" s="219">
        <v>47</v>
      </c>
      <c r="E53" s="219">
        <v>114</v>
      </c>
      <c r="F53" s="3"/>
      <c r="G53" s="219">
        <f t="shared" si="0"/>
        <v>114</v>
      </c>
    </row>
    <row r="54" spans="1:7" ht="15.75" thickBot="1" x14ac:dyDescent="0.3">
      <c r="A54" s="416"/>
      <c r="B54" s="416"/>
      <c r="C54" s="222" t="s">
        <v>121</v>
      </c>
      <c r="D54" s="222">
        <v>59</v>
      </c>
      <c r="E54" s="222">
        <v>60</v>
      </c>
      <c r="F54" s="228"/>
      <c r="G54" s="222">
        <f t="shared" si="0"/>
        <v>60</v>
      </c>
    </row>
    <row r="55" spans="1:7" ht="15.75" thickTop="1" x14ac:dyDescent="0.25">
      <c r="A55" s="414" t="s">
        <v>103</v>
      </c>
      <c r="B55" s="221" t="s">
        <v>160</v>
      </c>
      <c r="C55" s="221" t="s">
        <v>80</v>
      </c>
      <c r="D55" s="221">
        <v>28</v>
      </c>
      <c r="E55" s="221">
        <v>48</v>
      </c>
      <c r="F55" s="227"/>
      <c r="G55" s="221">
        <f t="shared" si="0"/>
        <v>48</v>
      </c>
    </row>
    <row r="56" spans="1:7" x14ac:dyDescent="0.25">
      <c r="A56" s="415"/>
      <c r="B56" s="415" t="s">
        <v>162</v>
      </c>
      <c r="C56" s="219" t="s">
        <v>74</v>
      </c>
      <c r="D56" s="219">
        <v>20</v>
      </c>
      <c r="E56" s="219">
        <v>252</v>
      </c>
      <c r="F56" s="3"/>
      <c r="G56" s="219">
        <f t="shared" si="0"/>
        <v>252</v>
      </c>
    </row>
    <row r="57" spans="1:7" x14ac:dyDescent="0.25">
      <c r="A57" s="415"/>
      <c r="B57" s="415"/>
      <c r="C57" s="219" t="s">
        <v>59</v>
      </c>
      <c r="D57" s="219">
        <v>30</v>
      </c>
      <c r="E57" s="219">
        <v>72</v>
      </c>
      <c r="F57" s="3"/>
      <c r="G57" s="219">
        <f t="shared" si="0"/>
        <v>72</v>
      </c>
    </row>
    <row r="58" spans="1:7" x14ac:dyDescent="0.25">
      <c r="A58" s="415"/>
      <c r="B58" s="415"/>
      <c r="C58" s="219" t="s">
        <v>150</v>
      </c>
      <c r="D58" s="219">
        <v>59</v>
      </c>
      <c r="E58" s="219">
        <v>48</v>
      </c>
      <c r="F58" s="3"/>
      <c r="G58" s="219">
        <f t="shared" si="0"/>
        <v>48</v>
      </c>
    </row>
    <row r="59" spans="1:7" x14ac:dyDescent="0.25">
      <c r="A59" s="415"/>
      <c r="B59" s="415" t="s">
        <v>161</v>
      </c>
      <c r="C59" s="219" t="s">
        <v>72</v>
      </c>
      <c r="D59" s="219">
        <v>17</v>
      </c>
      <c r="E59" s="219">
        <v>432</v>
      </c>
      <c r="F59" s="3"/>
      <c r="G59" s="219">
        <f t="shared" si="0"/>
        <v>432</v>
      </c>
    </row>
    <row r="60" spans="1:7" x14ac:dyDescent="0.25">
      <c r="A60" s="415"/>
      <c r="B60" s="415"/>
      <c r="C60" s="219" t="s">
        <v>69</v>
      </c>
      <c r="D60" s="219">
        <v>47</v>
      </c>
      <c r="E60" s="219">
        <v>24</v>
      </c>
      <c r="F60" s="3"/>
      <c r="G60" s="219">
        <f t="shared" si="0"/>
        <v>24</v>
      </c>
    </row>
    <row r="61" spans="1:7" x14ac:dyDescent="0.25">
      <c r="A61" s="415"/>
      <c r="B61" s="415"/>
      <c r="C61" s="219" t="s">
        <v>67</v>
      </c>
      <c r="D61" s="219">
        <v>59</v>
      </c>
      <c r="E61" s="219">
        <v>48</v>
      </c>
      <c r="F61" s="3"/>
      <c r="G61" s="219">
        <f t="shared" si="0"/>
        <v>48</v>
      </c>
    </row>
    <row r="62" spans="1:7" x14ac:dyDescent="0.25">
      <c r="A62" s="415"/>
      <c r="B62" s="219" t="s">
        <v>58</v>
      </c>
      <c r="C62" s="219" t="s">
        <v>57</v>
      </c>
      <c r="D62" s="219">
        <v>59</v>
      </c>
      <c r="E62" s="219">
        <v>36</v>
      </c>
      <c r="F62" s="3"/>
      <c r="G62" s="219">
        <f t="shared" si="0"/>
        <v>36</v>
      </c>
    </row>
    <row r="63" spans="1:7" x14ac:dyDescent="0.25">
      <c r="A63" s="415"/>
      <c r="B63" s="417" t="s">
        <v>163</v>
      </c>
      <c r="C63" s="219" t="s">
        <v>29</v>
      </c>
      <c r="D63" s="219">
        <v>47</v>
      </c>
      <c r="E63" s="219">
        <v>120</v>
      </c>
      <c r="F63" s="3"/>
      <c r="G63" s="219">
        <f t="shared" si="0"/>
        <v>120</v>
      </c>
    </row>
    <row r="64" spans="1:7" x14ac:dyDescent="0.25">
      <c r="A64" s="415"/>
      <c r="B64" s="421"/>
      <c r="C64" s="219" t="s">
        <v>121</v>
      </c>
      <c r="D64" s="219">
        <v>59</v>
      </c>
      <c r="E64" s="219">
        <v>60</v>
      </c>
      <c r="F64" s="3"/>
      <c r="G64" s="219">
        <f t="shared" si="0"/>
        <v>60</v>
      </c>
    </row>
    <row r="65" spans="1:7" x14ac:dyDescent="0.25">
      <c r="A65" s="415"/>
      <c r="B65" s="415" t="s">
        <v>164</v>
      </c>
      <c r="C65" s="219" t="s">
        <v>48</v>
      </c>
      <c r="D65" s="219">
        <v>47</v>
      </c>
      <c r="E65" s="219">
        <v>144</v>
      </c>
      <c r="F65" s="3"/>
      <c r="G65" s="219">
        <f t="shared" si="0"/>
        <v>144</v>
      </c>
    </row>
    <row r="66" spans="1:7" ht="15.75" thickBot="1" x14ac:dyDescent="0.3">
      <c r="A66" s="416"/>
      <c r="B66" s="416"/>
      <c r="C66" s="222" t="s">
        <v>47</v>
      </c>
      <c r="D66" s="222">
        <v>59</v>
      </c>
      <c r="E66" s="222">
        <v>36</v>
      </c>
      <c r="F66" s="228"/>
      <c r="G66" s="222">
        <f t="shared" si="0"/>
        <v>36</v>
      </c>
    </row>
    <row r="67" spans="1:7" ht="15.75" thickTop="1" x14ac:dyDescent="0.25">
      <c r="A67" s="419" t="s">
        <v>70</v>
      </c>
      <c r="B67" s="414" t="s">
        <v>161</v>
      </c>
      <c r="C67" s="221" t="s">
        <v>69</v>
      </c>
      <c r="D67" s="221">
        <v>29</v>
      </c>
      <c r="E67" s="221">
        <v>90</v>
      </c>
      <c r="F67" s="227">
        <f>10+20</f>
        <v>30</v>
      </c>
      <c r="G67" s="221">
        <f t="shared" si="0"/>
        <v>60</v>
      </c>
    </row>
    <row r="68" spans="1:7" x14ac:dyDescent="0.25">
      <c r="A68" s="420"/>
      <c r="B68" s="415"/>
      <c r="C68" s="219" t="s">
        <v>67</v>
      </c>
      <c r="D68" s="219">
        <v>59</v>
      </c>
      <c r="E68" s="219">
        <v>24</v>
      </c>
      <c r="F68" s="3"/>
      <c r="G68" s="219">
        <f t="shared" si="0"/>
        <v>24</v>
      </c>
    </row>
    <row r="69" spans="1:7" x14ac:dyDescent="0.25">
      <c r="A69" s="420"/>
      <c r="B69" s="219" t="s">
        <v>163</v>
      </c>
      <c r="C69" s="219" t="s">
        <v>30</v>
      </c>
      <c r="D69" s="219">
        <v>15</v>
      </c>
      <c r="E69" s="219">
        <v>84</v>
      </c>
      <c r="F69" s="3">
        <v>10</v>
      </c>
      <c r="G69" s="219">
        <f t="shared" si="0"/>
        <v>74</v>
      </c>
    </row>
    <row r="70" spans="1:7" x14ac:dyDescent="0.25">
      <c r="A70" s="420"/>
      <c r="B70" s="219" t="s">
        <v>162</v>
      </c>
      <c r="C70" s="219" t="s">
        <v>69</v>
      </c>
      <c r="D70" s="219">
        <v>47</v>
      </c>
      <c r="E70" s="219">
        <v>136</v>
      </c>
      <c r="F70" s="3"/>
      <c r="G70" s="219">
        <f t="shared" si="0"/>
        <v>136</v>
      </c>
    </row>
    <row r="71" spans="1:7" ht="15.75" thickBot="1" x14ac:dyDescent="0.3">
      <c r="A71" s="418"/>
      <c r="B71" s="222" t="s">
        <v>164</v>
      </c>
      <c r="C71" s="222" t="s">
        <v>48</v>
      </c>
      <c r="D71" s="222">
        <v>47</v>
      </c>
      <c r="E71" s="222">
        <v>24</v>
      </c>
      <c r="F71" s="228"/>
      <c r="G71" s="222">
        <f t="shared" si="0"/>
        <v>24</v>
      </c>
    </row>
    <row r="72" spans="1:7" ht="15.75" thickTop="1" x14ac:dyDescent="0.25">
      <c r="A72" s="414" t="s">
        <v>137</v>
      </c>
      <c r="B72" s="221" t="s">
        <v>68</v>
      </c>
      <c r="C72" s="221" t="s">
        <v>53</v>
      </c>
      <c r="D72" s="221">
        <v>34</v>
      </c>
      <c r="E72" s="221">
        <v>54</v>
      </c>
      <c r="F72" s="227">
        <v>10</v>
      </c>
      <c r="G72" s="221">
        <f t="shared" si="0"/>
        <v>44</v>
      </c>
    </row>
    <row r="73" spans="1:7" x14ac:dyDescent="0.25">
      <c r="A73" s="415"/>
      <c r="B73" s="219" t="s">
        <v>163</v>
      </c>
      <c r="C73" s="219" t="s">
        <v>29</v>
      </c>
      <c r="D73" s="219">
        <v>47</v>
      </c>
      <c r="E73" s="219">
        <v>96</v>
      </c>
      <c r="F73" s="3">
        <v>24</v>
      </c>
      <c r="G73" s="219">
        <f t="shared" si="0"/>
        <v>72</v>
      </c>
    </row>
    <row r="74" spans="1:7" x14ac:dyDescent="0.25">
      <c r="A74" s="417"/>
      <c r="B74" s="223" t="s">
        <v>164</v>
      </c>
      <c r="C74" s="223" t="s">
        <v>48</v>
      </c>
      <c r="D74" s="223">
        <v>47</v>
      </c>
      <c r="E74" s="223">
        <v>121</v>
      </c>
      <c r="F74" s="231"/>
      <c r="G74" s="223">
        <f t="shared" si="0"/>
        <v>121</v>
      </c>
    </row>
    <row r="75" spans="1:7" x14ac:dyDescent="0.25">
      <c r="A75" s="417"/>
      <c r="B75" s="417" t="s">
        <v>161</v>
      </c>
      <c r="C75" s="223" t="s">
        <v>66</v>
      </c>
      <c r="D75" s="223">
        <v>23</v>
      </c>
      <c r="E75" s="223">
        <v>48</v>
      </c>
      <c r="F75" s="231">
        <v>48</v>
      </c>
      <c r="G75" s="223">
        <f t="shared" si="0"/>
        <v>0</v>
      </c>
    </row>
    <row r="76" spans="1:7" ht="15.75" thickBot="1" x14ac:dyDescent="0.3">
      <c r="A76" s="416"/>
      <c r="B76" s="418"/>
      <c r="C76" s="222" t="s">
        <v>69</v>
      </c>
      <c r="D76" s="222">
        <v>47</v>
      </c>
      <c r="E76" s="222">
        <f>96+72</f>
        <v>168</v>
      </c>
      <c r="F76" s="228">
        <v>24</v>
      </c>
      <c r="G76" s="222">
        <f t="shared" si="0"/>
        <v>144</v>
      </c>
    </row>
    <row r="77" spans="1:7" ht="16.5" thickTop="1" thickBot="1" x14ac:dyDescent="0.3">
      <c r="A77" s="229" t="s">
        <v>166</v>
      </c>
      <c r="B77" s="229" t="s">
        <v>163</v>
      </c>
      <c r="C77" s="229" t="s">
        <v>29</v>
      </c>
      <c r="D77" s="229">
        <v>47</v>
      </c>
      <c r="E77" s="229">
        <v>72</v>
      </c>
      <c r="F77" s="230">
        <v>10</v>
      </c>
      <c r="G77" s="229">
        <f t="shared" si="0"/>
        <v>62</v>
      </c>
    </row>
    <row r="78" spans="1:7" ht="15.75" thickTop="1" x14ac:dyDescent="0.25">
      <c r="A78" s="419" t="s">
        <v>582</v>
      </c>
      <c r="B78" s="419" t="s">
        <v>161</v>
      </c>
      <c r="C78" s="221" t="s">
        <v>30</v>
      </c>
      <c r="D78" s="221">
        <v>15</v>
      </c>
      <c r="E78" s="221">
        <v>36</v>
      </c>
      <c r="F78" s="227"/>
      <c r="G78" s="221">
        <f t="shared" si="0"/>
        <v>36</v>
      </c>
    </row>
    <row r="79" spans="1:7" x14ac:dyDescent="0.25">
      <c r="A79" s="420"/>
      <c r="B79" s="421"/>
      <c r="C79" s="219" t="s">
        <v>69</v>
      </c>
      <c r="D79" s="219">
        <v>35</v>
      </c>
      <c r="E79" s="219">
        <v>23</v>
      </c>
      <c r="F79" s="3">
        <v>10</v>
      </c>
      <c r="G79" s="219">
        <f t="shared" si="0"/>
        <v>13</v>
      </c>
    </row>
    <row r="80" spans="1:7" x14ac:dyDescent="0.25">
      <c r="A80" s="420"/>
      <c r="B80" s="223" t="s">
        <v>163</v>
      </c>
      <c r="C80" s="223" t="s">
        <v>29</v>
      </c>
      <c r="D80" s="223">
        <v>59</v>
      </c>
      <c r="E80" s="223">
        <v>158</v>
      </c>
      <c r="F80" s="231">
        <v>2</v>
      </c>
      <c r="G80" s="223">
        <f t="shared" si="0"/>
        <v>156</v>
      </c>
    </row>
    <row r="81" spans="1:7" ht="15.75" thickBot="1" x14ac:dyDescent="0.3">
      <c r="A81" s="418"/>
      <c r="B81" s="222" t="s">
        <v>164</v>
      </c>
      <c r="C81" s="222" t="s">
        <v>48</v>
      </c>
      <c r="D81" s="115">
        <v>58.656325000000002</v>
      </c>
      <c r="E81" s="116">
        <v>326</v>
      </c>
      <c r="F81" s="228">
        <v>2</v>
      </c>
      <c r="G81" s="222">
        <f>E81-F81</f>
        <v>324</v>
      </c>
    </row>
    <row r="82" spans="1:7" ht="16.5" thickTop="1" thickBot="1" x14ac:dyDescent="0.3">
      <c r="A82" s="229" t="s">
        <v>134</v>
      </c>
      <c r="B82" s="229" t="s">
        <v>68</v>
      </c>
      <c r="C82" s="229" t="s">
        <v>53</v>
      </c>
      <c r="D82" s="229">
        <v>47</v>
      </c>
      <c r="E82" s="229">
        <v>66</v>
      </c>
      <c r="F82" s="230"/>
      <c r="G82" s="229">
        <f t="shared" si="0"/>
        <v>66</v>
      </c>
    </row>
    <row r="83" spans="1:7" ht="15.75" thickTop="1" x14ac:dyDescent="0.25">
      <c r="A83" s="414" t="s">
        <v>26</v>
      </c>
      <c r="B83" s="414" t="s">
        <v>163</v>
      </c>
      <c r="C83" s="221" t="s">
        <v>29</v>
      </c>
      <c r="D83" s="221">
        <v>59</v>
      </c>
      <c r="E83" s="221">
        <v>75</v>
      </c>
      <c r="F83" s="227"/>
      <c r="G83" s="221">
        <f t="shared" si="0"/>
        <v>75</v>
      </c>
    </row>
    <row r="84" spans="1:7" x14ac:dyDescent="0.25">
      <c r="A84" s="415"/>
      <c r="B84" s="415"/>
      <c r="C84" s="219" t="s">
        <v>121</v>
      </c>
      <c r="D84" s="219">
        <v>88</v>
      </c>
      <c r="E84" s="219">
        <v>26</v>
      </c>
      <c r="F84" s="3"/>
      <c r="G84" s="219">
        <f t="shared" si="0"/>
        <v>26</v>
      </c>
    </row>
    <row r="85" spans="1:7" x14ac:dyDescent="0.25">
      <c r="A85" s="415"/>
      <c r="B85" s="219" t="s">
        <v>161</v>
      </c>
      <c r="C85" s="219" t="s">
        <v>69</v>
      </c>
      <c r="D85" s="219">
        <v>59</v>
      </c>
      <c r="E85" s="219">
        <v>96</v>
      </c>
      <c r="F85" s="3">
        <v>24</v>
      </c>
      <c r="G85" s="219">
        <f t="shared" si="0"/>
        <v>72</v>
      </c>
    </row>
    <row r="86" spans="1:7" x14ac:dyDescent="0.25">
      <c r="A86" s="415"/>
      <c r="B86" s="415" t="s">
        <v>160</v>
      </c>
      <c r="C86" s="219" t="s">
        <v>40</v>
      </c>
      <c r="D86" s="219">
        <v>30</v>
      </c>
      <c r="E86" s="219">
        <v>168</v>
      </c>
      <c r="F86" s="3"/>
      <c r="G86" s="219">
        <f t="shared" si="0"/>
        <v>168</v>
      </c>
    </row>
    <row r="87" spans="1:7" ht="15.75" thickBot="1" x14ac:dyDescent="0.3">
      <c r="A87" s="416"/>
      <c r="B87" s="416"/>
      <c r="C87" s="222" t="s">
        <v>80</v>
      </c>
      <c r="D87" s="222">
        <v>59</v>
      </c>
      <c r="E87" s="222">
        <v>144</v>
      </c>
      <c r="F87" s="228"/>
      <c r="G87" s="222">
        <f t="shared" si="0"/>
        <v>144</v>
      </c>
    </row>
    <row r="88" spans="1:7" ht="16.5" thickTop="1" thickBot="1" x14ac:dyDescent="0.3">
      <c r="A88" s="229" t="s">
        <v>77</v>
      </c>
      <c r="B88" s="229" t="s">
        <v>161</v>
      </c>
      <c r="C88" s="229" t="s">
        <v>72</v>
      </c>
      <c r="D88" s="229">
        <v>11</v>
      </c>
      <c r="E88" s="229">
        <v>132</v>
      </c>
      <c r="F88" s="230"/>
      <c r="G88" s="229">
        <f t="shared" si="0"/>
        <v>132</v>
      </c>
    </row>
    <row r="89" spans="1:7" ht="15.75" thickTop="1" x14ac:dyDescent="0.25">
      <c r="A89" s="414" t="s">
        <v>223</v>
      </c>
      <c r="B89" s="414" t="s">
        <v>52</v>
      </c>
      <c r="C89" s="221" t="s">
        <v>53</v>
      </c>
      <c r="D89" s="221">
        <v>17</v>
      </c>
      <c r="E89" s="221">
        <f>36+18</f>
        <v>54</v>
      </c>
      <c r="F89" s="227">
        <f>20</f>
        <v>20</v>
      </c>
      <c r="G89" s="221">
        <f t="shared" si="0"/>
        <v>34</v>
      </c>
    </row>
    <row r="90" spans="1:7" x14ac:dyDescent="0.25">
      <c r="A90" s="415"/>
      <c r="B90" s="415"/>
      <c r="C90" s="219" t="s">
        <v>154</v>
      </c>
      <c r="D90" s="219">
        <v>24</v>
      </c>
      <c r="E90" s="219">
        <v>15</v>
      </c>
      <c r="F90" s="3">
        <v>15</v>
      </c>
      <c r="G90" s="219">
        <f>E90-F90</f>
        <v>0</v>
      </c>
    </row>
    <row r="91" spans="1:7" x14ac:dyDescent="0.25">
      <c r="A91" s="415"/>
      <c r="B91" s="415" t="s">
        <v>161</v>
      </c>
      <c r="C91" s="219" t="s">
        <v>30</v>
      </c>
      <c r="D91" s="219">
        <v>13</v>
      </c>
      <c r="E91" s="219">
        <v>216</v>
      </c>
      <c r="F91" s="3"/>
      <c r="G91" s="219">
        <f t="shared" si="0"/>
        <v>216</v>
      </c>
    </row>
    <row r="92" spans="1:7" x14ac:dyDescent="0.25">
      <c r="A92" s="415"/>
      <c r="B92" s="415"/>
      <c r="C92" s="219" t="s">
        <v>66</v>
      </c>
      <c r="D92" s="219">
        <v>17</v>
      </c>
      <c r="E92" s="219">
        <v>24</v>
      </c>
      <c r="F92" s="3">
        <v>20</v>
      </c>
      <c r="G92" s="219">
        <f t="shared" si="0"/>
        <v>4</v>
      </c>
    </row>
    <row r="93" spans="1:7" x14ac:dyDescent="0.25">
      <c r="A93" s="415"/>
      <c r="B93" s="415"/>
      <c r="C93" s="219" t="s">
        <v>69</v>
      </c>
      <c r="D93" s="219">
        <v>20</v>
      </c>
      <c r="E93" s="219">
        <f>144+96</f>
        <v>240</v>
      </c>
      <c r="F93" s="3">
        <f>10+20</f>
        <v>30</v>
      </c>
      <c r="G93" s="219">
        <f t="shared" si="0"/>
        <v>210</v>
      </c>
    </row>
    <row r="94" spans="1:7" x14ac:dyDescent="0.25">
      <c r="A94" s="415"/>
      <c r="B94" s="219" t="s">
        <v>162</v>
      </c>
      <c r="C94" s="219" t="s">
        <v>59</v>
      </c>
      <c r="D94" s="219">
        <v>22</v>
      </c>
      <c r="E94" s="219">
        <v>12</v>
      </c>
      <c r="F94" s="3">
        <v>12</v>
      </c>
      <c r="G94" s="219">
        <f t="shared" si="0"/>
        <v>0</v>
      </c>
    </row>
    <row r="95" spans="1:7" x14ac:dyDescent="0.25">
      <c r="A95" s="415"/>
      <c r="B95" s="415" t="s">
        <v>163</v>
      </c>
      <c r="C95" s="219" t="s">
        <v>51</v>
      </c>
      <c r="D95" s="219">
        <v>11</v>
      </c>
      <c r="E95" s="219">
        <v>21</v>
      </c>
      <c r="F95" s="3"/>
      <c r="G95" s="219">
        <f t="shared" si="0"/>
        <v>21</v>
      </c>
    </row>
    <row r="96" spans="1:7" x14ac:dyDescent="0.25">
      <c r="A96" s="415"/>
      <c r="B96" s="415"/>
      <c r="C96" s="219" t="s">
        <v>29</v>
      </c>
      <c r="D96" s="219">
        <v>29</v>
      </c>
      <c r="E96" s="219">
        <v>47</v>
      </c>
      <c r="F96" s="3">
        <v>20</v>
      </c>
      <c r="G96" s="219">
        <f t="shared" si="0"/>
        <v>27</v>
      </c>
    </row>
    <row r="97" spans="1:7" x14ac:dyDescent="0.25">
      <c r="A97" s="415"/>
      <c r="B97" s="219" t="s">
        <v>160</v>
      </c>
      <c r="C97" s="219" t="s">
        <v>156</v>
      </c>
      <c r="D97" s="219">
        <v>25</v>
      </c>
      <c r="E97" s="219">
        <v>32</v>
      </c>
      <c r="F97" s="3"/>
      <c r="G97" s="219">
        <f t="shared" si="0"/>
        <v>32</v>
      </c>
    </row>
    <row r="98" spans="1:7" x14ac:dyDescent="0.25">
      <c r="A98" s="415"/>
      <c r="B98" s="219" t="s">
        <v>68</v>
      </c>
      <c r="C98" s="219" t="s">
        <v>53</v>
      </c>
      <c r="D98" s="219">
        <v>19</v>
      </c>
      <c r="E98" s="219">
        <v>144</v>
      </c>
      <c r="F98" s="3">
        <v>20</v>
      </c>
      <c r="G98" s="219">
        <f t="shared" si="0"/>
        <v>124</v>
      </c>
    </row>
    <row r="99" spans="1:7" x14ac:dyDescent="0.25">
      <c r="A99" s="415"/>
      <c r="B99" s="219" t="s">
        <v>58</v>
      </c>
      <c r="C99" s="219" t="s">
        <v>57</v>
      </c>
      <c r="D99" s="219">
        <v>21</v>
      </c>
      <c r="E99" s="219">
        <v>68</v>
      </c>
      <c r="F99" s="3">
        <v>20</v>
      </c>
      <c r="G99" s="219">
        <f t="shared" si="0"/>
        <v>48</v>
      </c>
    </row>
    <row r="100" spans="1:7" ht="15.75" thickBot="1" x14ac:dyDescent="0.3">
      <c r="A100" s="416"/>
      <c r="B100" s="222" t="s">
        <v>164</v>
      </c>
      <c r="C100" s="222" t="s">
        <v>47</v>
      </c>
      <c r="D100" s="222">
        <v>29</v>
      </c>
      <c r="E100" s="222">
        <v>24</v>
      </c>
      <c r="F100" s="228">
        <v>20</v>
      </c>
      <c r="G100" s="222">
        <f t="shared" si="0"/>
        <v>4</v>
      </c>
    </row>
    <row r="101" spans="1:7" ht="15.75" thickTop="1" x14ac:dyDescent="0.25"/>
  </sheetData>
  <mergeCells count="39">
    <mergeCell ref="A1:G1"/>
    <mergeCell ref="A3:A10"/>
    <mergeCell ref="B6:B7"/>
    <mergeCell ref="B9:B10"/>
    <mergeCell ref="A11:A13"/>
    <mergeCell ref="B11:B12"/>
    <mergeCell ref="A14:A21"/>
    <mergeCell ref="B14:B16"/>
    <mergeCell ref="B20:B21"/>
    <mergeCell ref="A22:A48"/>
    <mergeCell ref="B22:B25"/>
    <mergeCell ref="B26:B27"/>
    <mergeCell ref="B28:B29"/>
    <mergeCell ref="B30:B33"/>
    <mergeCell ref="B34:B35"/>
    <mergeCell ref="B36:B39"/>
    <mergeCell ref="B42:B44"/>
    <mergeCell ref="B47:B48"/>
    <mergeCell ref="A49:A54"/>
    <mergeCell ref="B50:B51"/>
    <mergeCell ref="B52:B54"/>
    <mergeCell ref="A67:A71"/>
    <mergeCell ref="B67:B68"/>
    <mergeCell ref="A55:A66"/>
    <mergeCell ref="B56:B58"/>
    <mergeCell ref="B59:B61"/>
    <mergeCell ref="B63:B64"/>
    <mergeCell ref="B65:B66"/>
    <mergeCell ref="A89:A100"/>
    <mergeCell ref="B89:B90"/>
    <mergeCell ref="B91:B93"/>
    <mergeCell ref="B95:B96"/>
    <mergeCell ref="A72:A76"/>
    <mergeCell ref="B75:B76"/>
    <mergeCell ref="A78:A81"/>
    <mergeCell ref="B78:B79"/>
    <mergeCell ref="A83:A87"/>
    <mergeCell ref="B83:B84"/>
    <mergeCell ref="B86:B8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7"/>
  <sheetViews>
    <sheetView topLeftCell="A19" workbookViewId="0">
      <selection activeCell="J19" sqref="J19"/>
    </sheetView>
  </sheetViews>
  <sheetFormatPr defaultRowHeight="15" x14ac:dyDescent="0.25"/>
  <cols>
    <col min="1" max="1" width="13.5703125" customWidth="1"/>
    <col min="2" max="2" width="12.28515625" customWidth="1"/>
    <col min="3" max="3" width="11.140625" customWidth="1"/>
    <col min="4" max="5" width="13.140625" customWidth="1"/>
    <col min="6" max="6" width="13.42578125" customWidth="1"/>
  </cols>
  <sheetData>
    <row r="1" spans="1:7" ht="15.75" x14ac:dyDescent="0.25">
      <c r="A1" s="161"/>
      <c r="B1" s="423" t="s">
        <v>195</v>
      </c>
      <c r="C1" s="423"/>
      <c r="D1" s="423"/>
      <c r="E1" s="211"/>
      <c r="F1" s="161"/>
      <c r="G1" s="161"/>
    </row>
    <row r="2" spans="1:7" ht="17.25" customHeight="1" x14ac:dyDescent="0.25">
      <c r="A2" s="212" t="s">
        <v>16</v>
      </c>
      <c r="B2" s="212" t="s">
        <v>191</v>
      </c>
      <c r="C2" s="212" t="s">
        <v>192</v>
      </c>
      <c r="D2" s="212" t="s">
        <v>124</v>
      </c>
      <c r="E2" s="212" t="s">
        <v>293</v>
      </c>
      <c r="F2" s="212" t="s">
        <v>224</v>
      </c>
      <c r="G2" s="212" t="s">
        <v>264</v>
      </c>
    </row>
    <row r="3" spans="1:7" x14ac:dyDescent="0.25">
      <c r="A3" s="311" t="s">
        <v>122</v>
      </c>
      <c r="B3" s="311" t="s">
        <v>96</v>
      </c>
      <c r="C3" s="152" t="s">
        <v>193</v>
      </c>
      <c r="D3" s="152">
        <v>2</v>
      </c>
      <c r="E3" s="152">
        <v>1399</v>
      </c>
      <c r="F3" s="34"/>
      <c r="G3" s="34">
        <f>E3-F3</f>
        <v>1399</v>
      </c>
    </row>
    <row r="4" spans="1:7" x14ac:dyDescent="0.25">
      <c r="A4" s="311"/>
      <c r="B4" s="311"/>
      <c r="C4" s="152" t="s">
        <v>45</v>
      </c>
      <c r="D4" s="152">
        <v>2.5</v>
      </c>
      <c r="E4" s="152">
        <v>1360</v>
      </c>
      <c r="F4" s="34">
        <v>600</v>
      </c>
      <c r="G4" s="34">
        <f t="shared" ref="G4:G41" si="0">E4-F4</f>
        <v>760</v>
      </c>
    </row>
    <row r="5" spans="1:7" x14ac:dyDescent="0.25">
      <c r="A5" s="311"/>
      <c r="B5" s="311"/>
      <c r="C5" s="152" t="s">
        <v>30</v>
      </c>
      <c r="D5" s="152">
        <v>3</v>
      </c>
      <c r="E5" s="152">
        <v>1514</v>
      </c>
      <c r="F5" s="34"/>
      <c r="G5" s="34">
        <f t="shared" si="0"/>
        <v>1514</v>
      </c>
    </row>
    <row r="6" spans="1:7" x14ac:dyDescent="0.25">
      <c r="A6" s="311"/>
      <c r="B6" s="311"/>
      <c r="C6" s="152" t="s">
        <v>38</v>
      </c>
      <c r="D6" s="152">
        <v>4</v>
      </c>
      <c r="E6" s="152">
        <v>1664</v>
      </c>
      <c r="F6" s="34"/>
      <c r="G6" s="34">
        <f t="shared" si="0"/>
        <v>1664</v>
      </c>
    </row>
    <row r="7" spans="1:7" x14ac:dyDescent="0.25">
      <c r="A7" s="311"/>
      <c r="B7" s="311"/>
      <c r="C7" s="152" t="s">
        <v>194</v>
      </c>
      <c r="D7" s="152">
        <v>8</v>
      </c>
      <c r="E7" s="152">
        <v>1681</v>
      </c>
      <c r="F7" s="34"/>
      <c r="G7" s="34">
        <f t="shared" si="0"/>
        <v>1681</v>
      </c>
    </row>
    <row r="8" spans="1:7" x14ac:dyDescent="0.25">
      <c r="A8" s="311"/>
      <c r="B8" s="311" t="s">
        <v>32</v>
      </c>
      <c r="C8" s="152" t="s">
        <v>61</v>
      </c>
      <c r="D8" s="152">
        <v>1.5</v>
      </c>
      <c r="E8" s="152">
        <v>621</v>
      </c>
      <c r="F8" s="34">
        <v>621</v>
      </c>
      <c r="G8" s="34">
        <f t="shared" si="0"/>
        <v>0</v>
      </c>
    </row>
    <row r="9" spans="1:7" x14ac:dyDescent="0.25">
      <c r="A9" s="311"/>
      <c r="B9" s="311"/>
      <c r="C9" s="152" t="s">
        <v>193</v>
      </c>
      <c r="D9" s="152">
        <v>1.5</v>
      </c>
      <c r="E9" s="152">
        <v>477</v>
      </c>
      <c r="F9" s="34"/>
      <c r="G9" s="34">
        <f t="shared" si="0"/>
        <v>477</v>
      </c>
    </row>
    <row r="10" spans="1:7" x14ac:dyDescent="0.25">
      <c r="A10" s="311"/>
      <c r="B10" s="311"/>
      <c r="C10" s="152" t="s">
        <v>149</v>
      </c>
      <c r="D10" s="152">
        <v>1.5</v>
      </c>
      <c r="E10" s="152">
        <v>3258</v>
      </c>
      <c r="F10" s="34">
        <f>20+2000</f>
        <v>2020</v>
      </c>
      <c r="G10" s="34">
        <f t="shared" si="0"/>
        <v>1238</v>
      </c>
    </row>
    <row r="11" spans="1:7" x14ac:dyDescent="0.25">
      <c r="A11" s="311"/>
      <c r="B11" s="311"/>
      <c r="C11" s="152" t="s">
        <v>196</v>
      </c>
      <c r="D11" s="152">
        <v>6</v>
      </c>
      <c r="E11" s="152">
        <v>1482</v>
      </c>
      <c r="F11" s="34">
        <v>20</v>
      </c>
      <c r="G11" s="34">
        <f t="shared" si="0"/>
        <v>1462</v>
      </c>
    </row>
    <row r="12" spans="1:7" x14ac:dyDescent="0.25">
      <c r="A12" s="311"/>
      <c r="B12" s="311"/>
      <c r="C12" s="152" t="s">
        <v>151</v>
      </c>
      <c r="D12" s="152">
        <v>2</v>
      </c>
      <c r="E12" s="152">
        <v>1511</v>
      </c>
      <c r="F12" s="34"/>
      <c r="G12" s="34">
        <f t="shared" si="0"/>
        <v>1511</v>
      </c>
    </row>
    <row r="13" spans="1:7" x14ac:dyDescent="0.25">
      <c r="A13" s="311"/>
      <c r="B13" s="311"/>
      <c r="C13" s="152" t="s">
        <v>194</v>
      </c>
      <c r="D13" s="152">
        <v>8</v>
      </c>
      <c r="E13" s="152">
        <v>1666</v>
      </c>
      <c r="F13" s="34"/>
      <c r="G13" s="34">
        <f t="shared" si="0"/>
        <v>1666</v>
      </c>
    </row>
    <row r="14" spans="1:7" x14ac:dyDescent="0.25">
      <c r="A14" s="311"/>
      <c r="B14" s="320" t="s">
        <v>197</v>
      </c>
      <c r="C14" s="152" t="s">
        <v>198</v>
      </c>
      <c r="D14" s="152">
        <v>2</v>
      </c>
      <c r="E14" s="152">
        <v>1020</v>
      </c>
      <c r="F14" s="34">
        <v>1020</v>
      </c>
      <c r="G14" s="34">
        <f t="shared" si="0"/>
        <v>0</v>
      </c>
    </row>
    <row r="15" spans="1:7" x14ac:dyDescent="0.25">
      <c r="A15" s="311"/>
      <c r="B15" s="305"/>
      <c r="C15" s="152" t="s">
        <v>43</v>
      </c>
      <c r="D15" s="152">
        <v>1.5</v>
      </c>
      <c r="E15" s="152">
        <v>893</v>
      </c>
      <c r="F15" s="34">
        <v>893</v>
      </c>
      <c r="G15" s="34">
        <f t="shared" si="0"/>
        <v>0</v>
      </c>
    </row>
    <row r="16" spans="1:7" x14ac:dyDescent="0.25">
      <c r="A16" s="311"/>
      <c r="B16" s="305"/>
      <c r="C16" s="152" t="s">
        <v>199</v>
      </c>
      <c r="D16" s="152">
        <v>2</v>
      </c>
      <c r="E16" s="152">
        <v>2383</v>
      </c>
      <c r="F16" s="34">
        <v>20</v>
      </c>
      <c r="G16" s="34">
        <f t="shared" si="0"/>
        <v>2363</v>
      </c>
    </row>
    <row r="17" spans="1:7" x14ac:dyDescent="0.25">
      <c r="A17" s="311"/>
      <c r="B17" s="305"/>
      <c r="C17" s="152" t="s">
        <v>42</v>
      </c>
      <c r="D17" s="152">
        <v>1.5</v>
      </c>
      <c r="E17" s="152">
        <v>1128</v>
      </c>
      <c r="F17" s="34">
        <v>1128</v>
      </c>
      <c r="G17" s="34">
        <f t="shared" si="0"/>
        <v>0</v>
      </c>
    </row>
    <row r="18" spans="1:7" x14ac:dyDescent="0.25">
      <c r="A18" s="311"/>
      <c r="B18" s="305"/>
      <c r="C18" s="152" t="s">
        <v>295</v>
      </c>
      <c r="D18" s="152">
        <v>6</v>
      </c>
      <c r="E18" s="152">
        <v>2188</v>
      </c>
      <c r="F18" s="34"/>
      <c r="G18" s="34">
        <f t="shared" si="0"/>
        <v>2188</v>
      </c>
    </row>
    <row r="19" spans="1:7" x14ac:dyDescent="0.25">
      <c r="A19" s="311"/>
      <c r="B19" s="305"/>
      <c r="C19" s="152" t="s">
        <v>200</v>
      </c>
      <c r="D19" s="152">
        <v>14</v>
      </c>
      <c r="E19" s="152">
        <v>1757</v>
      </c>
      <c r="F19" s="34"/>
      <c r="G19" s="34">
        <f t="shared" si="0"/>
        <v>1757</v>
      </c>
    </row>
    <row r="20" spans="1:7" x14ac:dyDescent="0.25">
      <c r="A20" s="311"/>
      <c r="B20" s="319"/>
      <c r="C20" s="152" t="s">
        <v>296</v>
      </c>
      <c r="D20" s="152">
        <v>11</v>
      </c>
      <c r="E20" s="152">
        <v>1659</v>
      </c>
      <c r="F20" s="34"/>
      <c r="G20" s="34">
        <f t="shared" si="0"/>
        <v>1659</v>
      </c>
    </row>
    <row r="21" spans="1:7" x14ac:dyDescent="0.25">
      <c r="A21" s="311"/>
      <c r="B21" s="311" t="s">
        <v>58</v>
      </c>
      <c r="C21" s="152" t="s">
        <v>201</v>
      </c>
      <c r="D21" s="152">
        <v>1.5</v>
      </c>
      <c r="E21" s="152">
        <v>331</v>
      </c>
      <c r="F21" s="34">
        <v>331</v>
      </c>
      <c r="G21" s="34">
        <f t="shared" si="0"/>
        <v>0</v>
      </c>
    </row>
    <row r="22" spans="1:7" x14ac:dyDescent="0.25">
      <c r="A22" s="311"/>
      <c r="B22" s="311"/>
      <c r="C22" s="152" t="s">
        <v>261</v>
      </c>
      <c r="D22" s="152">
        <v>1.5</v>
      </c>
      <c r="E22" s="152">
        <v>487</v>
      </c>
      <c r="F22" s="34">
        <v>487</v>
      </c>
      <c r="G22" s="34">
        <f t="shared" si="0"/>
        <v>0</v>
      </c>
    </row>
    <row r="23" spans="1:7" x14ac:dyDescent="0.25">
      <c r="A23" s="311"/>
      <c r="B23" s="311"/>
      <c r="C23" s="152" t="s">
        <v>294</v>
      </c>
      <c r="D23" s="152">
        <v>2</v>
      </c>
      <c r="E23" s="152">
        <v>165</v>
      </c>
      <c r="F23" s="34"/>
      <c r="G23" s="34">
        <f t="shared" si="0"/>
        <v>165</v>
      </c>
    </row>
    <row r="24" spans="1:7" x14ac:dyDescent="0.25">
      <c r="A24" s="311"/>
      <c r="B24" s="311"/>
      <c r="C24" s="152" t="s">
        <v>202</v>
      </c>
      <c r="D24" s="152">
        <v>2</v>
      </c>
      <c r="E24" s="152">
        <v>1407</v>
      </c>
      <c r="F24" s="34">
        <f>1207+200</f>
        <v>1407</v>
      </c>
      <c r="G24" s="34">
        <f t="shared" si="0"/>
        <v>0</v>
      </c>
    </row>
    <row r="25" spans="1:7" x14ac:dyDescent="0.25">
      <c r="A25" s="311"/>
      <c r="B25" s="311"/>
      <c r="C25" s="152" t="s">
        <v>203</v>
      </c>
      <c r="D25" s="152">
        <v>2.5</v>
      </c>
      <c r="E25" s="152">
        <v>1559</v>
      </c>
      <c r="F25" s="34">
        <v>1559</v>
      </c>
      <c r="G25" s="34">
        <f t="shared" si="0"/>
        <v>0</v>
      </c>
    </row>
    <row r="26" spans="1:7" x14ac:dyDescent="0.25">
      <c r="A26" s="311"/>
      <c r="B26" s="311"/>
      <c r="C26" s="152" t="s">
        <v>204</v>
      </c>
      <c r="D26" s="152">
        <v>3</v>
      </c>
      <c r="E26" s="152">
        <v>1517</v>
      </c>
      <c r="F26" s="34"/>
      <c r="G26" s="34">
        <f t="shared" si="0"/>
        <v>1517</v>
      </c>
    </row>
    <row r="27" spans="1:7" x14ac:dyDescent="0.25">
      <c r="A27" s="311"/>
      <c r="B27" s="311"/>
      <c r="C27" s="152" t="s">
        <v>205</v>
      </c>
      <c r="D27" s="152">
        <v>4</v>
      </c>
      <c r="E27" s="152">
        <v>1699</v>
      </c>
      <c r="F27" s="34"/>
      <c r="G27" s="34">
        <f t="shared" si="0"/>
        <v>1699</v>
      </c>
    </row>
    <row r="28" spans="1:7" x14ac:dyDescent="0.25">
      <c r="A28" s="311"/>
      <c r="B28" s="311"/>
      <c r="C28" s="152" t="s">
        <v>206</v>
      </c>
      <c r="D28" s="152">
        <v>6</v>
      </c>
      <c r="E28" s="152">
        <v>1691</v>
      </c>
      <c r="F28" s="34"/>
      <c r="G28" s="34">
        <f t="shared" si="0"/>
        <v>1691</v>
      </c>
    </row>
    <row r="29" spans="1:7" x14ac:dyDescent="0.25">
      <c r="A29" s="311"/>
      <c r="B29" s="311" t="s">
        <v>207</v>
      </c>
      <c r="C29" s="152" t="s">
        <v>202</v>
      </c>
      <c r="D29" s="152">
        <v>2</v>
      </c>
      <c r="E29" s="152">
        <v>1386</v>
      </c>
      <c r="F29" s="34"/>
      <c r="G29" s="34">
        <f t="shared" si="0"/>
        <v>1386</v>
      </c>
    </row>
    <row r="30" spans="1:7" x14ac:dyDescent="0.25">
      <c r="A30" s="311"/>
      <c r="B30" s="311"/>
      <c r="C30" s="152" t="s">
        <v>203</v>
      </c>
      <c r="D30" s="152">
        <v>2.5</v>
      </c>
      <c r="E30" s="152">
        <v>1513</v>
      </c>
      <c r="F30" s="34">
        <v>25</v>
      </c>
      <c r="G30" s="34">
        <f t="shared" si="0"/>
        <v>1488</v>
      </c>
    </row>
    <row r="31" spans="1:7" x14ac:dyDescent="0.25">
      <c r="A31" s="311"/>
      <c r="B31" s="311"/>
      <c r="C31" s="152" t="s">
        <v>204</v>
      </c>
      <c r="D31" s="152">
        <v>3.5</v>
      </c>
      <c r="E31" s="152">
        <v>1885</v>
      </c>
      <c r="F31" s="34"/>
      <c r="G31" s="34">
        <f t="shared" si="0"/>
        <v>1885</v>
      </c>
    </row>
    <row r="32" spans="1:7" x14ac:dyDescent="0.25">
      <c r="A32" s="311"/>
      <c r="B32" s="311"/>
      <c r="C32" s="152" t="s">
        <v>205</v>
      </c>
      <c r="D32" s="152">
        <v>6.5</v>
      </c>
      <c r="E32" s="152">
        <v>1207</v>
      </c>
      <c r="F32" s="34"/>
      <c r="G32" s="34">
        <f t="shared" si="0"/>
        <v>1207</v>
      </c>
    </row>
    <row r="33" spans="1:7" x14ac:dyDescent="0.25">
      <c r="A33" s="311"/>
      <c r="B33" s="311" t="s">
        <v>208</v>
      </c>
      <c r="C33" s="152" t="s">
        <v>209</v>
      </c>
      <c r="D33" s="152">
        <v>1.5</v>
      </c>
      <c r="E33" s="152">
        <v>1058</v>
      </c>
      <c r="F33" s="34"/>
      <c r="G33" s="34">
        <f t="shared" si="0"/>
        <v>1058</v>
      </c>
    </row>
    <row r="34" spans="1:7" x14ac:dyDescent="0.25">
      <c r="A34" s="311"/>
      <c r="B34" s="311"/>
      <c r="C34" s="152" t="s">
        <v>42</v>
      </c>
      <c r="D34" s="152">
        <v>1.5</v>
      </c>
      <c r="E34" s="152">
        <v>986</v>
      </c>
      <c r="F34" s="34"/>
      <c r="G34" s="34">
        <f t="shared" si="0"/>
        <v>986</v>
      </c>
    </row>
    <row r="35" spans="1:7" x14ac:dyDescent="0.25">
      <c r="A35" s="311"/>
      <c r="B35" s="311"/>
      <c r="C35" s="152" t="s">
        <v>41</v>
      </c>
      <c r="D35" s="152">
        <v>3</v>
      </c>
      <c r="E35" s="152">
        <v>2999</v>
      </c>
      <c r="F35" s="34"/>
      <c r="G35" s="34">
        <f t="shared" si="0"/>
        <v>2999</v>
      </c>
    </row>
    <row r="36" spans="1:7" x14ac:dyDescent="0.25">
      <c r="A36" s="311"/>
      <c r="B36" s="311"/>
      <c r="C36" s="152" t="s">
        <v>30</v>
      </c>
      <c r="D36" s="152">
        <v>3.5</v>
      </c>
      <c r="E36" s="152">
        <v>1599</v>
      </c>
      <c r="F36" s="34"/>
      <c r="G36" s="34">
        <f t="shared" si="0"/>
        <v>1599</v>
      </c>
    </row>
    <row r="37" spans="1:7" x14ac:dyDescent="0.25">
      <c r="A37" s="311"/>
      <c r="B37" s="154" t="s">
        <v>56</v>
      </c>
      <c r="C37" s="152" t="s">
        <v>204</v>
      </c>
      <c r="D37" s="152">
        <v>3.5</v>
      </c>
      <c r="E37" s="152">
        <v>589</v>
      </c>
      <c r="F37" s="34"/>
      <c r="G37" s="34">
        <f t="shared" si="0"/>
        <v>589</v>
      </c>
    </row>
    <row r="38" spans="1:7" x14ac:dyDescent="0.25">
      <c r="A38" s="311"/>
      <c r="B38" s="154" t="s">
        <v>297</v>
      </c>
      <c r="C38" s="152" t="s">
        <v>73</v>
      </c>
      <c r="D38" s="152">
        <v>3</v>
      </c>
      <c r="E38" s="152">
        <v>425</v>
      </c>
      <c r="F38" s="34"/>
      <c r="G38" s="34">
        <f t="shared" si="0"/>
        <v>425</v>
      </c>
    </row>
    <row r="39" spans="1:7" x14ac:dyDescent="0.25">
      <c r="A39" s="311"/>
      <c r="B39" s="320" t="s">
        <v>39</v>
      </c>
      <c r="C39" s="152" t="s">
        <v>210</v>
      </c>
      <c r="D39" s="152">
        <v>3.5</v>
      </c>
      <c r="E39" s="152">
        <v>1605</v>
      </c>
      <c r="F39" s="34"/>
      <c r="G39" s="34">
        <f t="shared" si="0"/>
        <v>1605</v>
      </c>
    </row>
    <row r="40" spans="1:7" x14ac:dyDescent="0.25">
      <c r="A40" s="311"/>
      <c r="B40" s="319"/>
      <c r="C40" s="152" t="s">
        <v>38</v>
      </c>
      <c r="D40" s="152">
        <v>4.5</v>
      </c>
      <c r="E40" s="152">
        <v>1693</v>
      </c>
      <c r="F40" s="34"/>
      <c r="G40" s="34">
        <f t="shared" si="0"/>
        <v>1693</v>
      </c>
    </row>
    <row r="41" spans="1:7" x14ac:dyDescent="0.25">
      <c r="A41" s="152" t="s">
        <v>211</v>
      </c>
      <c r="B41" s="152" t="s">
        <v>197</v>
      </c>
      <c r="C41" s="152" t="s">
        <v>199</v>
      </c>
      <c r="D41" s="152">
        <v>2.5</v>
      </c>
      <c r="E41" s="152">
        <v>575</v>
      </c>
      <c r="F41" s="34"/>
      <c r="G41" s="34">
        <f t="shared" si="0"/>
        <v>575</v>
      </c>
    </row>
    <row r="42" spans="1:7" x14ac:dyDescent="0.25">
      <c r="A42" s="161"/>
      <c r="B42" s="161"/>
      <c r="C42" s="161"/>
      <c r="D42" s="161"/>
      <c r="E42" s="161"/>
      <c r="F42" s="161"/>
      <c r="G42" s="161"/>
    </row>
    <row r="43" spans="1:7" x14ac:dyDescent="0.25">
      <c r="A43" s="161"/>
      <c r="B43" s="161"/>
      <c r="C43" s="161"/>
      <c r="D43" s="161"/>
      <c r="E43" s="161"/>
      <c r="F43" s="161"/>
      <c r="G43" s="161"/>
    </row>
    <row r="44" spans="1:7" x14ac:dyDescent="0.25">
      <c r="A44" s="161" t="s">
        <v>298</v>
      </c>
      <c r="B44" s="161"/>
      <c r="C44" s="161"/>
      <c r="D44" s="161"/>
      <c r="E44" s="161"/>
      <c r="F44" s="161"/>
      <c r="G44" s="161"/>
    </row>
    <row r="45" spans="1:7" x14ac:dyDescent="0.25">
      <c r="A45" s="34" t="s">
        <v>16</v>
      </c>
      <c r="B45" s="34" t="s">
        <v>64</v>
      </c>
      <c r="C45" s="34" t="s">
        <v>17</v>
      </c>
      <c r="D45" s="34" t="s">
        <v>226</v>
      </c>
      <c r="E45" s="161"/>
      <c r="F45" s="161"/>
      <c r="G45" s="161"/>
    </row>
    <row r="46" spans="1:7" x14ac:dyDescent="0.25">
      <c r="A46" s="320" t="s">
        <v>122</v>
      </c>
      <c r="B46" s="311" t="s">
        <v>188</v>
      </c>
      <c r="C46" s="34" t="s">
        <v>193</v>
      </c>
      <c r="D46" s="34">
        <v>3</v>
      </c>
      <c r="E46" s="161"/>
      <c r="F46" s="161"/>
      <c r="G46" s="161"/>
    </row>
    <row r="47" spans="1:7" x14ac:dyDescent="0.25">
      <c r="A47" s="305"/>
      <c r="B47" s="311"/>
      <c r="C47" s="34" t="s">
        <v>45</v>
      </c>
      <c r="D47" s="34">
        <v>6</v>
      </c>
      <c r="E47" s="161"/>
      <c r="F47" s="161"/>
      <c r="G47" s="161"/>
    </row>
    <row r="48" spans="1:7" x14ac:dyDescent="0.25">
      <c r="A48" s="305"/>
      <c r="B48" s="34" t="s">
        <v>208</v>
      </c>
      <c r="C48" s="34" t="s">
        <v>30</v>
      </c>
      <c r="D48" s="34">
        <v>90</v>
      </c>
      <c r="E48" s="161"/>
      <c r="F48" s="161"/>
      <c r="G48" s="161"/>
    </row>
    <row r="49" spans="1:7" x14ac:dyDescent="0.25">
      <c r="A49" s="305"/>
      <c r="B49" s="34" t="s">
        <v>58</v>
      </c>
      <c r="C49" s="34" t="s">
        <v>206</v>
      </c>
      <c r="D49" s="34">
        <v>3</v>
      </c>
      <c r="E49" s="161"/>
      <c r="F49" s="161"/>
      <c r="G49" s="161"/>
    </row>
    <row r="50" spans="1:7" x14ac:dyDescent="0.25">
      <c r="A50" s="305"/>
      <c r="B50" s="34" t="s">
        <v>52</v>
      </c>
      <c r="C50" s="34" t="s">
        <v>204</v>
      </c>
      <c r="D50" s="34">
        <v>1</v>
      </c>
      <c r="E50" s="161"/>
      <c r="F50" s="161"/>
      <c r="G50" s="161"/>
    </row>
    <row r="51" spans="1:7" x14ac:dyDescent="0.25">
      <c r="A51" s="305"/>
      <c r="B51" s="34" t="s">
        <v>207</v>
      </c>
      <c r="C51" s="34" t="s">
        <v>204</v>
      </c>
      <c r="D51" s="34">
        <v>2</v>
      </c>
      <c r="E51" s="161"/>
      <c r="F51" s="161"/>
      <c r="G51" s="161"/>
    </row>
    <row r="52" spans="1:7" x14ac:dyDescent="0.25">
      <c r="A52" s="319"/>
      <c r="B52" s="34" t="s">
        <v>39</v>
      </c>
      <c r="C52" s="34" t="s">
        <v>45</v>
      </c>
      <c r="D52" s="34">
        <v>59</v>
      </c>
      <c r="E52" s="161"/>
      <c r="F52" s="161"/>
      <c r="G52" s="161"/>
    </row>
    <row r="53" spans="1:7" x14ac:dyDescent="0.25">
      <c r="A53" s="161"/>
      <c r="B53" s="161"/>
      <c r="C53" s="161"/>
      <c r="D53" s="161"/>
      <c r="E53" s="161"/>
      <c r="F53" s="161"/>
      <c r="G53" s="161"/>
    </row>
    <row r="54" spans="1:7" x14ac:dyDescent="0.25">
      <c r="A54" s="161"/>
      <c r="B54" s="161"/>
      <c r="C54" s="161"/>
      <c r="D54" s="161"/>
      <c r="E54" s="161"/>
      <c r="F54" s="161"/>
      <c r="G54" s="161"/>
    </row>
    <row r="55" spans="1:7" x14ac:dyDescent="0.25">
      <c r="A55" s="161"/>
      <c r="B55" s="161"/>
      <c r="C55" s="161"/>
      <c r="D55" s="161"/>
      <c r="E55" s="161"/>
      <c r="F55" s="161"/>
      <c r="G55" s="161"/>
    </row>
    <row r="56" spans="1:7" x14ac:dyDescent="0.25">
      <c r="A56" s="161"/>
      <c r="B56" s="161"/>
      <c r="C56" s="161"/>
      <c r="D56" s="161"/>
      <c r="E56" s="161"/>
      <c r="F56" s="161"/>
      <c r="G56" s="161"/>
    </row>
    <row r="57" spans="1:7" x14ac:dyDescent="0.25">
      <c r="A57" s="161"/>
      <c r="B57" s="161"/>
      <c r="C57" s="161"/>
      <c r="D57" s="161"/>
      <c r="E57" s="161"/>
      <c r="F57" s="161"/>
      <c r="G57" s="161"/>
    </row>
  </sheetData>
  <mergeCells count="11">
    <mergeCell ref="B1:D1"/>
    <mergeCell ref="B8:B13"/>
    <mergeCell ref="B21:B28"/>
    <mergeCell ref="B29:B32"/>
    <mergeCell ref="B39:B40"/>
    <mergeCell ref="B14:B20"/>
    <mergeCell ref="B46:B47"/>
    <mergeCell ref="A46:A52"/>
    <mergeCell ref="B33:B36"/>
    <mergeCell ref="A3:A40"/>
    <mergeCell ref="B3:B7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1"/>
  <sheetViews>
    <sheetView topLeftCell="A10" workbookViewId="0">
      <selection activeCell="J22" sqref="J22"/>
    </sheetView>
  </sheetViews>
  <sheetFormatPr defaultRowHeight="15" x14ac:dyDescent="0.25"/>
  <cols>
    <col min="1" max="1" width="18" customWidth="1"/>
    <col min="2" max="2" width="15.42578125" customWidth="1"/>
    <col min="3" max="3" width="11" customWidth="1"/>
    <col min="4" max="4" width="13" customWidth="1"/>
    <col min="7" max="7" width="11" customWidth="1"/>
    <col min="8" max="8" width="15.28515625" customWidth="1"/>
  </cols>
  <sheetData>
    <row r="1" spans="1:12" x14ac:dyDescent="0.25">
      <c r="A1" s="34" t="s">
        <v>16</v>
      </c>
      <c r="B1" s="152" t="s">
        <v>109</v>
      </c>
      <c r="C1" s="34" t="s">
        <v>226</v>
      </c>
      <c r="D1" s="34" t="s">
        <v>87</v>
      </c>
      <c r="E1" s="34" t="s">
        <v>264</v>
      </c>
      <c r="F1" s="161"/>
      <c r="G1" s="387" t="s">
        <v>240</v>
      </c>
      <c r="H1" s="387"/>
      <c r="I1" s="387"/>
      <c r="J1" s="161"/>
      <c r="K1" s="161"/>
      <c r="L1" s="161"/>
    </row>
    <row r="2" spans="1:12" x14ac:dyDescent="0.25">
      <c r="A2" s="34" t="s">
        <v>225</v>
      </c>
      <c r="B2" s="34">
        <v>2600</v>
      </c>
      <c r="C2" s="34">
        <f>219+96</f>
        <v>315</v>
      </c>
      <c r="D2" s="34">
        <f>3+1+20+10+5+1+10+35+2+39+5+60+20+1+1+4+3+1</f>
        <v>221</v>
      </c>
      <c r="E2" s="34">
        <f>C2-D2</f>
        <v>94</v>
      </c>
      <c r="F2" s="161"/>
      <c r="G2" s="34" t="s">
        <v>16</v>
      </c>
      <c r="H2" s="34" t="s">
        <v>17</v>
      </c>
      <c r="I2" s="34" t="s">
        <v>226</v>
      </c>
      <c r="J2" s="34" t="s">
        <v>109</v>
      </c>
      <c r="K2" s="34" t="s">
        <v>87</v>
      </c>
      <c r="L2" s="34" t="s">
        <v>264</v>
      </c>
    </row>
    <row r="3" spans="1:12" x14ac:dyDescent="0.25">
      <c r="A3" s="34" t="s">
        <v>544</v>
      </c>
      <c r="B3" s="34">
        <v>2800</v>
      </c>
      <c r="C3" s="34">
        <v>20</v>
      </c>
      <c r="D3" s="34"/>
      <c r="E3" s="34">
        <f t="shared" ref="E3:E11" si="0">C3-D3</f>
        <v>20</v>
      </c>
      <c r="F3" s="161"/>
      <c r="G3" s="320" t="s">
        <v>241</v>
      </c>
      <c r="H3" s="34" t="s">
        <v>242</v>
      </c>
      <c r="I3" s="34">
        <v>11</v>
      </c>
      <c r="J3" s="34">
        <v>400</v>
      </c>
      <c r="K3" s="34">
        <f>1+2+1+1</f>
        <v>5</v>
      </c>
      <c r="L3" s="34">
        <f>I3-K3</f>
        <v>6</v>
      </c>
    </row>
    <row r="4" spans="1:12" x14ac:dyDescent="0.25">
      <c r="A4" s="34" t="s">
        <v>227</v>
      </c>
      <c r="B4" s="34">
        <v>2250</v>
      </c>
      <c r="C4" s="34">
        <v>34</v>
      </c>
      <c r="D4" s="34">
        <f>1+2+10+1+20</f>
        <v>34</v>
      </c>
      <c r="E4" s="34">
        <f t="shared" si="0"/>
        <v>0</v>
      </c>
      <c r="F4" s="161"/>
      <c r="G4" s="305"/>
      <c r="H4" s="34" t="s">
        <v>471</v>
      </c>
      <c r="I4" s="34">
        <f>4+1</f>
        <v>5</v>
      </c>
      <c r="J4" s="34">
        <v>450</v>
      </c>
      <c r="K4" s="34"/>
      <c r="L4" s="34">
        <f>I4-K4</f>
        <v>5</v>
      </c>
    </row>
    <row r="5" spans="1:12" x14ac:dyDescent="0.25">
      <c r="A5" s="34" t="s">
        <v>313</v>
      </c>
      <c r="B5" s="34">
        <v>2300</v>
      </c>
      <c r="C5" s="34">
        <v>2</v>
      </c>
      <c r="D5" s="34">
        <v>1</v>
      </c>
      <c r="E5" s="34">
        <f t="shared" si="0"/>
        <v>1</v>
      </c>
      <c r="F5" s="161"/>
      <c r="G5" s="305"/>
      <c r="H5" s="34" t="s">
        <v>243</v>
      </c>
      <c r="I5" s="34">
        <v>10</v>
      </c>
      <c r="J5" s="34">
        <v>400</v>
      </c>
      <c r="K5" s="34">
        <f>1+2</f>
        <v>3</v>
      </c>
      <c r="L5" s="34">
        <f t="shared" ref="L5:L15" si="1">I5-K5</f>
        <v>7</v>
      </c>
    </row>
    <row r="6" spans="1:12" x14ac:dyDescent="0.25">
      <c r="A6" s="34" t="s">
        <v>228</v>
      </c>
      <c r="B6" s="34">
        <v>3250</v>
      </c>
      <c r="C6" s="34">
        <v>21</v>
      </c>
      <c r="D6" s="34">
        <f>1+1+19</f>
        <v>21</v>
      </c>
      <c r="E6" s="34">
        <f t="shared" si="0"/>
        <v>0</v>
      </c>
      <c r="F6" s="161"/>
      <c r="G6" s="319"/>
      <c r="H6" s="34" t="s">
        <v>472</v>
      </c>
      <c r="I6" s="34">
        <v>2</v>
      </c>
      <c r="J6" s="34">
        <v>450</v>
      </c>
      <c r="K6" s="34">
        <v>1</v>
      </c>
      <c r="L6" s="34">
        <f t="shared" si="1"/>
        <v>1</v>
      </c>
    </row>
    <row r="7" spans="1:12" x14ac:dyDescent="0.25">
      <c r="A7" s="34" t="s">
        <v>545</v>
      </c>
      <c r="B7" s="34"/>
      <c r="C7" s="34">
        <v>10</v>
      </c>
      <c r="D7" s="34">
        <v>10</v>
      </c>
      <c r="E7" s="34">
        <f t="shared" si="0"/>
        <v>0</v>
      </c>
      <c r="F7" s="161"/>
      <c r="G7" s="311" t="s">
        <v>244</v>
      </c>
      <c r="H7" s="34" t="s">
        <v>242</v>
      </c>
      <c r="I7" s="34">
        <v>10</v>
      </c>
      <c r="J7" s="34">
        <v>400</v>
      </c>
      <c r="K7" s="34">
        <f>1+3+1+2+1</f>
        <v>8</v>
      </c>
      <c r="L7" s="34">
        <f t="shared" si="1"/>
        <v>2</v>
      </c>
    </row>
    <row r="8" spans="1:12" x14ac:dyDescent="0.25">
      <c r="A8" s="34" t="s">
        <v>229</v>
      </c>
      <c r="B8" s="34">
        <v>3050</v>
      </c>
      <c r="C8" s="34">
        <v>29</v>
      </c>
      <c r="D8" s="34">
        <f>10+1+1+15+2</f>
        <v>29</v>
      </c>
      <c r="E8" s="34">
        <f t="shared" si="0"/>
        <v>0</v>
      </c>
      <c r="F8" s="161"/>
      <c r="G8" s="311"/>
      <c r="H8" s="34" t="s">
        <v>473</v>
      </c>
      <c r="I8" s="34">
        <v>4</v>
      </c>
      <c r="J8" s="34">
        <v>450</v>
      </c>
      <c r="K8" s="34"/>
      <c r="L8" s="34">
        <f t="shared" si="1"/>
        <v>4</v>
      </c>
    </row>
    <row r="9" spans="1:12" x14ac:dyDescent="0.25">
      <c r="A9" s="34" t="s">
        <v>230</v>
      </c>
      <c r="B9" s="34">
        <v>3050</v>
      </c>
      <c r="C9" s="34">
        <v>3</v>
      </c>
      <c r="D9" s="34"/>
      <c r="E9" s="34">
        <f t="shared" si="0"/>
        <v>3</v>
      </c>
      <c r="F9" s="161"/>
      <c r="G9" s="311"/>
      <c r="H9" s="34" t="s">
        <v>243</v>
      </c>
      <c r="I9" s="34">
        <v>10</v>
      </c>
      <c r="J9" s="34">
        <v>400</v>
      </c>
      <c r="K9" s="34">
        <v>2</v>
      </c>
      <c r="L9" s="34">
        <f t="shared" si="1"/>
        <v>8</v>
      </c>
    </row>
    <row r="10" spans="1:12" x14ac:dyDescent="0.25">
      <c r="A10" s="34" t="s">
        <v>231</v>
      </c>
      <c r="B10" s="34">
        <v>3050</v>
      </c>
      <c r="C10" s="34">
        <v>11</v>
      </c>
      <c r="D10" s="34">
        <f>5+1</f>
        <v>6</v>
      </c>
      <c r="E10" s="34">
        <f t="shared" si="0"/>
        <v>5</v>
      </c>
      <c r="F10" s="161"/>
      <c r="G10" s="320" t="s">
        <v>245</v>
      </c>
      <c r="H10" s="34" t="s">
        <v>242</v>
      </c>
      <c r="I10" s="34">
        <v>5</v>
      </c>
      <c r="J10" s="34">
        <v>400</v>
      </c>
      <c r="K10" s="34">
        <f>1+1+1</f>
        <v>3</v>
      </c>
      <c r="L10" s="34">
        <f t="shared" si="1"/>
        <v>2</v>
      </c>
    </row>
    <row r="11" spans="1:12" x14ac:dyDescent="0.25">
      <c r="A11" s="34" t="s">
        <v>232</v>
      </c>
      <c r="B11" s="34">
        <v>3050</v>
      </c>
      <c r="C11" s="34">
        <v>19</v>
      </c>
      <c r="D11" s="34">
        <f>5+1+2</f>
        <v>8</v>
      </c>
      <c r="E11" s="34">
        <f t="shared" si="0"/>
        <v>11</v>
      </c>
      <c r="F11" s="161"/>
      <c r="G11" s="305"/>
      <c r="H11" s="34" t="s">
        <v>474</v>
      </c>
      <c r="I11" s="34">
        <v>5</v>
      </c>
      <c r="J11" s="34">
        <v>450</v>
      </c>
      <c r="K11" s="34">
        <v>1</v>
      </c>
      <c r="L11" s="34">
        <f t="shared" si="1"/>
        <v>4</v>
      </c>
    </row>
    <row r="12" spans="1:12" x14ac:dyDescent="0.25">
      <c r="A12" s="34" t="s">
        <v>233</v>
      </c>
      <c r="B12" s="34">
        <v>3050</v>
      </c>
      <c r="C12" s="34">
        <v>9</v>
      </c>
      <c r="D12" s="34">
        <f>2+3</f>
        <v>5</v>
      </c>
      <c r="E12" s="213">
        <f t="shared" ref="E12:E18" si="2">C12-D12</f>
        <v>4</v>
      </c>
      <c r="F12" s="161"/>
      <c r="G12" s="305"/>
      <c r="H12" s="34" t="s">
        <v>243</v>
      </c>
      <c r="I12" s="34">
        <v>5</v>
      </c>
      <c r="J12" s="34">
        <v>400</v>
      </c>
      <c r="K12" s="34">
        <v>2</v>
      </c>
      <c r="L12" s="34">
        <f t="shared" si="1"/>
        <v>3</v>
      </c>
    </row>
    <row r="13" spans="1:12" x14ac:dyDescent="0.25">
      <c r="A13" s="34" t="s">
        <v>234</v>
      </c>
      <c r="B13" s="34">
        <v>3050</v>
      </c>
      <c r="C13" s="34">
        <v>4</v>
      </c>
      <c r="D13" s="34">
        <v>2</v>
      </c>
      <c r="E13" s="213">
        <f t="shared" si="2"/>
        <v>2</v>
      </c>
      <c r="F13" s="161"/>
      <c r="G13" s="319"/>
      <c r="H13" s="34" t="s">
        <v>472</v>
      </c>
      <c r="I13" s="34">
        <f>1+1</f>
        <v>2</v>
      </c>
      <c r="J13" s="34">
        <v>450</v>
      </c>
      <c r="K13" s="34"/>
      <c r="L13" s="34">
        <f t="shared" si="1"/>
        <v>2</v>
      </c>
    </row>
    <row r="14" spans="1:12" ht="15" customHeight="1" x14ac:dyDescent="0.25">
      <c r="A14" s="34" t="s">
        <v>235</v>
      </c>
      <c r="B14" s="34">
        <v>3050</v>
      </c>
      <c r="C14" s="34">
        <v>12</v>
      </c>
      <c r="D14" s="34">
        <f>3+1+1+1</f>
        <v>6</v>
      </c>
      <c r="E14" s="213">
        <f t="shared" si="2"/>
        <v>6</v>
      </c>
      <c r="F14" s="161"/>
      <c r="G14" s="356" t="s">
        <v>246</v>
      </c>
      <c r="H14" s="34" t="s">
        <v>474</v>
      </c>
      <c r="I14" s="34">
        <f>1+8</f>
        <v>9</v>
      </c>
      <c r="J14" s="34">
        <v>450</v>
      </c>
      <c r="K14" s="34">
        <f>1+1+1+1</f>
        <v>4</v>
      </c>
      <c r="L14" s="34">
        <f t="shared" si="1"/>
        <v>5</v>
      </c>
    </row>
    <row r="15" spans="1:12" x14ac:dyDescent="0.25">
      <c r="A15" s="34" t="s">
        <v>236</v>
      </c>
      <c r="B15" s="34">
        <v>2900</v>
      </c>
      <c r="C15" s="34">
        <v>7</v>
      </c>
      <c r="D15" s="34">
        <v>2</v>
      </c>
      <c r="E15" s="213">
        <f t="shared" si="2"/>
        <v>5</v>
      </c>
      <c r="F15" s="161"/>
      <c r="G15" s="308"/>
      <c r="H15" s="84" t="s">
        <v>243</v>
      </c>
      <c r="I15" s="84">
        <v>10</v>
      </c>
      <c r="J15" s="84">
        <v>400</v>
      </c>
      <c r="K15" s="84"/>
      <c r="L15" s="84">
        <f t="shared" si="1"/>
        <v>10</v>
      </c>
    </row>
    <row r="16" spans="1:12" x14ac:dyDescent="0.25">
      <c r="A16" s="34" t="s">
        <v>237</v>
      </c>
      <c r="B16" s="34">
        <v>3050</v>
      </c>
      <c r="C16" s="34">
        <v>20</v>
      </c>
      <c r="D16" s="34">
        <f>2+1</f>
        <v>3</v>
      </c>
      <c r="E16" s="213">
        <f t="shared" si="2"/>
        <v>17</v>
      </c>
      <c r="F16" s="161"/>
      <c r="G16" s="225"/>
      <c r="H16" s="217"/>
      <c r="I16" s="217"/>
      <c r="J16" s="217"/>
      <c r="K16" s="217"/>
      <c r="L16" s="217"/>
    </row>
    <row r="17" spans="1:12" x14ac:dyDescent="0.25">
      <c r="A17" s="34" t="s">
        <v>239</v>
      </c>
      <c r="B17" s="34">
        <v>3050</v>
      </c>
      <c r="C17" s="34">
        <v>15</v>
      </c>
      <c r="D17" s="34">
        <f>3+1+1</f>
        <v>5</v>
      </c>
      <c r="E17" s="213">
        <f t="shared" si="2"/>
        <v>10</v>
      </c>
      <c r="F17" s="161"/>
      <c r="G17" s="161"/>
      <c r="H17" s="161"/>
      <c r="I17" s="161"/>
      <c r="J17" s="161"/>
      <c r="K17" s="161"/>
      <c r="L17" s="161"/>
    </row>
    <row r="18" spans="1:12" x14ac:dyDescent="0.25">
      <c r="A18" s="34" t="s">
        <v>238</v>
      </c>
      <c r="B18" s="34">
        <v>2600</v>
      </c>
      <c r="C18" s="34">
        <v>20</v>
      </c>
      <c r="D18" s="34">
        <f>1+3+1+1+1</f>
        <v>7</v>
      </c>
      <c r="E18" s="213">
        <f t="shared" si="2"/>
        <v>13</v>
      </c>
      <c r="F18" s="161"/>
      <c r="G18" s="161"/>
      <c r="H18" s="161"/>
      <c r="I18" s="161"/>
      <c r="J18" s="161"/>
      <c r="K18" s="161"/>
      <c r="L18" s="161"/>
    </row>
    <row r="19" spans="1:12" x14ac:dyDescent="0.25">
      <c r="A19" s="161"/>
      <c r="B19" s="161"/>
      <c r="C19" s="161"/>
      <c r="D19" s="161"/>
      <c r="E19" s="161"/>
      <c r="F19" s="161"/>
      <c r="G19" s="34"/>
      <c r="H19" s="34" t="s">
        <v>226</v>
      </c>
      <c r="I19" s="34" t="s">
        <v>109</v>
      </c>
      <c r="J19" s="34" t="s">
        <v>87</v>
      </c>
      <c r="K19" s="34" t="s">
        <v>264</v>
      </c>
      <c r="L19" s="161"/>
    </row>
    <row r="20" spans="1:12" x14ac:dyDescent="0.25">
      <c r="A20" s="161"/>
      <c r="B20" s="161"/>
      <c r="C20" s="161"/>
      <c r="D20" s="161"/>
      <c r="E20" s="161"/>
      <c r="F20" s="161"/>
      <c r="G20" s="34" t="s">
        <v>265</v>
      </c>
      <c r="H20" s="34">
        <v>105</v>
      </c>
      <c r="I20" s="34">
        <v>200</v>
      </c>
      <c r="J20" s="34">
        <f>6+2+2+1+1+1+1+1+1+1+5+1+1+1+1+2+1+1+1+3+1+4+2+2+1+1+1+1+1+2+1+5+1+1+3</f>
        <v>61</v>
      </c>
      <c r="K20" s="34">
        <f>H20-J20</f>
        <v>44</v>
      </c>
      <c r="L20" s="161"/>
    </row>
    <row r="21" spans="1:12" x14ac:dyDescent="0.25">
      <c r="A21" s="161"/>
      <c r="B21" s="161"/>
      <c r="C21" s="161"/>
      <c r="D21" s="161"/>
      <c r="E21" s="161"/>
      <c r="F21" s="161"/>
      <c r="G21" s="34" t="s">
        <v>125</v>
      </c>
      <c r="H21" s="34">
        <v>95</v>
      </c>
      <c r="I21" s="34">
        <v>150</v>
      </c>
      <c r="J21" s="34">
        <f>5+2+1+1+1</f>
        <v>10</v>
      </c>
      <c r="K21" s="34">
        <f t="shared" ref="K21:K22" si="3">H21-J21</f>
        <v>85</v>
      </c>
      <c r="L21" s="161"/>
    </row>
    <row r="22" spans="1:12" x14ac:dyDescent="0.25">
      <c r="A22" s="34" t="s">
        <v>247</v>
      </c>
      <c r="B22" s="34" t="s">
        <v>475</v>
      </c>
      <c r="C22" s="34" t="s">
        <v>226</v>
      </c>
      <c r="D22" s="34" t="s">
        <v>87</v>
      </c>
      <c r="E22" s="34" t="s">
        <v>264</v>
      </c>
      <c r="F22" s="161"/>
      <c r="G22" s="34" t="s">
        <v>266</v>
      </c>
      <c r="H22" s="34">
        <f>7+320</f>
        <v>327</v>
      </c>
      <c r="I22" s="34">
        <v>180</v>
      </c>
      <c r="J22" s="34">
        <f>1+1+2+1+2+6+3+3+3+2+6+3+3+5+2</f>
        <v>43</v>
      </c>
      <c r="K22" s="34">
        <f t="shared" si="3"/>
        <v>284</v>
      </c>
      <c r="L22" s="161"/>
    </row>
    <row r="23" spans="1:12" x14ac:dyDescent="0.25">
      <c r="A23" s="34" t="s">
        <v>248</v>
      </c>
      <c r="B23" s="34">
        <v>1800</v>
      </c>
      <c r="C23" s="34">
        <v>338</v>
      </c>
      <c r="D23" s="34">
        <f>9+1+6+1+1+1+1+1+30+1+1+1+1+1+1+1+1+2+1+1+1+1+1+1+1+1+1+1+1+1+1+1+1+1+1+23+1+1+1</f>
        <v>104</v>
      </c>
      <c r="E23" s="34">
        <f>C23-D23</f>
        <v>234</v>
      </c>
      <c r="F23" s="161"/>
      <c r="G23" s="161"/>
      <c r="H23" s="161"/>
      <c r="I23" s="161"/>
      <c r="J23" s="161"/>
      <c r="K23" s="161"/>
      <c r="L23" s="161"/>
    </row>
    <row r="24" spans="1:12" x14ac:dyDescent="0.25">
      <c r="A24" s="34" t="s">
        <v>249</v>
      </c>
      <c r="B24" s="34">
        <v>1800</v>
      </c>
      <c r="C24" s="34">
        <v>258</v>
      </c>
      <c r="D24" s="34">
        <f>1+8+1+1+30+1+1+1+1+2+1+1+1+1+1+1+1+1+1+1+16+1+1+1</f>
        <v>76</v>
      </c>
      <c r="E24" s="34">
        <f>C24-D24</f>
        <v>182</v>
      </c>
      <c r="F24" s="161"/>
      <c r="G24" s="34"/>
      <c r="H24" s="34" t="s">
        <v>226</v>
      </c>
      <c r="I24" s="34" t="s">
        <v>109</v>
      </c>
      <c r="J24" s="34" t="s">
        <v>87</v>
      </c>
      <c r="K24" s="34" t="s">
        <v>264</v>
      </c>
      <c r="L24" s="161"/>
    </row>
    <row r="25" spans="1:12" x14ac:dyDescent="0.25">
      <c r="A25" s="161"/>
      <c r="B25" s="161"/>
      <c r="C25" s="161"/>
      <c r="D25" s="161"/>
      <c r="E25" s="161"/>
      <c r="F25" s="161"/>
      <c r="G25" s="34" t="s">
        <v>126</v>
      </c>
      <c r="H25" s="34">
        <f>9+39</f>
        <v>48</v>
      </c>
      <c r="I25" s="34">
        <v>2500</v>
      </c>
      <c r="J25" s="34">
        <f>1+1+1+1+1+1+1</f>
        <v>7</v>
      </c>
      <c r="K25" s="34">
        <f>H25-J25</f>
        <v>41</v>
      </c>
      <c r="L25" s="161"/>
    </row>
    <row r="26" spans="1:12" x14ac:dyDescent="0.25">
      <c r="A26" s="152" t="s">
        <v>323</v>
      </c>
      <c r="B26" s="152" t="s">
        <v>109</v>
      </c>
      <c r="C26" s="152" t="s">
        <v>226</v>
      </c>
      <c r="D26" s="152" t="s">
        <v>87</v>
      </c>
      <c r="E26" s="152" t="s">
        <v>264</v>
      </c>
      <c r="F26" s="161"/>
      <c r="G26" s="161"/>
      <c r="H26" s="161"/>
      <c r="I26" s="161"/>
      <c r="J26" s="161"/>
      <c r="K26" s="161"/>
      <c r="L26" s="161"/>
    </row>
    <row r="27" spans="1:12" x14ac:dyDescent="0.25">
      <c r="A27" s="34" t="s">
        <v>324</v>
      </c>
      <c r="B27" s="34">
        <v>50</v>
      </c>
      <c r="C27" s="34">
        <v>1275</v>
      </c>
      <c r="D27" s="34">
        <f>85+10+5+5+10+5+5+5+5+5+5+5+85+5+10+20+10+5</f>
        <v>285</v>
      </c>
      <c r="E27" s="34">
        <f>C27-D27</f>
        <v>990</v>
      </c>
      <c r="F27" s="161"/>
      <c r="G27" s="3"/>
      <c r="H27" s="3" t="s">
        <v>226</v>
      </c>
      <c r="I27" s="3" t="s">
        <v>109</v>
      </c>
      <c r="J27" s="3" t="s">
        <v>87</v>
      </c>
      <c r="K27" s="3" t="s">
        <v>264</v>
      </c>
      <c r="L27" s="161"/>
    </row>
    <row r="28" spans="1:12" x14ac:dyDescent="0.25">
      <c r="A28" s="34" t="s">
        <v>325</v>
      </c>
      <c r="B28" s="34">
        <v>70</v>
      </c>
      <c r="C28" s="34">
        <v>1275</v>
      </c>
      <c r="D28" s="34">
        <f>85+10+5+10+5+5+10+10+5+5+20+5+5+5</f>
        <v>185</v>
      </c>
      <c r="E28" s="34">
        <f t="shared" ref="E28:E29" si="4">C28-D28</f>
        <v>1090</v>
      </c>
      <c r="F28" s="161"/>
      <c r="G28" s="3" t="s">
        <v>533</v>
      </c>
      <c r="H28" s="3">
        <v>29</v>
      </c>
      <c r="I28" s="3">
        <v>450</v>
      </c>
      <c r="J28" s="3"/>
      <c r="K28" s="3">
        <f>H28-J28</f>
        <v>29</v>
      </c>
      <c r="L28" s="161"/>
    </row>
    <row r="29" spans="1:12" x14ac:dyDescent="0.25">
      <c r="A29" s="34" t="s">
        <v>326</v>
      </c>
      <c r="B29" s="34">
        <v>85</v>
      </c>
      <c r="C29" s="34">
        <v>1275</v>
      </c>
      <c r="D29" s="34">
        <f>5+5+10+5+5+5</f>
        <v>35</v>
      </c>
      <c r="E29" s="34">
        <f t="shared" si="4"/>
        <v>1240</v>
      </c>
      <c r="F29" s="161"/>
      <c r="G29" s="34" t="s">
        <v>534</v>
      </c>
      <c r="H29" s="34">
        <v>2</v>
      </c>
      <c r="I29" s="34">
        <v>450</v>
      </c>
      <c r="J29" s="34"/>
      <c r="K29" s="3">
        <f t="shared" ref="K29:K33" si="5">H29-J29</f>
        <v>2</v>
      </c>
      <c r="L29" s="161"/>
    </row>
    <row r="30" spans="1:12" x14ac:dyDescent="0.25">
      <c r="A30" s="161"/>
      <c r="B30" s="161"/>
      <c r="C30" s="161"/>
      <c r="D30" s="161"/>
      <c r="E30" s="161"/>
      <c r="F30" s="161"/>
      <c r="G30" s="34" t="s">
        <v>535</v>
      </c>
      <c r="H30" s="34">
        <v>12</v>
      </c>
      <c r="I30" s="34">
        <v>450</v>
      </c>
      <c r="J30" s="34"/>
      <c r="K30" s="3">
        <f t="shared" si="5"/>
        <v>12</v>
      </c>
      <c r="L30" s="161"/>
    </row>
    <row r="31" spans="1:12" x14ac:dyDescent="0.25">
      <c r="A31" s="34" t="s">
        <v>327</v>
      </c>
      <c r="B31" s="34" t="s">
        <v>109</v>
      </c>
      <c r="C31" s="34" t="s">
        <v>226</v>
      </c>
      <c r="D31" s="34" t="s">
        <v>87</v>
      </c>
      <c r="E31" s="34" t="s">
        <v>264</v>
      </c>
      <c r="F31" s="161"/>
      <c r="G31" s="34" t="s">
        <v>536</v>
      </c>
      <c r="H31" s="34">
        <v>51</v>
      </c>
      <c r="I31" s="34">
        <v>450</v>
      </c>
      <c r="J31" s="34"/>
      <c r="K31" s="3">
        <f t="shared" si="5"/>
        <v>51</v>
      </c>
      <c r="L31" s="161"/>
    </row>
    <row r="32" spans="1:12" x14ac:dyDescent="0.25">
      <c r="A32" s="34" t="s">
        <v>547</v>
      </c>
      <c r="B32" s="34">
        <v>25</v>
      </c>
      <c r="C32" s="34">
        <v>71</v>
      </c>
      <c r="D32" s="34">
        <f>5</f>
        <v>5</v>
      </c>
      <c r="E32" s="34">
        <f>C32-D32</f>
        <v>66</v>
      </c>
      <c r="F32" s="161"/>
      <c r="G32" s="34" t="s">
        <v>537</v>
      </c>
      <c r="H32" s="34">
        <v>1</v>
      </c>
      <c r="I32" s="34">
        <v>700</v>
      </c>
      <c r="J32" s="34"/>
      <c r="K32" s="3">
        <f t="shared" si="5"/>
        <v>1</v>
      </c>
      <c r="L32" s="161"/>
    </row>
    <row r="33" spans="1:12" x14ac:dyDescent="0.25">
      <c r="A33" s="34" t="s">
        <v>546</v>
      </c>
      <c r="B33" s="34">
        <v>50</v>
      </c>
      <c r="C33" s="34">
        <v>101</v>
      </c>
      <c r="D33" s="34"/>
      <c r="E33" s="34">
        <f>C33-D33</f>
        <v>101</v>
      </c>
      <c r="F33" s="161"/>
      <c r="G33" s="34" t="s">
        <v>538</v>
      </c>
      <c r="H33" s="34">
        <v>5</v>
      </c>
      <c r="I33" s="34">
        <v>700</v>
      </c>
      <c r="J33" s="34"/>
      <c r="K33" s="3">
        <f t="shared" si="5"/>
        <v>5</v>
      </c>
      <c r="L33" s="161"/>
    </row>
    <row r="34" spans="1:12" x14ac:dyDescent="0.25">
      <c r="A34" s="34" t="s">
        <v>548</v>
      </c>
      <c r="B34" s="34">
        <v>70</v>
      </c>
      <c r="C34" s="34">
        <f>200+65</f>
        <v>265</v>
      </c>
      <c r="D34" s="34">
        <f>1+1+3</f>
        <v>5</v>
      </c>
      <c r="E34" s="34">
        <f>C34-D34</f>
        <v>260</v>
      </c>
      <c r="F34" s="161"/>
      <c r="G34" s="161"/>
      <c r="H34" s="161"/>
      <c r="I34" s="161"/>
      <c r="J34" s="161"/>
      <c r="K34" s="161"/>
      <c r="L34" s="161"/>
    </row>
    <row r="35" spans="1:12" x14ac:dyDescent="0.25">
      <c r="F35" s="161"/>
      <c r="G35" s="161"/>
      <c r="H35" s="161"/>
      <c r="I35" s="161"/>
      <c r="J35" s="161"/>
      <c r="K35" s="161"/>
      <c r="L35" s="161"/>
    </row>
    <row r="36" spans="1:12" x14ac:dyDescent="0.25">
      <c r="F36" s="161"/>
      <c r="G36" s="161"/>
      <c r="H36" s="161"/>
      <c r="I36" s="161"/>
      <c r="J36" s="161"/>
      <c r="K36" s="161"/>
      <c r="L36" s="161"/>
    </row>
    <row r="37" spans="1:12" x14ac:dyDescent="0.25">
      <c r="A37" s="219" t="s">
        <v>329</v>
      </c>
      <c r="B37" s="219" t="s">
        <v>16</v>
      </c>
      <c r="C37" s="219" t="s">
        <v>17</v>
      </c>
      <c r="D37" s="219" t="s">
        <v>550</v>
      </c>
      <c r="F37" s="161"/>
      <c r="G37" s="161"/>
      <c r="H37" s="161"/>
      <c r="I37" s="161"/>
      <c r="J37" s="161"/>
      <c r="K37" s="161"/>
      <c r="L37" s="161"/>
    </row>
    <row r="38" spans="1:12" x14ac:dyDescent="0.25">
      <c r="A38" s="415" t="s">
        <v>551</v>
      </c>
      <c r="B38" s="424" t="s">
        <v>552</v>
      </c>
      <c r="C38" s="219" t="s">
        <v>202</v>
      </c>
      <c r="D38" s="219">
        <f>4*90+18</f>
        <v>378</v>
      </c>
      <c r="F38" s="161"/>
      <c r="G38" s="161"/>
      <c r="H38" s="161"/>
      <c r="I38" s="161"/>
      <c r="J38" s="161"/>
      <c r="K38" s="161"/>
      <c r="L38" s="161"/>
    </row>
    <row r="39" spans="1:12" x14ac:dyDescent="0.25">
      <c r="A39" s="415"/>
      <c r="B39" s="424"/>
      <c r="C39" s="219" t="s">
        <v>203</v>
      </c>
      <c r="D39" s="219">
        <f>4*46</f>
        <v>184</v>
      </c>
      <c r="F39" s="161"/>
      <c r="G39" s="161"/>
      <c r="H39" s="161"/>
      <c r="I39" s="161"/>
      <c r="J39" s="161"/>
      <c r="K39" s="161"/>
      <c r="L39" s="161"/>
    </row>
    <row r="40" spans="1:12" x14ac:dyDescent="0.25">
      <c r="A40" s="415" t="s">
        <v>553</v>
      </c>
      <c r="B40" s="424" t="s">
        <v>554</v>
      </c>
      <c r="C40" s="219" t="s">
        <v>202</v>
      </c>
      <c r="D40" s="219">
        <f>4*80+47</f>
        <v>367</v>
      </c>
      <c r="F40" s="161"/>
      <c r="G40" s="161"/>
      <c r="H40" s="161"/>
      <c r="I40" s="161"/>
      <c r="J40" s="161"/>
      <c r="K40" s="161"/>
      <c r="L40" s="161"/>
    </row>
    <row r="41" spans="1:12" x14ac:dyDescent="0.25">
      <c r="A41" s="415"/>
      <c r="B41" s="424"/>
      <c r="C41" s="219" t="s">
        <v>203</v>
      </c>
      <c r="D41" s="219">
        <f>3*48+1*42</f>
        <v>186</v>
      </c>
      <c r="F41" s="161"/>
      <c r="G41" s="161"/>
      <c r="H41" s="161"/>
      <c r="I41" s="161"/>
      <c r="J41" s="161"/>
      <c r="K41" s="161"/>
      <c r="L41" s="161"/>
    </row>
    <row r="42" spans="1:12" x14ac:dyDescent="0.25">
      <c r="A42" s="219" t="s">
        <v>555</v>
      </c>
      <c r="B42" s="234" t="s">
        <v>556</v>
      </c>
      <c r="C42" s="219" t="s">
        <v>203</v>
      </c>
      <c r="D42" s="219">
        <f>4*46</f>
        <v>184</v>
      </c>
      <c r="F42" s="161"/>
      <c r="G42" s="161"/>
      <c r="H42" s="161"/>
      <c r="I42" s="161"/>
      <c r="J42" s="161"/>
      <c r="K42" s="161"/>
      <c r="L42" s="161"/>
    </row>
    <row r="43" spans="1:12" ht="45" x14ac:dyDescent="0.25">
      <c r="A43" s="219" t="s">
        <v>557</v>
      </c>
      <c r="B43" s="234" t="s">
        <v>558</v>
      </c>
      <c r="C43" s="219" t="s">
        <v>203</v>
      </c>
      <c r="D43" s="219">
        <f>4*45</f>
        <v>180</v>
      </c>
      <c r="F43" s="161"/>
      <c r="G43" s="161"/>
      <c r="H43" s="161"/>
      <c r="I43" s="161"/>
      <c r="J43" s="161"/>
      <c r="K43" s="161"/>
      <c r="L43" s="161"/>
    </row>
    <row r="44" spans="1:12" x14ac:dyDescent="0.25">
      <c r="A44" s="219" t="s">
        <v>559</v>
      </c>
      <c r="B44" s="234" t="s">
        <v>560</v>
      </c>
      <c r="C44" s="219" t="s">
        <v>203</v>
      </c>
      <c r="D44" s="219">
        <f>3*45+1*48</f>
        <v>183</v>
      </c>
      <c r="F44" s="161"/>
      <c r="G44" s="161"/>
      <c r="H44" s="161"/>
      <c r="I44" s="161"/>
      <c r="J44" s="161"/>
      <c r="K44" s="161"/>
      <c r="L44" s="161"/>
    </row>
    <row r="45" spans="1:12" x14ac:dyDescent="0.25">
      <c r="A45" s="415" t="s">
        <v>561</v>
      </c>
      <c r="B45" s="424" t="s">
        <v>562</v>
      </c>
      <c r="C45" s="219" t="s">
        <v>202</v>
      </c>
      <c r="D45" s="219">
        <f>4*80+1*52</f>
        <v>372</v>
      </c>
      <c r="F45" s="161"/>
      <c r="G45" s="161"/>
      <c r="H45" s="161"/>
      <c r="I45" s="161"/>
      <c r="J45" s="161"/>
      <c r="K45" s="161"/>
      <c r="L45" s="161"/>
    </row>
    <row r="46" spans="1:12" x14ac:dyDescent="0.25">
      <c r="A46" s="415"/>
      <c r="B46" s="424"/>
      <c r="C46" s="219" t="s">
        <v>203</v>
      </c>
      <c r="D46" s="219">
        <f>2*45+2*48</f>
        <v>186</v>
      </c>
      <c r="F46" s="161"/>
      <c r="G46" s="161"/>
      <c r="H46" s="161"/>
      <c r="I46" s="161"/>
      <c r="J46" s="161"/>
      <c r="K46" s="161"/>
      <c r="L46" s="161"/>
    </row>
    <row r="47" spans="1:12" x14ac:dyDescent="0.25">
      <c r="A47" s="219" t="s">
        <v>563</v>
      </c>
      <c r="B47" s="234" t="s">
        <v>564</v>
      </c>
      <c r="C47" s="219" t="s">
        <v>203</v>
      </c>
      <c r="D47" s="219">
        <f>4*46</f>
        <v>184</v>
      </c>
      <c r="F47" s="161"/>
      <c r="G47" s="161"/>
      <c r="H47" s="161"/>
      <c r="I47" s="161"/>
      <c r="J47" s="161"/>
      <c r="K47" s="161"/>
      <c r="L47" s="161"/>
    </row>
    <row r="48" spans="1:12" x14ac:dyDescent="0.25">
      <c r="A48" s="415">
        <v>81</v>
      </c>
      <c r="B48" s="424" t="s">
        <v>565</v>
      </c>
      <c r="C48" s="219" t="s">
        <v>202</v>
      </c>
      <c r="D48" s="219">
        <f>4*90+14</f>
        <v>374</v>
      </c>
    </row>
    <row r="49" spans="1:4" x14ac:dyDescent="0.25">
      <c r="A49" s="415"/>
      <c r="B49" s="424"/>
      <c r="C49" s="219" t="s">
        <v>203</v>
      </c>
      <c r="D49" s="219">
        <f>3*47+1*47</f>
        <v>188</v>
      </c>
    </row>
    <row r="51" spans="1:4" ht="15" customHeight="1" x14ac:dyDescent="0.25"/>
  </sheetData>
  <mergeCells count="13">
    <mergeCell ref="A48:A49"/>
    <mergeCell ref="B48:B49"/>
    <mergeCell ref="A38:A39"/>
    <mergeCell ref="B38:B39"/>
    <mergeCell ref="A40:A41"/>
    <mergeCell ref="B40:B41"/>
    <mergeCell ref="A45:A46"/>
    <mergeCell ref="B45:B46"/>
    <mergeCell ref="G1:I1"/>
    <mergeCell ref="G7:G9"/>
    <mergeCell ref="G3:G6"/>
    <mergeCell ref="G10:G13"/>
    <mergeCell ref="G14:G15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4"/>
  <sheetViews>
    <sheetView topLeftCell="A10" workbookViewId="0">
      <selection activeCell="H22" sqref="H22"/>
    </sheetView>
  </sheetViews>
  <sheetFormatPr defaultRowHeight="15" x14ac:dyDescent="0.25"/>
  <cols>
    <col min="1" max="1" width="20" customWidth="1"/>
    <col min="2" max="2" width="13.28515625" customWidth="1"/>
    <col min="8" max="8" width="13.28515625" customWidth="1"/>
    <col min="9" max="9" width="19.5703125" customWidth="1"/>
  </cols>
  <sheetData>
    <row r="1" spans="1:13" ht="15.75" x14ac:dyDescent="0.25">
      <c r="A1" s="425" t="s">
        <v>510</v>
      </c>
      <c r="B1" s="425"/>
      <c r="C1" s="425"/>
      <c r="D1" s="425"/>
      <c r="E1" s="425"/>
      <c r="F1" s="425"/>
      <c r="H1" s="425" t="s">
        <v>523</v>
      </c>
      <c r="I1" s="425"/>
      <c r="J1" s="425"/>
      <c r="K1" s="425"/>
      <c r="L1" s="425"/>
      <c r="M1" s="425"/>
    </row>
    <row r="2" spans="1:13" ht="33" customHeight="1" x14ac:dyDescent="0.25">
      <c r="A2" s="38" t="s">
        <v>16</v>
      </c>
      <c r="B2" s="38" t="s">
        <v>502</v>
      </c>
      <c r="C2" s="38" t="s">
        <v>109</v>
      </c>
      <c r="D2" s="38" t="s">
        <v>226</v>
      </c>
      <c r="E2" s="38" t="s">
        <v>87</v>
      </c>
      <c r="F2" s="38" t="s">
        <v>264</v>
      </c>
      <c r="H2" s="38" t="s">
        <v>511</v>
      </c>
      <c r="I2" s="38" t="s">
        <v>16</v>
      </c>
      <c r="J2" s="38" t="s">
        <v>109</v>
      </c>
      <c r="K2" s="38" t="s">
        <v>226</v>
      </c>
      <c r="L2" s="38" t="s">
        <v>87</v>
      </c>
      <c r="M2" s="38" t="s">
        <v>264</v>
      </c>
    </row>
    <row r="3" spans="1:13" x14ac:dyDescent="0.25">
      <c r="A3" s="311" t="s">
        <v>531</v>
      </c>
      <c r="B3" s="34">
        <v>6</v>
      </c>
      <c r="C3" s="34">
        <v>5900</v>
      </c>
      <c r="D3" s="34">
        <v>3</v>
      </c>
      <c r="E3" s="34">
        <v>1</v>
      </c>
      <c r="F3" s="34">
        <f>D3-E3</f>
        <v>2</v>
      </c>
      <c r="H3" s="424" t="s">
        <v>512</v>
      </c>
      <c r="I3" s="3" t="s">
        <v>513</v>
      </c>
      <c r="J3" s="3">
        <v>200</v>
      </c>
      <c r="K3" s="3">
        <v>40</v>
      </c>
      <c r="L3" s="3">
        <f>10+3</f>
        <v>13</v>
      </c>
      <c r="M3" s="3">
        <f>K3-L3</f>
        <v>27</v>
      </c>
    </row>
    <row r="4" spans="1:13" x14ac:dyDescent="0.25">
      <c r="A4" s="311"/>
      <c r="B4" s="34">
        <v>8</v>
      </c>
      <c r="C4" s="34">
        <v>7700</v>
      </c>
      <c r="D4" s="34">
        <f>2+3</f>
        <v>5</v>
      </c>
      <c r="E4" s="34"/>
      <c r="F4" s="34">
        <f t="shared" ref="F4:F32" si="0">D4-E4</f>
        <v>5</v>
      </c>
      <c r="H4" s="424"/>
      <c r="I4" s="3" t="s">
        <v>514</v>
      </c>
      <c r="J4" s="3">
        <v>200</v>
      </c>
      <c r="K4" s="3">
        <v>70</v>
      </c>
      <c r="L4" s="3">
        <v>4</v>
      </c>
      <c r="M4" s="3">
        <f t="shared" ref="M4:M13" si="1">K4-L4</f>
        <v>66</v>
      </c>
    </row>
    <row r="5" spans="1:13" x14ac:dyDescent="0.25">
      <c r="A5" s="311"/>
      <c r="B5" s="34">
        <v>10</v>
      </c>
      <c r="C5" s="34">
        <v>9500</v>
      </c>
      <c r="D5" s="34">
        <f>2+3</f>
        <v>5</v>
      </c>
      <c r="E5" s="34"/>
      <c r="F5" s="34">
        <f t="shared" si="0"/>
        <v>5</v>
      </c>
      <c r="H5" s="424"/>
      <c r="I5" s="3" t="s">
        <v>515</v>
      </c>
      <c r="J5" s="3">
        <v>200</v>
      </c>
      <c r="K5" s="3">
        <v>40</v>
      </c>
      <c r="L5" s="3"/>
      <c r="M5" s="3">
        <f t="shared" si="1"/>
        <v>40</v>
      </c>
    </row>
    <row r="6" spans="1:13" x14ac:dyDescent="0.25">
      <c r="A6" s="152" t="s">
        <v>508</v>
      </c>
      <c r="B6" s="34">
        <v>8</v>
      </c>
      <c r="C6" s="34">
        <v>7700</v>
      </c>
      <c r="D6" s="34">
        <v>1</v>
      </c>
      <c r="E6" s="34"/>
      <c r="F6" s="34">
        <f t="shared" si="0"/>
        <v>1</v>
      </c>
      <c r="H6" s="424"/>
      <c r="I6" s="3" t="s">
        <v>516</v>
      </c>
      <c r="J6" s="3">
        <v>200</v>
      </c>
      <c r="K6" s="3">
        <v>70</v>
      </c>
      <c r="L6" s="3"/>
      <c r="M6" s="3">
        <f t="shared" si="1"/>
        <v>70</v>
      </c>
    </row>
    <row r="7" spans="1:13" x14ac:dyDescent="0.25">
      <c r="A7" s="311" t="s">
        <v>507</v>
      </c>
      <c r="B7" s="34">
        <v>6</v>
      </c>
      <c r="C7" s="34">
        <v>5900</v>
      </c>
      <c r="D7" s="34">
        <f>2+1</f>
        <v>3</v>
      </c>
      <c r="E7" s="34">
        <v>1</v>
      </c>
      <c r="F7" s="34">
        <f t="shared" si="0"/>
        <v>2</v>
      </c>
      <c r="H7" s="424"/>
      <c r="I7" s="3" t="s">
        <v>517</v>
      </c>
      <c r="J7" s="3">
        <v>200</v>
      </c>
      <c r="K7" s="3">
        <v>10</v>
      </c>
      <c r="L7" s="3">
        <v>10</v>
      </c>
      <c r="M7" s="3">
        <f t="shared" si="1"/>
        <v>0</v>
      </c>
    </row>
    <row r="8" spans="1:13" x14ac:dyDescent="0.25">
      <c r="A8" s="311"/>
      <c r="B8" s="34">
        <v>8</v>
      </c>
      <c r="C8" s="34">
        <v>7700</v>
      </c>
      <c r="D8" s="34">
        <f>2+1</f>
        <v>3</v>
      </c>
      <c r="E8" s="34">
        <v>1</v>
      </c>
      <c r="F8" s="34">
        <f t="shared" si="0"/>
        <v>2</v>
      </c>
      <c r="H8" s="424"/>
      <c r="I8" s="3" t="s">
        <v>518</v>
      </c>
      <c r="J8" s="3">
        <v>200</v>
      </c>
      <c r="K8" s="3">
        <v>60</v>
      </c>
      <c r="L8" s="3">
        <v>10</v>
      </c>
      <c r="M8" s="3">
        <f t="shared" si="1"/>
        <v>50</v>
      </c>
    </row>
    <row r="9" spans="1:13" x14ac:dyDescent="0.25">
      <c r="A9" s="311"/>
      <c r="B9" s="34">
        <v>10</v>
      </c>
      <c r="C9" s="34">
        <v>9500</v>
      </c>
      <c r="D9" s="34">
        <f>2+1</f>
        <v>3</v>
      </c>
      <c r="E9" s="34"/>
      <c r="F9" s="34">
        <f t="shared" si="0"/>
        <v>3</v>
      </c>
      <c r="H9" s="424"/>
      <c r="I9" s="3" t="s">
        <v>519</v>
      </c>
      <c r="J9" s="3">
        <v>200</v>
      </c>
      <c r="K9" s="3">
        <v>10</v>
      </c>
      <c r="L9" s="3"/>
      <c r="M9" s="3">
        <f t="shared" si="1"/>
        <v>10</v>
      </c>
    </row>
    <row r="10" spans="1:13" x14ac:dyDescent="0.25">
      <c r="A10" s="152" t="s">
        <v>527</v>
      </c>
      <c r="B10" s="34">
        <v>8</v>
      </c>
      <c r="C10" s="34">
        <v>7700</v>
      </c>
      <c r="D10" s="34">
        <v>5</v>
      </c>
      <c r="E10" s="34"/>
      <c r="F10" s="34">
        <f t="shared" si="0"/>
        <v>5</v>
      </c>
      <c r="H10" s="424"/>
      <c r="I10" s="3"/>
      <c r="J10" s="3"/>
      <c r="K10" s="3"/>
      <c r="L10" s="3"/>
      <c r="M10" s="3"/>
    </row>
    <row r="11" spans="1:13" x14ac:dyDescent="0.25">
      <c r="A11" s="311" t="s">
        <v>503</v>
      </c>
      <c r="B11" s="34">
        <v>6</v>
      </c>
      <c r="C11" s="34">
        <v>5900</v>
      </c>
      <c r="D11" s="34">
        <v>5</v>
      </c>
      <c r="E11" s="34"/>
      <c r="F11" s="34">
        <f t="shared" si="0"/>
        <v>5</v>
      </c>
      <c r="H11" s="424"/>
      <c r="I11" s="3" t="s">
        <v>520</v>
      </c>
      <c r="J11" s="3">
        <v>200</v>
      </c>
      <c r="K11" s="3">
        <v>10</v>
      </c>
      <c r="L11" s="3"/>
      <c r="M11" s="3">
        <f t="shared" si="1"/>
        <v>10</v>
      </c>
    </row>
    <row r="12" spans="1:13" ht="30" x14ac:dyDescent="0.25">
      <c r="A12" s="311"/>
      <c r="B12" s="34">
        <v>8</v>
      </c>
      <c r="C12" s="34">
        <v>7700</v>
      </c>
      <c r="D12" s="34">
        <v>5</v>
      </c>
      <c r="E12" s="34"/>
      <c r="F12" s="34">
        <f t="shared" si="0"/>
        <v>5</v>
      </c>
      <c r="H12" s="424"/>
      <c r="I12" s="41" t="s">
        <v>521</v>
      </c>
      <c r="J12" s="3">
        <v>200</v>
      </c>
      <c r="K12" s="3">
        <v>10</v>
      </c>
      <c r="L12" s="3"/>
      <c r="M12" s="3">
        <f t="shared" si="1"/>
        <v>10</v>
      </c>
    </row>
    <row r="13" spans="1:13" ht="30" customHeight="1" x14ac:dyDescent="0.25">
      <c r="A13" s="311"/>
      <c r="B13" s="34">
        <v>10</v>
      </c>
      <c r="C13" s="34">
        <v>9500</v>
      </c>
      <c r="D13" s="34">
        <v>5</v>
      </c>
      <c r="E13" s="34"/>
      <c r="F13" s="34">
        <f t="shared" si="0"/>
        <v>5</v>
      </c>
      <c r="H13" s="424"/>
      <c r="I13" s="3" t="s">
        <v>522</v>
      </c>
      <c r="J13" s="3">
        <v>200</v>
      </c>
      <c r="K13" s="3">
        <v>10</v>
      </c>
      <c r="L13" s="3"/>
      <c r="M13" s="3">
        <f t="shared" si="1"/>
        <v>10</v>
      </c>
    </row>
    <row r="14" spans="1:13" x14ac:dyDescent="0.25">
      <c r="A14" s="311" t="s">
        <v>530</v>
      </c>
      <c r="B14" s="34">
        <v>6</v>
      </c>
      <c r="C14" s="34">
        <v>5900</v>
      </c>
      <c r="D14" s="34">
        <f>10+5</f>
        <v>15</v>
      </c>
      <c r="E14" s="34">
        <f>3+1+1+3</f>
        <v>8</v>
      </c>
      <c r="F14" s="34">
        <f t="shared" si="0"/>
        <v>7</v>
      </c>
      <c r="H14" s="415" t="s">
        <v>524</v>
      </c>
      <c r="I14" s="3" t="s">
        <v>513</v>
      </c>
      <c r="J14" s="3">
        <v>350</v>
      </c>
      <c r="K14" s="3"/>
      <c r="L14" s="3">
        <f>3+6+3</f>
        <v>12</v>
      </c>
      <c r="M14" s="3"/>
    </row>
    <row r="15" spans="1:13" x14ac:dyDescent="0.25">
      <c r="A15" s="311"/>
      <c r="B15" s="34">
        <v>8</v>
      </c>
      <c r="C15" s="34">
        <v>7700</v>
      </c>
      <c r="D15" s="34">
        <f>10+4</f>
        <v>14</v>
      </c>
      <c r="E15" s="34">
        <f>2+2</f>
        <v>4</v>
      </c>
      <c r="F15" s="34">
        <f t="shared" si="0"/>
        <v>10</v>
      </c>
      <c r="H15" s="415"/>
      <c r="I15" s="3" t="s">
        <v>518</v>
      </c>
      <c r="J15" s="3">
        <v>350</v>
      </c>
      <c r="K15" s="3"/>
      <c r="L15" s="3">
        <v>10</v>
      </c>
      <c r="M15" s="3"/>
    </row>
    <row r="16" spans="1:13" x14ac:dyDescent="0.25">
      <c r="A16" s="311"/>
      <c r="B16" s="34">
        <v>10</v>
      </c>
      <c r="C16" s="34">
        <v>9500</v>
      </c>
      <c r="D16" s="34">
        <f>10+2</f>
        <v>12</v>
      </c>
      <c r="E16" s="34">
        <f>4+2</f>
        <v>6</v>
      </c>
      <c r="F16" s="34">
        <f t="shared" si="0"/>
        <v>6</v>
      </c>
      <c r="H16" s="415"/>
      <c r="I16" s="3" t="s">
        <v>514</v>
      </c>
      <c r="J16" s="3">
        <v>350</v>
      </c>
      <c r="K16" s="3"/>
      <c r="L16" s="3"/>
      <c r="M16" s="3"/>
    </row>
    <row r="17" spans="1:8" x14ac:dyDescent="0.25">
      <c r="A17" s="320" t="s">
        <v>528</v>
      </c>
      <c r="B17" s="34">
        <v>6</v>
      </c>
      <c r="C17" s="34">
        <v>5900</v>
      </c>
      <c r="D17" s="34">
        <v>1</v>
      </c>
      <c r="E17" s="34"/>
      <c r="F17" s="34">
        <f t="shared" si="0"/>
        <v>1</v>
      </c>
      <c r="H17" s="1"/>
    </row>
    <row r="18" spans="1:8" x14ac:dyDescent="0.25">
      <c r="A18" s="319"/>
      <c r="B18" s="34">
        <v>8</v>
      </c>
      <c r="C18" s="34">
        <v>7700</v>
      </c>
      <c r="D18" s="34">
        <v>1</v>
      </c>
      <c r="E18" s="34"/>
      <c r="F18" s="34">
        <f t="shared" si="0"/>
        <v>1</v>
      </c>
      <c r="H18" s="1"/>
    </row>
    <row r="19" spans="1:8" x14ac:dyDescent="0.25">
      <c r="A19" s="311" t="s">
        <v>504</v>
      </c>
      <c r="B19" s="34">
        <v>6</v>
      </c>
      <c r="C19" s="34">
        <v>5900</v>
      </c>
      <c r="D19" s="34">
        <v>1</v>
      </c>
      <c r="E19" s="34"/>
      <c r="F19" s="34">
        <f t="shared" si="0"/>
        <v>1</v>
      </c>
    </row>
    <row r="20" spans="1:8" x14ac:dyDescent="0.25">
      <c r="A20" s="311"/>
      <c r="B20" s="34">
        <v>8</v>
      </c>
      <c r="C20" s="34">
        <v>7700</v>
      </c>
      <c r="D20" s="34">
        <v>1</v>
      </c>
      <c r="E20" s="34"/>
      <c r="F20" s="34">
        <f t="shared" si="0"/>
        <v>1</v>
      </c>
    </row>
    <row r="21" spans="1:8" x14ac:dyDescent="0.25">
      <c r="A21" s="311" t="s">
        <v>505</v>
      </c>
      <c r="B21" s="34">
        <v>6</v>
      </c>
      <c r="C21" s="34">
        <v>5900</v>
      </c>
      <c r="D21" s="34">
        <v>1</v>
      </c>
      <c r="E21" s="34"/>
      <c r="F21" s="34">
        <f t="shared" si="0"/>
        <v>1</v>
      </c>
    </row>
    <row r="22" spans="1:8" x14ac:dyDescent="0.25">
      <c r="A22" s="311"/>
      <c r="B22" s="34">
        <v>8</v>
      </c>
      <c r="C22" s="34">
        <v>7700</v>
      </c>
      <c r="D22" s="34">
        <v>1</v>
      </c>
      <c r="E22" s="34"/>
      <c r="F22" s="34">
        <f t="shared" si="0"/>
        <v>1</v>
      </c>
    </row>
    <row r="23" spans="1:8" x14ac:dyDescent="0.25">
      <c r="A23" s="311"/>
      <c r="B23" s="34">
        <v>10</v>
      </c>
      <c r="C23" s="34">
        <v>9500</v>
      </c>
      <c r="D23" s="34">
        <v>1</v>
      </c>
      <c r="E23" s="34"/>
      <c r="F23" s="34">
        <f t="shared" si="0"/>
        <v>1</v>
      </c>
    </row>
    <row r="24" spans="1:8" x14ac:dyDescent="0.25">
      <c r="A24" s="320" t="s">
        <v>532</v>
      </c>
      <c r="B24" s="34">
        <v>6</v>
      </c>
      <c r="C24" s="34">
        <v>5900</v>
      </c>
      <c r="D24" s="34">
        <v>5</v>
      </c>
      <c r="E24" s="34"/>
      <c r="F24" s="34">
        <f t="shared" si="0"/>
        <v>5</v>
      </c>
    </row>
    <row r="25" spans="1:8" x14ac:dyDescent="0.25">
      <c r="A25" s="305"/>
      <c r="B25" s="34">
        <v>8</v>
      </c>
      <c r="C25" s="34">
        <v>7700</v>
      </c>
      <c r="D25" s="34">
        <v>4</v>
      </c>
      <c r="E25" s="34"/>
      <c r="F25" s="34">
        <f t="shared" si="0"/>
        <v>4</v>
      </c>
    </row>
    <row r="26" spans="1:8" x14ac:dyDescent="0.25">
      <c r="A26" s="319"/>
      <c r="B26" s="34">
        <v>10</v>
      </c>
      <c r="C26" s="34">
        <v>9500</v>
      </c>
      <c r="D26" s="34">
        <v>5</v>
      </c>
      <c r="E26" s="34">
        <v>4</v>
      </c>
      <c r="F26" s="34">
        <f t="shared" si="0"/>
        <v>1</v>
      </c>
    </row>
    <row r="27" spans="1:8" x14ac:dyDescent="0.25">
      <c r="A27" s="320" t="s">
        <v>529</v>
      </c>
      <c r="B27" s="34">
        <v>6</v>
      </c>
      <c r="C27" s="34">
        <v>5900</v>
      </c>
      <c r="D27" s="34">
        <f>5+5</f>
        <v>10</v>
      </c>
      <c r="E27" s="34">
        <v>5</v>
      </c>
      <c r="F27" s="34">
        <f t="shared" si="0"/>
        <v>5</v>
      </c>
    </row>
    <row r="28" spans="1:8" x14ac:dyDescent="0.25">
      <c r="A28" s="305"/>
      <c r="B28" s="34">
        <v>8</v>
      </c>
      <c r="C28" s="34">
        <v>7700</v>
      </c>
      <c r="D28" s="34">
        <f>20+3</f>
        <v>23</v>
      </c>
      <c r="E28" s="34">
        <v>2</v>
      </c>
      <c r="F28" s="34">
        <f t="shared" si="0"/>
        <v>21</v>
      </c>
    </row>
    <row r="29" spans="1:8" x14ac:dyDescent="0.25">
      <c r="A29" s="319"/>
      <c r="B29" s="34">
        <v>10</v>
      </c>
      <c r="C29" s="34">
        <v>9500</v>
      </c>
      <c r="D29" s="34">
        <v>5</v>
      </c>
      <c r="E29" s="34">
        <f>1+4</f>
        <v>5</v>
      </c>
      <c r="F29" s="34">
        <f t="shared" si="0"/>
        <v>0</v>
      </c>
    </row>
    <row r="30" spans="1:8" x14ac:dyDescent="0.25">
      <c r="A30" s="311" t="s">
        <v>506</v>
      </c>
      <c r="B30" s="34">
        <v>6</v>
      </c>
      <c r="C30" s="34">
        <v>5900</v>
      </c>
      <c r="D30" s="34">
        <v>1</v>
      </c>
      <c r="E30" s="34"/>
      <c r="F30" s="34">
        <f t="shared" si="0"/>
        <v>1</v>
      </c>
    </row>
    <row r="31" spans="1:8" x14ac:dyDescent="0.25">
      <c r="A31" s="311"/>
      <c r="B31" s="34">
        <v>8</v>
      </c>
      <c r="C31" s="34">
        <v>7700</v>
      </c>
      <c r="D31" s="34">
        <v>1</v>
      </c>
      <c r="E31" s="34"/>
      <c r="F31" s="34">
        <f t="shared" si="0"/>
        <v>1</v>
      </c>
    </row>
    <row r="32" spans="1:8" x14ac:dyDescent="0.25">
      <c r="A32" s="311"/>
      <c r="B32" s="34">
        <v>10</v>
      </c>
      <c r="C32" s="34">
        <v>9500</v>
      </c>
      <c r="D32" s="34">
        <v>1</v>
      </c>
      <c r="E32" s="34">
        <v>1</v>
      </c>
      <c r="F32" s="34">
        <f t="shared" si="0"/>
        <v>0</v>
      </c>
    </row>
    <row r="33" spans="1:6" x14ac:dyDescent="0.25">
      <c r="A33" s="161"/>
      <c r="B33" s="161"/>
      <c r="C33" s="161"/>
      <c r="D33" s="161"/>
      <c r="E33" s="161"/>
      <c r="F33" s="161"/>
    </row>
    <row r="34" spans="1:6" x14ac:dyDescent="0.25">
      <c r="A34" s="161"/>
      <c r="B34" s="161"/>
      <c r="C34" s="161"/>
      <c r="D34" s="161"/>
      <c r="E34" s="161"/>
      <c r="F34" s="161"/>
    </row>
  </sheetData>
  <mergeCells count="14">
    <mergeCell ref="A1:F1"/>
    <mergeCell ref="H3:H13"/>
    <mergeCell ref="H1:M1"/>
    <mergeCell ref="H14:H16"/>
    <mergeCell ref="A30:A32"/>
    <mergeCell ref="A7:A9"/>
    <mergeCell ref="A3:A5"/>
    <mergeCell ref="A11:A13"/>
    <mergeCell ref="A14:A16"/>
    <mergeCell ref="A19:A20"/>
    <mergeCell ref="A21:A23"/>
    <mergeCell ref="A17:A18"/>
    <mergeCell ref="A24:A26"/>
    <mergeCell ref="A27:A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1"/>
  <sheetViews>
    <sheetView topLeftCell="A4" workbookViewId="0">
      <selection activeCell="M21" sqref="M21"/>
    </sheetView>
  </sheetViews>
  <sheetFormatPr defaultRowHeight="15" x14ac:dyDescent="0.25"/>
  <cols>
    <col min="1" max="1" width="11" customWidth="1"/>
    <col min="3" max="3" width="11.5703125" customWidth="1"/>
    <col min="4" max="4" width="11.140625" customWidth="1"/>
    <col min="5" max="5" width="13" customWidth="1"/>
    <col min="6" max="6" width="14.5703125" customWidth="1"/>
    <col min="10" max="10" width="11.85546875" customWidth="1"/>
    <col min="14" max="14" width="12.140625" customWidth="1"/>
    <col min="15" max="15" width="14.140625" customWidth="1"/>
  </cols>
  <sheetData>
    <row r="1" spans="1:16" x14ac:dyDescent="0.25">
      <c r="A1" s="426" t="s">
        <v>91</v>
      </c>
      <c r="B1" s="426"/>
      <c r="C1" s="426"/>
      <c r="D1" s="426"/>
      <c r="E1" s="426"/>
      <c r="F1" s="426"/>
      <c r="G1" s="161"/>
      <c r="H1" s="161"/>
      <c r="I1" s="161"/>
      <c r="J1" s="161" t="s">
        <v>92</v>
      </c>
      <c r="K1" s="161"/>
      <c r="L1" s="161"/>
      <c r="M1" s="161"/>
      <c r="N1" s="161"/>
      <c r="O1" s="161"/>
      <c r="P1" s="161"/>
    </row>
    <row r="2" spans="1:16" ht="35.25" customHeight="1" x14ac:dyDescent="0.25">
      <c r="A2" s="212" t="s">
        <v>16</v>
      </c>
      <c r="B2" s="212" t="s">
        <v>17</v>
      </c>
      <c r="C2" s="38" t="s">
        <v>267</v>
      </c>
      <c r="D2" s="212" t="s">
        <v>109</v>
      </c>
      <c r="E2" s="212" t="s">
        <v>250</v>
      </c>
      <c r="F2" s="38" t="s">
        <v>251</v>
      </c>
      <c r="G2" s="212" t="s">
        <v>264</v>
      </c>
      <c r="H2" s="161"/>
      <c r="I2" s="161"/>
      <c r="J2" s="212" t="s">
        <v>16</v>
      </c>
      <c r="K2" s="212" t="s">
        <v>17</v>
      </c>
      <c r="L2" s="38" t="s">
        <v>267</v>
      </c>
      <c r="M2" s="212" t="s">
        <v>109</v>
      </c>
      <c r="N2" s="212" t="s">
        <v>250</v>
      </c>
      <c r="O2" s="38" t="s">
        <v>251</v>
      </c>
      <c r="P2" s="212" t="s">
        <v>264</v>
      </c>
    </row>
    <row r="3" spans="1:16" x14ac:dyDescent="0.25">
      <c r="A3" s="311" t="s">
        <v>97</v>
      </c>
      <c r="B3" s="34" t="s">
        <v>112</v>
      </c>
      <c r="C3" s="152" t="s">
        <v>268</v>
      </c>
      <c r="D3" s="34">
        <v>4500</v>
      </c>
      <c r="E3" s="34">
        <f>10+2</f>
        <v>12</v>
      </c>
      <c r="F3" s="34">
        <v>1</v>
      </c>
      <c r="G3" s="34">
        <f>E3-F3</f>
        <v>11</v>
      </c>
      <c r="H3" s="161"/>
      <c r="I3" s="161"/>
      <c r="J3" s="311" t="s">
        <v>97</v>
      </c>
      <c r="K3" s="34" t="s">
        <v>112</v>
      </c>
      <c r="L3" s="34"/>
      <c r="M3" s="34"/>
      <c r="N3" s="34">
        <v>3</v>
      </c>
      <c r="O3" s="34">
        <v>3</v>
      </c>
      <c r="P3" s="34">
        <f>N3-O3</f>
        <v>0</v>
      </c>
    </row>
    <row r="4" spans="1:16" x14ac:dyDescent="0.25">
      <c r="A4" s="311"/>
      <c r="B4" s="34" t="s">
        <v>252</v>
      </c>
      <c r="C4" s="34"/>
      <c r="D4" s="34"/>
      <c r="E4" s="34">
        <v>2</v>
      </c>
      <c r="F4" s="34"/>
      <c r="G4" s="34">
        <f t="shared" ref="G4:G31" si="0">E4-F4</f>
        <v>2</v>
      </c>
      <c r="H4" s="161"/>
      <c r="I4" s="161"/>
      <c r="J4" s="311"/>
      <c r="K4" s="34" t="s">
        <v>252</v>
      </c>
      <c r="L4" s="34"/>
      <c r="M4" s="34"/>
      <c r="N4" s="34">
        <v>4</v>
      </c>
      <c r="O4" s="34">
        <v>4</v>
      </c>
      <c r="P4" s="34">
        <f t="shared" ref="P4:P30" si="1">N4-O4</f>
        <v>0</v>
      </c>
    </row>
    <row r="5" spans="1:16" x14ac:dyDescent="0.25">
      <c r="A5" s="311"/>
      <c r="B5" s="34" t="s">
        <v>253</v>
      </c>
      <c r="C5" s="214" t="s">
        <v>268</v>
      </c>
      <c r="D5" s="152" t="s">
        <v>271</v>
      </c>
      <c r="E5" s="34">
        <v>8</v>
      </c>
      <c r="F5" s="34">
        <v>1</v>
      </c>
      <c r="G5" s="34">
        <f t="shared" si="0"/>
        <v>7</v>
      </c>
      <c r="H5" s="161"/>
      <c r="I5" s="161"/>
      <c r="J5" s="311"/>
      <c r="K5" s="34" t="s">
        <v>253</v>
      </c>
      <c r="L5" s="215">
        <v>144000</v>
      </c>
      <c r="M5" s="34">
        <v>4200</v>
      </c>
      <c r="N5" s="34">
        <v>4</v>
      </c>
      <c r="O5" s="34"/>
      <c r="P5" s="34">
        <f t="shared" si="1"/>
        <v>4</v>
      </c>
    </row>
    <row r="6" spans="1:16" x14ac:dyDescent="0.25">
      <c r="A6" s="311"/>
      <c r="B6" s="34" t="s">
        <v>254</v>
      </c>
      <c r="C6" s="214" t="s">
        <v>272</v>
      </c>
      <c r="D6" s="152" t="s">
        <v>273</v>
      </c>
      <c r="E6" s="34">
        <v>4</v>
      </c>
      <c r="F6" s="34">
        <v>1</v>
      </c>
      <c r="G6" s="34">
        <f t="shared" si="0"/>
        <v>3</v>
      </c>
      <c r="H6" s="161"/>
      <c r="I6" s="161"/>
      <c r="J6" s="311"/>
      <c r="K6" s="34" t="s">
        <v>254</v>
      </c>
      <c r="L6" s="215">
        <v>72000</v>
      </c>
      <c r="M6" s="34">
        <v>3200</v>
      </c>
      <c r="N6" s="34">
        <v>2</v>
      </c>
      <c r="O6" s="34"/>
      <c r="P6" s="34">
        <f t="shared" si="1"/>
        <v>2</v>
      </c>
    </row>
    <row r="7" spans="1:16" x14ac:dyDescent="0.25">
      <c r="A7" s="311"/>
      <c r="B7" s="34" t="s">
        <v>113</v>
      </c>
      <c r="C7" s="214" t="s">
        <v>272</v>
      </c>
      <c r="D7" s="152" t="s">
        <v>273</v>
      </c>
      <c r="E7" s="34">
        <v>16</v>
      </c>
      <c r="F7" s="34">
        <v>1</v>
      </c>
      <c r="G7" s="34">
        <f t="shared" si="0"/>
        <v>15</v>
      </c>
      <c r="H7" s="161"/>
      <c r="I7" s="161"/>
      <c r="J7" s="311"/>
      <c r="K7" s="34" t="s">
        <v>113</v>
      </c>
      <c r="L7" s="215">
        <v>72000</v>
      </c>
      <c r="M7" s="34">
        <v>3200</v>
      </c>
      <c r="N7" s="34">
        <v>2</v>
      </c>
      <c r="O7" s="34"/>
      <c r="P7" s="34">
        <f t="shared" si="1"/>
        <v>2</v>
      </c>
    </row>
    <row r="8" spans="1:16" x14ac:dyDescent="0.25">
      <c r="A8" s="311"/>
      <c r="B8" s="34" t="s">
        <v>111</v>
      </c>
      <c r="C8" s="214" t="s">
        <v>274</v>
      </c>
      <c r="D8" s="152" t="s">
        <v>275</v>
      </c>
      <c r="E8" s="34">
        <v>16</v>
      </c>
      <c r="F8" s="34">
        <v>1</v>
      </c>
      <c r="G8" s="34">
        <f t="shared" si="0"/>
        <v>15</v>
      </c>
      <c r="H8" s="161"/>
      <c r="I8" s="161"/>
      <c r="J8" s="311"/>
      <c r="K8" s="34" t="s">
        <v>111</v>
      </c>
      <c r="L8" s="215">
        <v>57600</v>
      </c>
      <c r="M8" s="34">
        <v>3500</v>
      </c>
      <c r="N8" s="34">
        <v>2</v>
      </c>
      <c r="O8" s="34"/>
      <c r="P8" s="34">
        <f t="shared" si="1"/>
        <v>2</v>
      </c>
    </row>
    <row r="9" spans="1:16" x14ac:dyDescent="0.25">
      <c r="A9" s="311"/>
      <c r="B9" s="34" t="s">
        <v>110</v>
      </c>
      <c r="C9" s="214" t="s">
        <v>276</v>
      </c>
      <c r="D9" s="152" t="s">
        <v>277</v>
      </c>
      <c r="E9" s="34">
        <v>22</v>
      </c>
      <c r="F9" s="34">
        <f>1+1</f>
        <v>2</v>
      </c>
      <c r="G9" s="34">
        <f t="shared" si="0"/>
        <v>20</v>
      </c>
      <c r="H9" s="161"/>
      <c r="I9" s="161"/>
      <c r="J9" s="311"/>
      <c r="K9" s="34" t="s">
        <v>110</v>
      </c>
      <c r="L9" s="215">
        <v>28800</v>
      </c>
      <c r="M9" s="34">
        <v>3000</v>
      </c>
      <c r="N9" s="34">
        <v>5</v>
      </c>
      <c r="O9" s="34"/>
      <c r="P9" s="34">
        <f t="shared" si="1"/>
        <v>5</v>
      </c>
    </row>
    <row r="10" spans="1:16" x14ac:dyDescent="0.25">
      <c r="A10" s="311"/>
      <c r="B10" s="34" t="s">
        <v>114</v>
      </c>
      <c r="C10" s="214" t="s">
        <v>278</v>
      </c>
      <c r="D10" s="152" t="s">
        <v>279</v>
      </c>
      <c r="E10" s="34">
        <v>6</v>
      </c>
      <c r="F10" s="34">
        <v>1</v>
      </c>
      <c r="G10" s="34">
        <f t="shared" si="0"/>
        <v>5</v>
      </c>
      <c r="H10" s="161"/>
      <c r="I10" s="161"/>
      <c r="J10" s="311"/>
      <c r="K10" s="34" t="s">
        <v>114</v>
      </c>
      <c r="L10" s="215">
        <v>14400</v>
      </c>
      <c r="M10" s="34">
        <v>2500</v>
      </c>
      <c r="N10" s="34">
        <v>10</v>
      </c>
      <c r="O10" s="34"/>
      <c r="P10" s="34">
        <f t="shared" si="1"/>
        <v>10</v>
      </c>
    </row>
    <row r="11" spans="1:16" x14ac:dyDescent="0.25">
      <c r="A11" s="311"/>
      <c r="B11" s="34" t="s">
        <v>255</v>
      </c>
      <c r="C11" s="152" t="s">
        <v>280</v>
      </c>
      <c r="D11" s="152" t="s">
        <v>284</v>
      </c>
      <c r="E11" s="34">
        <v>12</v>
      </c>
      <c r="F11" s="34">
        <f>1+4+1</f>
        <v>6</v>
      </c>
      <c r="G11" s="34">
        <f t="shared" si="0"/>
        <v>6</v>
      </c>
      <c r="H11" s="161"/>
      <c r="I11" s="161"/>
      <c r="J11" s="311"/>
      <c r="K11" s="34" t="s">
        <v>255</v>
      </c>
      <c r="L11" s="34">
        <v>5760</v>
      </c>
      <c r="M11" s="34">
        <v>2420</v>
      </c>
      <c r="N11" s="34">
        <v>1</v>
      </c>
      <c r="O11" s="34"/>
      <c r="P11" s="34">
        <f t="shared" si="1"/>
        <v>1</v>
      </c>
    </row>
    <row r="12" spans="1:16" x14ac:dyDescent="0.25">
      <c r="A12" s="311"/>
      <c r="B12" s="34" t="s">
        <v>256</v>
      </c>
      <c r="C12" s="34"/>
      <c r="D12" s="34"/>
      <c r="E12" s="34">
        <v>2</v>
      </c>
      <c r="F12" s="34"/>
      <c r="G12" s="34">
        <f t="shared" si="0"/>
        <v>2</v>
      </c>
      <c r="H12" s="161"/>
      <c r="I12" s="161"/>
      <c r="J12" s="311"/>
      <c r="K12" s="34" t="s">
        <v>257</v>
      </c>
      <c r="L12" s="34"/>
      <c r="M12" s="34"/>
      <c r="N12" s="34">
        <v>1</v>
      </c>
      <c r="O12" s="34"/>
      <c r="P12" s="34">
        <f t="shared" si="1"/>
        <v>1</v>
      </c>
    </row>
    <row r="13" spans="1:16" x14ac:dyDescent="0.25">
      <c r="A13" s="311" t="s">
        <v>62</v>
      </c>
      <c r="B13" s="34" t="s">
        <v>252</v>
      </c>
      <c r="C13" s="152" t="s">
        <v>268</v>
      </c>
      <c r="D13" s="152" t="s">
        <v>283</v>
      </c>
      <c r="E13" s="34">
        <v>5</v>
      </c>
      <c r="F13" s="34"/>
      <c r="G13" s="34">
        <f t="shared" si="0"/>
        <v>5</v>
      </c>
      <c r="H13" s="161"/>
      <c r="I13" s="161"/>
      <c r="J13" s="311"/>
      <c r="K13" s="34" t="s">
        <v>256</v>
      </c>
      <c r="L13" s="34"/>
      <c r="M13" s="34"/>
      <c r="N13" s="34">
        <v>2</v>
      </c>
      <c r="O13" s="34"/>
      <c r="P13" s="34">
        <f t="shared" si="1"/>
        <v>2</v>
      </c>
    </row>
    <row r="14" spans="1:16" x14ac:dyDescent="0.25">
      <c r="A14" s="311"/>
      <c r="B14" s="34" t="s">
        <v>253</v>
      </c>
      <c r="C14" s="152" t="s">
        <v>268</v>
      </c>
      <c r="D14" s="152" t="s">
        <v>283</v>
      </c>
      <c r="E14" s="34">
        <v>6</v>
      </c>
      <c r="F14" s="34"/>
      <c r="G14" s="34">
        <f t="shared" si="0"/>
        <v>6</v>
      </c>
      <c r="H14" s="161"/>
      <c r="I14" s="161"/>
      <c r="J14" s="311" t="s">
        <v>62</v>
      </c>
      <c r="K14" s="34" t="s">
        <v>252</v>
      </c>
      <c r="L14" s="34"/>
      <c r="M14" s="34"/>
      <c r="N14" s="34">
        <v>4</v>
      </c>
      <c r="O14" s="34"/>
      <c r="P14" s="34">
        <f t="shared" si="1"/>
        <v>4</v>
      </c>
    </row>
    <row r="15" spans="1:16" x14ac:dyDescent="0.25">
      <c r="A15" s="311"/>
      <c r="B15" s="34" t="s">
        <v>254</v>
      </c>
      <c r="C15" s="152" t="s">
        <v>272</v>
      </c>
      <c r="D15" s="152" t="s">
        <v>285</v>
      </c>
      <c r="E15" s="34">
        <v>8</v>
      </c>
      <c r="F15" s="34"/>
      <c r="G15" s="34">
        <f t="shared" si="0"/>
        <v>8</v>
      </c>
      <c r="H15" s="161"/>
      <c r="I15" s="161"/>
      <c r="J15" s="311"/>
      <c r="K15" s="34" t="s">
        <v>253</v>
      </c>
      <c r="L15" s="34"/>
      <c r="M15" s="34"/>
      <c r="N15" s="34">
        <v>6</v>
      </c>
      <c r="O15" s="34"/>
      <c r="P15" s="34">
        <f t="shared" si="1"/>
        <v>6</v>
      </c>
    </row>
    <row r="16" spans="1:16" x14ac:dyDescent="0.25">
      <c r="A16" s="311"/>
      <c r="B16" s="34" t="s">
        <v>113</v>
      </c>
      <c r="C16" s="152" t="s">
        <v>272</v>
      </c>
      <c r="D16" s="152" t="s">
        <v>286</v>
      </c>
      <c r="E16" s="34">
        <v>9</v>
      </c>
      <c r="F16" s="34"/>
      <c r="G16" s="34">
        <f t="shared" si="0"/>
        <v>9</v>
      </c>
      <c r="H16" s="161"/>
      <c r="I16" s="161"/>
      <c r="J16" s="311"/>
      <c r="K16" s="34" t="s">
        <v>254</v>
      </c>
      <c r="L16" s="34"/>
      <c r="M16" s="34"/>
      <c r="N16" s="34">
        <v>13</v>
      </c>
      <c r="O16" s="34"/>
      <c r="P16" s="34">
        <f t="shared" si="1"/>
        <v>13</v>
      </c>
    </row>
    <row r="17" spans="1:16" x14ac:dyDescent="0.25">
      <c r="A17" s="311"/>
      <c r="B17" s="34" t="s">
        <v>111</v>
      </c>
      <c r="C17" s="152" t="s">
        <v>274</v>
      </c>
      <c r="D17" s="152" t="s">
        <v>287</v>
      </c>
      <c r="E17" s="34">
        <v>8</v>
      </c>
      <c r="F17" s="34"/>
      <c r="G17" s="34">
        <f t="shared" si="0"/>
        <v>8</v>
      </c>
      <c r="H17" s="161"/>
      <c r="I17" s="161"/>
      <c r="J17" s="311"/>
      <c r="K17" s="34" t="s">
        <v>113</v>
      </c>
      <c r="L17" s="34"/>
      <c r="M17" s="34"/>
      <c r="N17" s="34">
        <v>13</v>
      </c>
      <c r="O17" s="34"/>
      <c r="P17" s="34">
        <f t="shared" si="1"/>
        <v>13</v>
      </c>
    </row>
    <row r="18" spans="1:16" x14ac:dyDescent="0.25">
      <c r="A18" s="311"/>
      <c r="B18" s="34" t="s">
        <v>110</v>
      </c>
      <c r="C18" s="152" t="s">
        <v>276</v>
      </c>
      <c r="D18" s="152" t="s">
        <v>288</v>
      </c>
      <c r="E18" s="34">
        <v>7</v>
      </c>
      <c r="F18" s="34">
        <v>1</v>
      </c>
      <c r="G18" s="34">
        <f t="shared" si="0"/>
        <v>6</v>
      </c>
      <c r="H18" s="161"/>
      <c r="I18" s="161"/>
      <c r="J18" s="311"/>
      <c r="K18" s="34" t="s">
        <v>111</v>
      </c>
      <c r="L18" s="34"/>
      <c r="M18" s="34"/>
      <c r="N18" s="34">
        <v>11</v>
      </c>
      <c r="O18" s="34"/>
      <c r="P18" s="34">
        <f t="shared" si="1"/>
        <v>11</v>
      </c>
    </row>
    <row r="19" spans="1:16" x14ac:dyDescent="0.25">
      <c r="A19" s="311"/>
      <c r="B19" s="34" t="s">
        <v>255</v>
      </c>
      <c r="C19" s="152" t="s">
        <v>280</v>
      </c>
      <c r="D19" s="152" t="s">
        <v>288</v>
      </c>
      <c r="E19" s="34">
        <v>17</v>
      </c>
      <c r="F19" s="34">
        <f>1+1+3</f>
        <v>5</v>
      </c>
      <c r="G19" s="34">
        <f t="shared" si="0"/>
        <v>12</v>
      </c>
      <c r="H19" s="161"/>
      <c r="I19" s="161"/>
      <c r="J19" s="311"/>
      <c r="K19" s="34" t="s">
        <v>110</v>
      </c>
      <c r="L19" s="34"/>
      <c r="M19" s="34"/>
      <c r="N19" s="34">
        <v>13</v>
      </c>
      <c r="O19" s="34">
        <v>1</v>
      </c>
      <c r="P19" s="34">
        <f t="shared" si="1"/>
        <v>12</v>
      </c>
    </row>
    <row r="20" spans="1:16" x14ac:dyDescent="0.25">
      <c r="A20" s="311"/>
      <c r="B20" s="34" t="s">
        <v>257</v>
      </c>
      <c r="C20" s="152" t="s">
        <v>289</v>
      </c>
      <c r="D20" s="152" t="s">
        <v>290</v>
      </c>
      <c r="E20" s="34">
        <v>23</v>
      </c>
      <c r="F20" s="34"/>
      <c r="G20" s="34">
        <f t="shared" si="0"/>
        <v>23</v>
      </c>
      <c r="H20" s="161"/>
      <c r="I20" s="161"/>
      <c r="J20" s="311"/>
      <c r="K20" s="34" t="s">
        <v>114</v>
      </c>
      <c r="L20" s="34"/>
      <c r="M20" s="34">
        <v>4650</v>
      </c>
      <c r="N20" s="34">
        <v>12</v>
      </c>
      <c r="O20" s="34">
        <v>1</v>
      </c>
      <c r="P20" s="34">
        <f t="shared" si="1"/>
        <v>11</v>
      </c>
    </row>
    <row r="21" spans="1:16" x14ac:dyDescent="0.25">
      <c r="A21" s="311"/>
      <c r="B21" s="34" t="s">
        <v>256</v>
      </c>
      <c r="C21" s="152" t="s">
        <v>289</v>
      </c>
      <c r="D21" s="152" t="s">
        <v>290</v>
      </c>
      <c r="E21" s="34">
        <v>16</v>
      </c>
      <c r="F21" s="34"/>
      <c r="G21" s="34">
        <f t="shared" si="0"/>
        <v>16</v>
      </c>
      <c r="H21" s="161"/>
      <c r="I21" s="161"/>
      <c r="J21" s="311"/>
      <c r="K21" s="34" t="s">
        <v>255</v>
      </c>
      <c r="L21" s="34"/>
      <c r="M21" s="34"/>
      <c r="N21" s="34">
        <v>13</v>
      </c>
      <c r="O21" s="34"/>
      <c r="P21" s="34">
        <f t="shared" si="1"/>
        <v>13</v>
      </c>
    </row>
    <row r="22" spans="1:16" x14ac:dyDescent="0.25">
      <c r="A22" s="311" t="s">
        <v>258</v>
      </c>
      <c r="B22" s="34" t="s">
        <v>112</v>
      </c>
      <c r="C22" s="214" t="s">
        <v>268</v>
      </c>
      <c r="D22" s="152" t="s">
        <v>270</v>
      </c>
      <c r="E22" s="34">
        <v>3</v>
      </c>
      <c r="F22" s="34"/>
      <c r="G22" s="34">
        <f t="shared" si="0"/>
        <v>3</v>
      </c>
      <c r="H22" s="161"/>
      <c r="I22" s="161"/>
      <c r="J22" s="311"/>
      <c r="K22" s="34" t="s">
        <v>256</v>
      </c>
      <c r="L22" s="34"/>
      <c r="M22" s="34"/>
      <c r="N22" s="34">
        <v>6</v>
      </c>
      <c r="O22" s="34"/>
      <c r="P22" s="34">
        <f t="shared" si="1"/>
        <v>6</v>
      </c>
    </row>
    <row r="23" spans="1:16" x14ac:dyDescent="0.25">
      <c r="A23" s="311"/>
      <c r="B23" s="34" t="s">
        <v>252</v>
      </c>
      <c r="C23" s="214" t="s">
        <v>268</v>
      </c>
      <c r="D23" s="152" t="s">
        <v>269</v>
      </c>
      <c r="E23" s="34">
        <v>8</v>
      </c>
      <c r="F23" s="34"/>
      <c r="G23" s="34">
        <f t="shared" si="0"/>
        <v>8</v>
      </c>
      <c r="H23" s="161"/>
      <c r="I23" s="161"/>
      <c r="J23" s="311" t="s">
        <v>258</v>
      </c>
      <c r="K23" s="34" t="s">
        <v>112</v>
      </c>
      <c r="L23" s="215">
        <v>144000</v>
      </c>
      <c r="M23" s="34">
        <v>5900</v>
      </c>
      <c r="N23" s="34">
        <v>1</v>
      </c>
      <c r="O23" s="34"/>
      <c r="P23" s="34">
        <f t="shared" si="1"/>
        <v>1</v>
      </c>
    </row>
    <row r="24" spans="1:16" x14ac:dyDescent="0.25">
      <c r="A24" s="311"/>
      <c r="B24" s="34" t="s">
        <v>253</v>
      </c>
      <c r="C24" s="214" t="s">
        <v>268</v>
      </c>
      <c r="D24" s="152" t="s">
        <v>271</v>
      </c>
      <c r="E24" s="34">
        <v>12</v>
      </c>
      <c r="F24" s="34"/>
      <c r="G24" s="34">
        <f t="shared" si="0"/>
        <v>12</v>
      </c>
      <c r="H24" s="161"/>
      <c r="I24" s="161"/>
      <c r="J24" s="311"/>
      <c r="K24" s="34" t="s">
        <v>252</v>
      </c>
      <c r="L24" s="215">
        <v>144000</v>
      </c>
      <c r="M24" s="34">
        <v>4000</v>
      </c>
      <c r="N24" s="34">
        <v>4</v>
      </c>
      <c r="O24" s="34"/>
      <c r="P24" s="34">
        <f t="shared" si="1"/>
        <v>4</v>
      </c>
    </row>
    <row r="25" spans="1:16" x14ac:dyDescent="0.25">
      <c r="A25" s="311"/>
      <c r="B25" s="34" t="s">
        <v>254</v>
      </c>
      <c r="C25" s="214" t="s">
        <v>272</v>
      </c>
      <c r="D25" s="152" t="s">
        <v>273</v>
      </c>
      <c r="E25" s="34">
        <v>8</v>
      </c>
      <c r="F25" s="34"/>
      <c r="G25" s="34">
        <f t="shared" si="0"/>
        <v>8</v>
      </c>
      <c r="H25" s="161"/>
      <c r="I25" s="161"/>
      <c r="J25" s="311"/>
      <c r="K25" s="34" t="s">
        <v>253</v>
      </c>
      <c r="L25" s="215">
        <v>144000</v>
      </c>
      <c r="M25" s="34">
        <v>4200</v>
      </c>
      <c r="N25" s="34">
        <v>4</v>
      </c>
      <c r="O25" s="34"/>
      <c r="P25" s="34">
        <f t="shared" si="1"/>
        <v>4</v>
      </c>
    </row>
    <row r="26" spans="1:16" x14ac:dyDescent="0.25">
      <c r="A26" s="311"/>
      <c r="B26" s="34" t="s">
        <v>113</v>
      </c>
      <c r="C26" s="214" t="s">
        <v>272</v>
      </c>
      <c r="D26" s="152" t="s">
        <v>273</v>
      </c>
      <c r="E26" s="34">
        <v>12</v>
      </c>
      <c r="F26" s="34">
        <f>2+1</f>
        <v>3</v>
      </c>
      <c r="G26" s="34">
        <f t="shared" si="0"/>
        <v>9</v>
      </c>
      <c r="H26" s="161"/>
      <c r="I26" s="161"/>
      <c r="J26" s="311"/>
      <c r="K26" s="34" t="s">
        <v>254</v>
      </c>
      <c r="L26" s="215">
        <v>72000</v>
      </c>
      <c r="M26" s="34">
        <v>3200</v>
      </c>
      <c r="N26" s="34">
        <v>2</v>
      </c>
      <c r="O26" s="34"/>
      <c r="P26" s="34">
        <f t="shared" si="1"/>
        <v>2</v>
      </c>
    </row>
    <row r="27" spans="1:16" x14ac:dyDescent="0.25">
      <c r="A27" s="311"/>
      <c r="B27" s="34" t="s">
        <v>111</v>
      </c>
      <c r="C27" s="214" t="s">
        <v>274</v>
      </c>
      <c r="D27" s="152" t="s">
        <v>275</v>
      </c>
      <c r="E27" s="34">
        <v>6</v>
      </c>
      <c r="F27" s="34">
        <f>5+1</f>
        <v>6</v>
      </c>
      <c r="G27" s="34">
        <f t="shared" si="0"/>
        <v>0</v>
      </c>
      <c r="H27" s="161"/>
      <c r="I27" s="161"/>
      <c r="J27" s="311"/>
      <c r="K27" s="34" t="s">
        <v>113</v>
      </c>
      <c r="L27" s="215">
        <v>72000</v>
      </c>
      <c r="M27" s="34">
        <v>3200</v>
      </c>
      <c r="N27" s="34">
        <v>1</v>
      </c>
      <c r="O27" s="34">
        <v>1</v>
      </c>
      <c r="P27" s="34">
        <f t="shared" si="1"/>
        <v>0</v>
      </c>
    </row>
    <row r="28" spans="1:16" x14ac:dyDescent="0.25">
      <c r="A28" s="311"/>
      <c r="B28" s="34" t="s">
        <v>110</v>
      </c>
      <c r="C28" s="214" t="s">
        <v>276</v>
      </c>
      <c r="D28" s="152" t="s">
        <v>277</v>
      </c>
      <c r="E28" s="34">
        <v>15</v>
      </c>
      <c r="F28" s="34">
        <f>9+2</f>
        <v>11</v>
      </c>
      <c r="G28" s="34">
        <f t="shared" si="0"/>
        <v>4</v>
      </c>
      <c r="H28" s="161"/>
      <c r="I28" s="161"/>
      <c r="J28" s="311"/>
      <c r="K28" s="34" t="s">
        <v>111</v>
      </c>
      <c r="L28" s="215">
        <v>57600</v>
      </c>
      <c r="M28" s="34">
        <v>3500</v>
      </c>
      <c r="N28" s="34">
        <v>2</v>
      </c>
      <c r="O28" s="34">
        <v>2</v>
      </c>
      <c r="P28" s="34">
        <f t="shared" si="1"/>
        <v>0</v>
      </c>
    </row>
    <row r="29" spans="1:16" x14ac:dyDescent="0.25">
      <c r="A29" s="311"/>
      <c r="B29" s="34" t="s">
        <v>114</v>
      </c>
      <c r="C29" s="214" t="s">
        <v>278</v>
      </c>
      <c r="D29" s="152" t="s">
        <v>279</v>
      </c>
      <c r="E29" s="34">
        <v>9</v>
      </c>
      <c r="F29" s="34">
        <v>9</v>
      </c>
      <c r="G29" s="34">
        <f t="shared" si="0"/>
        <v>0</v>
      </c>
      <c r="H29" s="161"/>
      <c r="I29" s="161"/>
      <c r="J29" s="311"/>
      <c r="K29" s="34" t="s">
        <v>114</v>
      </c>
      <c r="L29" s="215">
        <v>14400</v>
      </c>
      <c r="M29" s="34">
        <v>2500</v>
      </c>
      <c r="N29" s="34">
        <v>2</v>
      </c>
      <c r="O29" s="34">
        <v>2</v>
      </c>
      <c r="P29" s="34">
        <f t="shared" si="1"/>
        <v>0</v>
      </c>
    </row>
    <row r="30" spans="1:16" x14ac:dyDescent="0.25">
      <c r="A30" s="311"/>
      <c r="B30" s="34" t="s">
        <v>255</v>
      </c>
      <c r="C30" s="214" t="s">
        <v>280</v>
      </c>
      <c r="D30" s="152" t="s">
        <v>281</v>
      </c>
      <c r="E30" s="34">
        <v>2</v>
      </c>
      <c r="F30" s="34">
        <f>1+1</f>
        <v>2</v>
      </c>
      <c r="G30" s="34">
        <f t="shared" si="0"/>
        <v>0</v>
      </c>
      <c r="H30" s="161"/>
      <c r="I30" s="161"/>
      <c r="J30" s="311"/>
      <c r="K30" s="34" t="s">
        <v>257</v>
      </c>
      <c r="L30" s="215">
        <v>5760</v>
      </c>
      <c r="M30" s="34">
        <v>2700</v>
      </c>
      <c r="N30" s="34">
        <v>1</v>
      </c>
      <c r="O30" s="34">
        <v>1</v>
      </c>
      <c r="P30" s="34">
        <f t="shared" si="1"/>
        <v>0</v>
      </c>
    </row>
    <row r="31" spans="1:16" x14ac:dyDescent="0.25">
      <c r="A31" s="311"/>
      <c r="B31" s="34" t="s">
        <v>257</v>
      </c>
      <c r="C31" s="214" t="s">
        <v>280</v>
      </c>
      <c r="D31" s="152" t="s">
        <v>282</v>
      </c>
      <c r="E31" s="34">
        <v>7</v>
      </c>
      <c r="F31" s="34">
        <f>2+2</f>
        <v>4</v>
      </c>
      <c r="G31" s="34">
        <f t="shared" si="0"/>
        <v>3</v>
      </c>
      <c r="H31" s="161"/>
      <c r="I31" s="161"/>
      <c r="J31" s="161"/>
      <c r="K31" s="161"/>
      <c r="L31" s="161"/>
      <c r="M31" s="161"/>
      <c r="N31" s="161"/>
      <c r="O31" s="161"/>
      <c r="P31" s="161"/>
    </row>
    <row r="32" spans="1:16" x14ac:dyDescent="0.25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</row>
    <row r="33" spans="1:16" x14ac:dyDescent="0.25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</row>
    <row r="34" spans="1:16" x14ac:dyDescent="0.25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</row>
    <row r="35" spans="1:16" ht="28.5" x14ac:dyDescent="0.25">
      <c r="A35" s="212" t="s">
        <v>16</v>
      </c>
      <c r="B35" s="212" t="s">
        <v>17</v>
      </c>
      <c r="C35" s="38" t="s">
        <v>267</v>
      </c>
      <c r="D35" s="212" t="s">
        <v>109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</row>
    <row r="36" spans="1:16" x14ac:dyDescent="0.25">
      <c r="A36" s="320" t="s">
        <v>97</v>
      </c>
      <c r="B36" s="34" t="s">
        <v>253</v>
      </c>
      <c r="C36" s="214" t="s">
        <v>268</v>
      </c>
      <c r="D36" s="152" t="s">
        <v>271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</row>
    <row r="37" spans="1:16" x14ac:dyDescent="0.25">
      <c r="A37" s="305"/>
      <c r="B37" s="34" t="s">
        <v>254</v>
      </c>
      <c r="C37" s="214" t="s">
        <v>272</v>
      </c>
      <c r="D37" s="152" t="s">
        <v>273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</row>
    <row r="38" spans="1:16" x14ac:dyDescent="0.25">
      <c r="A38" s="305"/>
      <c r="B38" s="34" t="s">
        <v>113</v>
      </c>
      <c r="C38" s="214" t="s">
        <v>272</v>
      </c>
      <c r="D38" s="152" t="s">
        <v>273</v>
      </c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</row>
    <row r="39" spans="1:16" x14ac:dyDescent="0.25">
      <c r="A39" s="305"/>
      <c r="B39" s="34" t="s">
        <v>111</v>
      </c>
      <c r="C39" s="214" t="s">
        <v>274</v>
      </c>
      <c r="D39" s="152" t="s">
        <v>275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</row>
    <row r="40" spans="1:16" x14ac:dyDescent="0.25">
      <c r="A40" s="305"/>
      <c r="B40" s="34" t="s">
        <v>110</v>
      </c>
      <c r="C40" s="214" t="s">
        <v>276</v>
      </c>
      <c r="D40" s="152" t="s">
        <v>277</v>
      </c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</row>
    <row r="41" spans="1:16" x14ac:dyDescent="0.25">
      <c r="A41" s="305"/>
      <c r="B41" s="34" t="s">
        <v>114</v>
      </c>
      <c r="C41" s="214" t="s">
        <v>278</v>
      </c>
      <c r="D41" s="152" t="s">
        <v>279</v>
      </c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</row>
    <row r="42" spans="1:16" x14ac:dyDescent="0.25">
      <c r="A42" s="305"/>
      <c r="B42" s="34" t="s">
        <v>255</v>
      </c>
      <c r="C42" s="152" t="s">
        <v>280</v>
      </c>
      <c r="D42" s="152" t="s">
        <v>284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</row>
    <row r="43" spans="1:16" x14ac:dyDescent="0.25">
      <c r="A43" s="305"/>
      <c r="B43" s="34" t="s">
        <v>257</v>
      </c>
      <c r="C43" s="152" t="s">
        <v>289</v>
      </c>
      <c r="D43" s="152" t="s">
        <v>282</v>
      </c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</row>
    <row r="44" spans="1:16" x14ac:dyDescent="0.25">
      <c r="A44" s="319"/>
      <c r="B44" s="34" t="s">
        <v>256</v>
      </c>
      <c r="C44" s="152" t="s">
        <v>289</v>
      </c>
      <c r="D44" s="152" t="s">
        <v>282</v>
      </c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</row>
    <row r="45" spans="1:16" x14ac:dyDescent="0.25">
      <c r="A45" s="173"/>
      <c r="B45" s="161"/>
      <c r="C45" s="173"/>
      <c r="D45" s="173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</row>
    <row r="46" spans="1:16" x14ac:dyDescent="0.25">
      <c r="A46" s="173"/>
      <c r="B46" s="161"/>
      <c r="C46" s="173"/>
      <c r="D46" s="173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</row>
    <row r="47" spans="1:16" ht="28.5" x14ac:dyDescent="0.25">
      <c r="A47" s="212" t="s">
        <v>16</v>
      </c>
      <c r="B47" s="212" t="s">
        <v>17</v>
      </c>
      <c r="C47" s="38" t="s">
        <v>267</v>
      </c>
      <c r="D47" s="212" t="s">
        <v>109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</row>
    <row r="48" spans="1:16" x14ac:dyDescent="0.25">
      <c r="A48" s="319" t="s">
        <v>62</v>
      </c>
      <c r="B48" s="42" t="s">
        <v>252</v>
      </c>
      <c r="C48" s="153" t="s">
        <v>268</v>
      </c>
      <c r="D48" s="153" t="s">
        <v>283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</row>
    <row r="49" spans="1:16" x14ac:dyDescent="0.25">
      <c r="A49" s="311"/>
      <c r="B49" s="34" t="s">
        <v>253</v>
      </c>
      <c r="C49" s="152" t="s">
        <v>268</v>
      </c>
      <c r="D49" s="152" t="s">
        <v>283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</row>
    <row r="50" spans="1:16" x14ac:dyDescent="0.25">
      <c r="A50" s="311"/>
      <c r="B50" s="34" t="s">
        <v>254</v>
      </c>
      <c r="C50" s="152" t="s">
        <v>272</v>
      </c>
      <c r="D50" s="152" t="s">
        <v>285</v>
      </c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</row>
    <row r="51" spans="1:16" x14ac:dyDescent="0.25">
      <c r="A51" s="311"/>
      <c r="B51" s="34" t="s">
        <v>113</v>
      </c>
      <c r="C51" s="152" t="s">
        <v>272</v>
      </c>
      <c r="D51" s="152" t="s">
        <v>286</v>
      </c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</row>
    <row r="52" spans="1:16" x14ac:dyDescent="0.25">
      <c r="A52" s="311"/>
      <c r="B52" s="34" t="s">
        <v>111</v>
      </c>
      <c r="C52" s="152" t="s">
        <v>274</v>
      </c>
      <c r="D52" s="152" t="s">
        <v>287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</row>
    <row r="53" spans="1:16" x14ac:dyDescent="0.25">
      <c r="A53" s="311"/>
      <c r="B53" s="34" t="s">
        <v>110</v>
      </c>
      <c r="C53" s="152" t="s">
        <v>276</v>
      </c>
      <c r="D53" s="152" t="s">
        <v>288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</row>
    <row r="54" spans="1:16" x14ac:dyDescent="0.25">
      <c r="A54" s="311"/>
      <c r="B54" s="34" t="s">
        <v>114</v>
      </c>
      <c r="C54" s="152" t="s">
        <v>278</v>
      </c>
      <c r="D54" s="152" t="s">
        <v>291</v>
      </c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</row>
    <row r="55" spans="1:16" x14ac:dyDescent="0.25">
      <c r="A55" s="311"/>
      <c r="B55" s="34" t="s">
        <v>255</v>
      </c>
      <c r="C55" s="152" t="s">
        <v>280</v>
      </c>
      <c r="D55" s="152" t="s">
        <v>288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</row>
    <row r="56" spans="1:16" x14ac:dyDescent="0.25">
      <c r="A56" s="311"/>
      <c r="B56" s="34" t="s">
        <v>257</v>
      </c>
      <c r="C56" s="152" t="s">
        <v>289</v>
      </c>
      <c r="D56" s="152" t="s">
        <v>290</v>
      </c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</row>
    <row r="57" spans="1:16" x14ac:dyDescent="0.25">
      <c r="A57" s="311"/>
      <c r="B57" s="34" t="s">
        <v>256</v>
      </c>
      <c r="C57" s="152" t="s">
        <v>289</v>
      </c>
      <c r="D57" s="152" t="s">
        <v>290</v>
      </c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</row>
    <row r="58" spans="1:16" x14ac:dyDescent="0.25">
      <c r="A58" s="216"/>
      <c r="B58" s="217"/>
      <c r="C58" s="216"/>
      <c r="D58" s="216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</row>
    <row r="59" spans="1:16" x14ac:dyDescent="0.25">
      <c r="A59" s="173"/>
      <c r="B59" s="161"/>
      <c r="C59" s="173"/>
      <c r="D59" s="173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</row>
    <row r="60" spans="1:16" ht="28.5" x14ac:dyDescent="0.25">
      <c r="A60" s="212" t="s">
        <v>16</v>
      </c>
      <c r="B60" s="212" t="s">
        <v>17</v>
      </c>
      <c r="C60" s="38" t="s">
        <v>267</v>
      </c>
      <c r="D60" s="212" t="s">
        <v>109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</row>
    <row r="61" spans="1:16" x14ac:dyDescent="0.25">
      <c r="A61" s="356" t="s">
        <v>292</v>
      </c>
      <c r="B61" s="34" t="s">
        <v>112</v>
      </c>
      <c r="C61" s="214" t="s">
        <v>268</v>
      </c>
      <c r="D61" s="152" t="s">
        <v>270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</row>
    <row r="62" spans="1:16" x14ac:dyDescent="0.25">
      <c r="A62" s="308"/>
      <c r="B62" s="34" t="s">
        <v>252</v>
      </c>
      <c r="C62" s="214" t="s">
        <v>268</v>
      </c>
      <c r="D62" s="152" t="s">
        <v>269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</row>
    <row r="63" spans="1:16" x14ac:dyDescent="0.25">
      <c r="A63" s="308"/>
      <c r="B63" s="34" t="s">
        <v>253</v>
      </c>
      <c r="C63" s="214" t="s">
        <v>268</v>
      </c>
      <c r="D63" s="152" t="s">
        <v>271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</row>
    <row r="64" spans="1:16" x14ac:dyDescent="0.25">
      <c r="A64" s="308"/>
      <c r="B64" s="34" t="s">
        <v>254</v>
      </c>
      <c r="C64" s="214" t="s">
        <v>272</v>
      </c>
      <c r="D64" s="152" t="s">
        <v>273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</row>
    <row r="65" spans="1:16" x14ac:dyDescent="0.25">
      <c r="A65" s="308"/>
      <c r="B65" s="34" t="s">
        <v>113</v>
      </c>
      <c r="C65" s="214" t="s">
        <v>272</v>
      </c>
      <c r="D65" s="152" t="s">
        <v>273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</row>
    <row r="66" spans="1:16" x14ac:dyDescent="0.25">
      <c r="A66" s="308"/>
      <c r="B66" s="34" t="s">
        <v>111</v>
      </c>
      <c r="C66" s="214" t="s">
        <v>274</v>
      </c>
      <c r="D66" s="152" t="s">
        <v>275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</row>
    <row r="67" spans="1:16" x14ac:dyDescent="0.25">
      <c r="A67" s="308"/>
      <c r="B67" s="34" t="s">
        <v>110</v>
      </c>
      <c r="C67" s="214" t="s">
        <v>276</v>
      </c>
      <c r="D67" s="152" t="s">
        <v>277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</row>
    <row r="68" spans="1:16" x14ac:dyDescent="0.25">
      <c r="A68" s="308"/>
      <c r="B68" s="34" t="s">
        <v>114</v>
      </c>
      <c r="C68" s="214" t="s">
        <v>278</v>
      </c>
      <c r="D68" s="152" t="s">
        <v>279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</row>
    <row r="69" spans="1:16" x14ac:dyDescent="0.25">
      <c r="A69" s="308"/>
      <c r="B69" s="34" t="s">
        <v>255</v>
      </c>
      <c r="C69" s="214" t="s">
        <v>280</v>
      </c>
      <c r="D69" s="152" t="s">
        <v>281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</row>
    <row r="70" spans="1:16" x14ac:dyDescent="0.25">
      <c r="A70" s="357"/>
      <c r="B70" s="34" t="s">
        <v>257</v>
      </c>
      <c r="C70" s="214" t="s">
        <v>280</v>
      </c>
      <c r="D70" s="152" t="s">
        <v>282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</row>
    <row r="71" spans="1:16" x14ac:dyDescent="0.25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</row>
    <row r="72" spans="1:16" x14ac:dyDescent="0.25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</row>
    <row r="73" spans="1:16" x14ac:dyDescent="0.25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</row>
    <row r="74" spans="1:16" x14ac:dyDescent="0.25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</row>
    <row r="75" spans="1:16" x14ac:dyDescent="0.2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</row>
    <row r="76" spans="1:16" x14ac:dyDescent="0.25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</row>
    <row r="77" spans="1:16" x14ac:dyDescent="0.25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</row>
    <row r="78" spans="1:16" x14ac:dyDescent="0.25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</row>
    <row r="79" spans="1:16" x14ac:dyDescent="0.25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</row>
    <row r="80" spans="1:16" x14ac:dyDescent="0.25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</row>
    <row r="81" spans="1:16" x14ac:dyDescent="0.25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</row>
  </sheetData>
  <mergeCells count="10">
    <mergeCell ref="J3:J13"/>
    <mergeCell ref="J14:J22"/>
    <mergeCell ref="J23:J30"/>
    <mergeCell ref="A48:A57"/>
    <mergeCell ref="A61:A70"/>
    <mergeCell ref="A1:F1"/>
    <mergeCell ref="A3:A12"/>
    <mergeCell ref="A13:A21"/>
    <mergeCell ref="A22:A31"/>
    <mergeCell ref="A36:A4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16 граней горячие</vt:lpstr>
      <vt:lpstr>16 граней горячие АВ</vt:lpstr>
      <vt:lpstr>16 граней холодные</vt:lpstr>
      <vt:lpstr>16 граней холод АВ</vt:lpstr>
      <vt:lpstr>12 граней горячие</vt:lpstr>
      <vt:lpstr>12 граней горяч (mix)</vt:lpstr>
      <vt:lpstr>12 граней горячие АВ</vt:lpstr>
      <vt:lpstr>12 граней холодные</vt:lpstr>
      <vt:lpstr>12 граней холод (mix)</vt:lpstr>
      <vt:lpstr>12 граней холод АВ</vt:lpstr>
      <vt:lpstr>пришивные (K9)</vt:lpstr>
      <vt:lpstr>K9 (премиум)</vt:lpstr>
      <vt:lpstr>K9 (БРАК)</vt:lpstr>
      <vt:lpstr>в цапах</vt:lpstr>
      <vt:lpstr>всякое разное</vt:lpstr>
      <vt:lpstr>боа, бахрома</vt:lpstr>
      <vt:lpstr>большие пакеты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Lenok</dc:creator>
  <cp:lastModifiedBy>Alexandr</cp:lastModifiedBy>
  <cp:lastPrinted>2026-04-22T12:43:34Z</cp:lastPrinted>
  <dcterms:created xsi:type="dcterms:W3CDTF">2026-01-31T06:38:18Z</dcterms:created>
  <dcterms:modified xsi:type="dcterms:W3CDTF">2026-07-07T03:41:58Z</dcterms:modified>
</cp:coreProperties>
</file>