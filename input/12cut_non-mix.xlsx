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холод (mix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2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49" fontId="3" fillId="0" borderId="46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49" fontId="3" fillId="0" borderId="36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3" fillId="0" borderId="5" applyAlignment="1" pivotButton="0" quotePrefix="0" xfId="36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L28" sqref="L28"/>
    </sheetView>
  </sheetViews>
  <sheetFormatPr baseColWidth="8" defaultRowHeight="15"/>
  <cols>
    <col width="35.7109375" bestFit="1" customWidth="1" min="9" max="9"/>
  </cols>
  <sheetData>
    <row r="1" ht="42.75" customHeight="1">
      <c r="A1" s="38" t="inlineStr">
        <is>
          <t>цвет</t>
        </is>
      </c>
      <c r="B1" s="38" t="inlineStr">
        <is>
          <t>размер</t>
        </is>
      </c>
      <c r="C1" s="38" t="inlineStr">
        <is>
          <t>штук в пачке</t>
        </is>
      </c>
      <c r="D1" s="38" t="inlineStr">
        <is>
          <t>цена продажи в руб</t>
        </is>
      </c>
      <c r="E1" s="38" t="inlineStr">
        <is>
          <t>всего шт пришло</t>
        </is>
      </c>
      <c r="F1" s="38" t="inlineStr">
        <is>
          <t>продано</t>
        </is>
      </c>
      <c r="G1" s="38" t="inlineStr">
        <is>
          <t>остаток на складе</t>
        </is>
      </c>
      <c r="H1" s="38" t="inlineStr">
        <is>
          <t>код цвета</t>
        </is>
      </c>
      <c r="I1" s="38" t="inlineStr">
        <is>
          <t>артикул</t>
        </is>
      </c>
    </row>
    <row r="2" ht="30" customHeight="1">
      <c r="A2" s="314" t="inlineStr">
        <is>
          <t>NEW AB</t>
        </is>
      </c>
      <c r="B2" s="314" t="inlineStr">
        <is>
          <t>mix</t>
        </is>
      </c>
      <c r="C2" s="314" t="inlineStr">
        <is>
          <t>1000-1200</t>
        </is>
      </c>
      <c r="D2" s="314" t="n">
        <v>700</v>
      </c>
      <c r="E2" s="314" t="n">
        <v>17</v>
      </c>
      <c r="F2" s="314" t="n">
        <v>1</v>
      </c>
      <c r="G2" s="314">
        <f>E2-F2</f>
        <v/>
      </c>
      <c r="H2" s="147" t="n">
        <v>112</v>
      </c>
      <c r="I2" s="3" t="inlineStr">
        <is>
          <t>12cut/NEW AB/mix/Non/112</t>
        </is>
      </c>
    </row>
    <row r="3">
      <c r="A3" s="311" t="inlineStr">
        <is>
          <t xml:space="preserve">LT.SIAM </t>
        </is>
      </c>
      <c r="B3" s="311" t="inlineStr">
        <is>
          <t>mix</t>
        </is>
      </c>
      <c r="C3" s="311" t="inlineStr">
        <is>
          <t>1000-1200</t>
        </is>
      </c>
      <c r="D3" s="311" t="n">
        <v>300</v>
      </c>
      <c r="E3" s="311">
        <f>14+6</f>
        <v/>
      </c>
      <c r="F3" s="311">
        <f>1+1+1</f>
        <v/>
      </c>
      <c r="G3" s="311">
        <f>E3-F3</f>
        <v/>
      </c>
      <c r="H3" s="147" t="inlineStr">
        <is>
          <t>033</t>
        </is>
      </c>
      <c r="I3" s="3" t="inlineStr">
        <is>
          <t>12cut/Lt. Siam/mix/Non/033</t>
        </is>
      </c>
    </row>
    <row r="4">
      <c r="A4" s="311" t="inlineStr">
        <is>
          <t>Siam</t>
        </is>
      </c>
      <c r="B4" s="311" t="inlineStr">
        <is>
          <t>mix</t>
        </is>
      </c>
      <c r="C4" s="311" t="inlineStr">
        <is>
          <t>1000-1200</t>
        </is>
      </c>
      <c r="D4" s="311" t="n">
        <v>300</v>
      </c>
      <c r="E4" s="311" t="n">
        <v>7</v>
      </c>
      <c r="F4" s="311">
        <f>1+1</f>
        <v/>
      </c>
      <c r="G4" s="311">
        <f>E4-F4</f>
        <v/>
      </c>
      <c r="H4" s="147" t="inlineStr">
        <is>
          <t>033+</t>
        </is>
      </c>
      <c r="I4" s="3" t="inlineStr">
        <is>
          <t>12cut/Siam/mix/Non/033+</t>
        </is>
      </c>
    </row>
    <row r="5">
      <c r="A5" s="311" t="inlineStr">
        <is>
          <t>Dark Siam</t>
        </is>
      </c>
      <c r="B5" s="311" t="inlineStr">
        <is>
          <t>mix</t>
        </is>
      </c>
      <c r="C5" s="311" t="inlineStr">
        <is>
          <t>1000-1200</t>
        </is>
      </c>
      <c r="D5" s="311" t="n">
        <v>300</v>
      </c>
      <c r="E5" s="311" t="n">
        <v>9</v>
      </c>
      <c r="F5" s="311" t="n">
        <v>1</v>
      </c>
      <c r="G5" s="311">
        <f>E5-F5</f>
        <v/>
      </c>
      <c r="H5" s="147" t="inlineStr">
        <is>
          <t>034</t>
        </is>
      </c>
      <c r="I5" s="3" t="inlineStr">
        <is>
          <t>12cut/Dark Siam/mix/Non/034</t>
        </is>
      </c>
    </row>
    <row r="6">
      <c r="A6" s="311" t="inlineStr">
        <is>
          <t>HYACINTH</t>
        </is>
      </c>
      <c r="B6" s="311" t="inlineStr">
        <is>
          <t>mix</t>
        </is>
      </c>
      <c r="C6" s="311" t="inlineStr">
        <is>
          <t>1000-1200</t>
        </is>
      </c>
      <c r="D6" s="311" t="n">
        <v>400</v>
      </c>
      <c r="E6" s="311">
        <f>5+7</f>
        <v/>
      </c>
      <c r="F6" s="311" t="n">
        <v>2</v>
      </c>
      <c r="G6" s="311">
        <f>E6-F6</f>
        <v/>
      </c>
      <c r="H6" s="147" t="inlineStr">
        <is>
          <t>031</t>
        </is>
      </c>
      <c r="I6" s="3" t="inlineStr">
        <is>
          <t>12cut/Hyacinth/mix/Non/031</t>
        </is>
      </c>
    </row>
    <row r="7">
      <c r="A7" s="311" t="inlineStr">
        <is>
          <t xml:space="preserve">Sun Shine </t>
        </is>
      </c>
      <c r="B7" s="311" t="inlineStr">
        <is>
          <t>mix</t>
        </is>
      </c>
      <c r="C7" s="311" t="inlineStr">
        <is>
          <t>1000-1200</t>
        </is>
      </c>
      <c r="D7" s="311" t="n">
        <v>300</v>
      </c>
      <c r="E7" s="311" t="n">
        <v>2</v>
      </c>
      <c r="F7" s="311" t="n">
        <v>1</v>
      </c>
      <c r="G7" s="311">
        <f>E7-F7</f>
        <v/>
      </c>
      <c r="H7" s="147" t="inlineStr">
        <is>
          <t>066</t>
        </is>
      </c>
      <c r="I7" s="3" t="inlineStr">
        <is>
          <t>12cut/Citrine Shimmer/mix/Non/066</t>
        </is>
      </c>
    </row>
    <row r="8">
      <c r="A8" s="311" t="inlineStr">
        <is>
          <t>JET BLACK</t>
        </is>
      </c>
      <c r="B8" s="311" t="inlineStr">
        <is>
          <t>mix</t>
        </is>
      </c>
      <c r="C8" s="311" t="inlineStr">
        <is>
          <t>1000-1200</t>
        </is>
      </c>
      <c r="D8" s="311" t="n">
        <v>350</v>
      </c>
      <c r="E8" s="311">
        <f>11+2+9</f>
        <v/>
      </c>
      <c r="F8" s="311">
        <f>1+1</f>
        <v/>
      </c>
      <c r="G8" s="311">
        <f>E8-F8</f>
        <v/>
      </c>
      <c r="H8" s="147" t="inlineStr">
        <is>
          <t>002</t>
        </is>
      </c>
      <c r="I8" s="3" t="inlineStr">
        <is>
          <t>12cut/Jet Black/mix/Non/002</t>
        </is>
      </c>
    </row>
    <row r="9">
      <c r="A9" s="311" t="inlineStr">
        <is>
          <t>GREEN ZIRCON</t>
        </is>
      </c>
      <c r="B9" s="311" t="inlineStr">
        <is>
          <t>mix</t>
        </is>
      </c>
      <c r="C9" s="311" t="inlineStr">
        <is>
          <t>1000-1200</t>
        </is>
      </c>
      <c r="D9" s="311" t="n">
        <v>400</v>
      </c>
      <c r="E9" s="311">
        <f>7+1</f>
        <v/>
      </c>
      <c r="F9" s="311" t="n">
        <v>2</v>
      </c>
      <c r="G9" s="311">
        <f>E9-F9</f>
        <v/>
      </c>
      <c r="H9" s="147" t="inlineStr">
        <is>
          <t>015</t>
        </is>
      </c>
      <c r="I9" s="3" t="inlineStr">
        <is>
          <t>12cut/Green Zircon/mix/Non/015</t>
        </is>
      </c>
    </row>
    <row r="10">
      <c r="A10" s="311" t="inlineStr">
        <is>
          <t>SAPPHIRE</t>
        </is>
      </c>
      <c r="B10" s="311" t="inlineStr">
        <is>
          <t>mix</t>
        </is>
      </c>
      <c r="C10" s="311" t="inlineStr">
        <is>
          <t>1000-1200</t>
        </is>
      </c>
      <c r="D10" s="311" t="n">
        <v>400</v>
      </c>
      <c r="E10" s="311">
        <f>3+11</f>
        <v/>
      </c>
      <c r="F10" s="311" t="n">
        <v>1</v>
      </c>
      <c r="G10" s="311">
        <f>E10-F10</f>
        <v/>
      </c>
      <c r="H10" s="147" t="inlineStr">
        <is>
          <t>013</t>
        </is>
      </c>
      <c r="I10" s="3" t="inlineStr">
        <is>
          <t>12cut/Sapphire/mix/Non/013</t>
        </is>
      </c>
    </row>
    <row r="11">
      <c r="A11" s="311" t="inlineStr">
        <is>
          <t>Lt. SAPPHIRE</t>
        </is>
      </c>
      <c r="B11" s="311" t="inlineStr">
        <is>
          <t>mix</t>
        </is>
      </c>
      <c r="C11" s="311" t="inlineStr">
        <is>
          <t>1000-1200</t>
        </is>
      </c>
      <c r="D11" s="311" t="n">
        <v>400</v>
      </c>
      <c r="E11" s="311">
        <f>7+4</f>
        <v/>
      </c>
      <c r="F11" s="311">
        <f>1+2</f>
        <v/>
      </c>
      <c r="G11" s="311">
        <f>E11-F11</f>
        <v/>
      </c>
      <c r="H11" s="147" t="inlineStr">
        <is>
          <t>011</t>
        </is>
      </c>
      <c r="I11" s="3" t="inlineStr">
        <is>
          <t>12cut/Lt.Sapphire/mix/Non/011</t>
        </is>
      </c>
    </row>
    <row r="12">
      <c r="A12" s="311" t="inlineStr">
        <is>
          <t>Montana</t>
        </is>
      </c>
      <c r="B12" s="311" t="inlineStr">
        <is>
          <t>mix</t>
        </is>
      </c>
      <c r="C12" s="311" t="inlineStr">
        <is>
          <t>1000-1200</t>
        </is>
      </c>
      <c r="D12" s="311" t="n">
        <v>400</v>
      </c>
      <c r="E12" s="311" t="n">
        <v>1</v>
      </c>
      <c r="F12" s="311" t="n"/>
      <c r="G12" s="311">
        <f>E12-F12</f>
        <v/>
      </c>
      <c r="H12" s="147" t="inlineStr">
        <is>
          <t>018</t>
        </is>
      </c>
      <c r="I12" s="3" t="inlineStr">
        <is>
          <t>12cut/Montana/mix/Non/018</t>
        </is>
      </c>
    </row>
    <row r="13">
      <c r="A13" s="311" t="inlineStr">
        <is>
          <t>AQUAMARINE</t>
        </is>
      </c>
      <c r="B13" s="311" t="inlineStr">
        <is>
          <t>mix</t>
        </is>
      </c>
      <c r="C13" s="311" t="inlineStr">
        <is>
          <t>1000-1200</t>
        </is>
      </c>
      <c r="D13" s="311" t="n">
        <v>400</v>
      </c>
      <c r="E13" s="311" t="n">
        <v>10</v>
      </c>
      <c r="F13" s="311">
        <f>2+1</f>
        <v/>
      </c>
      <c r="G13" s="311">
        <f>E13-F13</f>
        <v/>
      </c>
      <c r="H13" s="147" t="inlineStr">
        <is>
          <t>016</t>
        </is>
      </c>
      <c r="I13" s="3" t="inlineStr">
        <is>
          <t>12cut/Aquamarine/mix/Non/016</t>
        </is>
      </c>
    </row>
    <row r="14" ht="30" customHeight="1">
      <c r="A14" s="174" t="inlineStr">
        <is>
          <t>Tanzanite</t>
        </is>
      </c>
      <c r="B14" s="314" t="inlineStr">
        <is>
          <t>mix</t>
        </is>
      </c>
      <c r="C14" s="314" t="inlineStr">
        <is>
          <t>1000-1200</t>
        </is>
      </c>
      <c r="D14" s="311" t="n">
        <v>400</v>
      </c>
      <c r="E14" s="311" t="n">
        <v>8</v>
      </c>
      <c r="F14" s="311" t="n">
        <v>1</v>
      </c>
      <c r="G14" s="311">
        <f>E14-F14</f>
        <v/>
      </c>
      <c r="H14" s="147" t="inlineStr">
        <is>
          <t>028</t>
        </is>
      </c>
      <c r="I14" s="3" t="inlineStr">
        <is>
          <t>12cut/Tanzanite/mix/Non/028</t>
        </is>
      </c>
    </row>
    <row r="15">
      <c r="A15" s="311" t="inlineStr">
        <is>
          <t>MOCHA YELLOW</t>
        </is>
      </c>
      <c r="B15" s="311" t="inlineStr">
        <is>
          <t>mix</t>
        </is>
      </c>
      <c r="C15" s="311" t="inlineStr">
        <is>
          <t>1000-1200</t>
        </is>
      </c>
      <c r="D15" s="311" t="n">
        <v>600</v>
      </c>
      <c r="E15" s="311" t="n">
        <v>6</v>
      </c>
      <c r="F15" s="311" t="n"/>
      <c r="G15" s="311">
        <f>E15-F15</f>
        <v/>
      </c>
      <c r="H15" s="147" t="inlineStr">
        <is>
          <t>117</t>
        </is>
      </c>
      <c r="I15" s="3" t="inlineStr">
        <is>
          <t>12cut/Mocha Yellow/mix/Non/117</t>
        </is>
      </c>
    </row>
    <row r="16">
      <c r="A16" s="311" t="inlineStr">
        <is>
          <t>MOCHA  ROSE</t>
        </is>
      </c>
      <c r="B16" s="311" t="inlineStr">
        <is>
          <t>mix</t>
        </is>
      </c>
      <c r="C16" s="311" t="inlineStr">
        <is>
          <t>1000-1200</t>
        </is>
      </c>
      <c r="D16" s="311" t="n">
        <v>600</v>
      </c>
      <c r="E16" s="311" t="n">
        <v>5</v>
      </c>
      <c r="F16" s="311" t="n"/>
      <c r="G16" s="311">
        <f>E16-F16</f>
        <v/>
      </c>
      <c r="H16" s="147" t="inlineStr">
        <is>
          <t>114</t>
        </is>
      </c>
      <c r="I16" s="3" t="inlineStr">
        <is>
          <t>12cut/Mocha Rose/mix/Non/114</t>
        </is>
      </c>
    </row>
    <row r="17">
      <c r="A17" s="311" t="inlineStr">
        <is>
          <t>Lt. Rose</t>
        </is>
      </c>
      <c r="B17" s="311" t="inlineStr">
        <is>
          <t>mix</t>
        </is>
      </c>
      <c r="C17" s="311" t="inlineStr">
        <is>
          <t>1000-1200</t>
        </is>
      </c>
      <c r="D17" s="311" t="n">
        <v>900</v>
      </c>
      <c r="E17" s="311">
        <f>5+5+3</f>
        <v/>
      </c>
      <c r="F17" s="311" t="n">
        <v>1</v>
      </c>
      <c r="G17" s="311">
        <f>E17-F17</f>
        <v/>
      </c>
      <c r="H17" s="147" t="inlineStr">
        <is>
          <t>038</t>
        </is>
      </c>
      <c r="I17" s="3" t="inlineStr">
        <is>
          <t>12cut/Lt.Rose/mix/Non/038</t>
        </is>
      </c>
    </row>
    <row r="18">
      <c r="A18" s="311" t="inlineStr">
        <is>
          <t>Lt. Peach</t>
        </is>
      </c>
      <c r="B18" s="311" t="inlineStr">
        <is>
          <t>mix</t>
        </is>
      </c>
      <c r="C18" s="311" t="inlineStr">
        <is>
          <t>1000-1200</t>
        </is>
      </c>
      <c r="D18" s="311" t="n">
        <v>500</v>
      </c>
      <c r="E18" s="311" t="n">
        <v>11</v>
      </c>
      <c r="F18" s="311" t="n">
        <v>1</v>
      </c>
      <c r="G18" s="311">
        <f>E18-F18</f>
        <v/>
      </c>
      <c r="H18" s="147" t="inlineStr">
        <is>
          <t>029</t>
        </is>
      </c>
      <c r="I18" s="3" t="inlineStr">
        <is>
          <t>12cut/Lt. Peach/mix/Non/029</t>
        </is>
      </c>
    </row>
    <row r="19">
      <c r="A19" s="311" t="inlineStr">
        <is>
          <t>GOLD SHADOW</t>
        </is>
      </c>
      <c r="B19" s="311" t="inlineStr">
        <is>
          <t>mix</t>
        </is>
      </c>
      <c r="C19" s="311" t="inlineStr">
        <is>
          <t>1000-1200</t>
        </is>
      </c>
      <c r="D19" s="311" t="n">
        <v>400</v>
      </c>
      <c r="E19" s="311" t="n">
        <v>4</v>
      </c>
      <c r="F19" s="311" t="n">
        <v>1</v>
      </c>
      <c r="G19" s="311">
        <f>E19-F19</f>
        <v/>
      </c>
      <c r="H19" s="147" t="inlineStr">
        <is>
          <t>052</t>
        </is>
      </c>
      <c r="I19" s="3" t="inlineStr">
        <is>
          <t>12cut/Golden Shadow/mix/Non/052</t>
        </is>
      </c>
    </row>
    <row r="20">
      <c r="A20" s="311" t="inlineStr">
        <is>
          <t>AMETHYST</t>
        </is>
      </c>
      <c r="B20" s="311" t="inlineStr">
        <is>
          <t>mix</t>
        </is>
      </c>
      <c r="C20" s="311" t="inlineStr">
        <is>
          <t>1000-1200</t>
        </is>
      </c>
      <c r="D20" s="311" t="n">
        <v>400</v>
      </c>
      <c r="E20" s="311" t="n">
        <v>9</v>
      </c>
      <c r="F20" s="311">
        <f>1+1+2</f>
        <v/>
      </c>
      <c r="G20" s="311">
        <f>E20-F20</f>
        <v/>
      </c>
      <c r="H20" s="147" t="inlineStr">
        <is>
          <t>023</t>
        </is>
      </c>
      <c r="I20" s="3" t="inlineStr">
        <is>
          <t>12cut/Amethyst/mix/Non/023</t>
        </is>
      </c>
    </row>
    <row r="21">
      <c r="A21" s="311" t="inlineStr">
        <is>
          <t>Lt. Colorado Topaz</t>
        </is>
      </c>
      <c r="B21" s="311" t="inlineStr">
        <is>
          <t>mix</t>
        </is>
      </c>
      <c r="C21" s="311" t="inlineStr">
        <is>
          <t>1000-1200</t>
        </is>
      </c>
      <c r="D21" s="311" t="n">
        <v>400</v>
      </c>
      <c r="E21" s="311" t="n">
        <v>5</v>
      </c>
      <c r="F21" s="311" t="n"/>
      <c r="G21" s="311">
        <f>E21-F21</f>
        <v/>
      </c>
      <c r="H21" s="147" t="inlineStr">
        <is>
          <t>010</t>
        </is>
      </c>
      <c r="I21" s="3" t="inlineStr">
        <is>
          <t>12cut/Lt.Colorado Topaz/mix/Non/010</t>
        </is>
      </c>
    </row>
    <row r="22">
      <c r="A22" s="311" t="inlineStr">
        <is>
          <t>BLUE MOONLIGHT</t>
        </is>
      </c>
      <c r="B22" s="311" t="inlineStr">
        <is>
          <t>mix</t>
        </is>
      </c>
      <c r="C22" s="311" t="inlineStr">
        <is>
          <t>1000-1200</t>
        </is>
      </c>
      <c r="D22" s="311" t="n">
        <v>500</v>
      </c>
      <c r="E22" s="311" t="n">
        <v>6</v>
      </c>
      <c r="F22" s="311" t="n"/>
      <c r="G22" s="311">
        <f>E22-F22</f>
        <v/>
      </c>
      <c r="H22" s="147" t="inlineStr">
        <is>
          <t>103</t>
        </is>
      </c>
      <c r="I22" s="3" t="inlineStr">
        <is>
          <t>12cut/Blue Moonlight/mix/Non/103</t>
        </is>
      </c>
    </row>
    <row r="23">
      <c r="A23" s="311" t="inlineStr">
        <is>
          <t>TOPAZ</t>
        </is>
      </c>
      <c r="B23" s="311" t="inlineStr">
        <is>
          <t>mix</t>
        </is>
      </c>
      <c r="C23" s="311" t="inlineStr">
        <is>
          <t>1000-1200</t>
        </is>
      </c>
      <c r="D23" s="311" t="n">
        <v>400</v>
      </c>
      <c r="E23" s="311">
        <f>3+6+7</f>
        <v/>
      </c>
      <c r="F23" s="311" t="n"/>
      <c r="G23" s="311">
        <f>E23-F23</f>
        <v/>
      </c>
      <c r="H23" s="147" t="inlineStr">
        <is>
          <t>008</t>
        </is>
      </c>
      <c r="I23" s="3" t="inlineStr">
        <is>
          <t>12cut/Topaz/SS3/mix/008</t>
        </is>
      </c>
    </row>
    <row r="24">
      <c r="A24" s="311" t="inlineStr">
        <is>
          <t>SMOKED TOPAZ</t>
        </is>
      </c>
      <c r="B24" s="311" t="inlineStr">
        <is>
          <t>mix</t>
        </is>
      </c>
      <c r="C24" s="311" t="inlineStr">
        <is>
          <t>1000-1200</t>
        </is>
      </c>
      <c r="D24" s="311" t="n">
        <v>400</v>
      </c>
      <c r="E24" s="311" t="n">
        <v>19</v>
      </c>
      <c r="F24" s="311" t="n">
        <v>1</v>
      </c>
      <c r="G24" s="311">
        <f>E24-F24</f>
        <v/>
      </c>
      <c r="H24" s="147" t="inlineStr">
        <is>
          <t>009</t>
        </is>
      </c>
      <c r="I24" s="3" t="inlineStr">
        <is>
          <t>12cut/Smoked Topaz/mix/Non/009</t>
        </is>
      </c>
    </row>
    <row r="25">
      <c r="A25" s="311" t="inlineStr">
        <is>
          <t>Black Diamond</t>
        </is>
      </c>
      <c r="B25" s="311" t="inlineStr">
        <is>
          <t>mix</t>
        </is>
      </c>
      <c r="C25" s="311" t="inlineStr">
        <is>
          <t>1000-1200</t>
        </is>
      </c>
      <c r="D25" s="311" t="n">
        <v>500</v>
      </c>
      <c r="E25" s="311" t="n">
        <v>5</v>
      </c>
      <c r="F25" s="311" t="n">
        <v>1</v>
      </c>
      <c r="G25" s="311">
        <f>E25-F25</f>
        <v/>
      </c>
      <c r="H25" s="147" t="inlineStr">
        <is>
          <t>021</t>
        </is>
      </c>
      <c r="I25" s="3" t="inlineStr">
        <is>
          <t>12cut/Black Diamond/mix/Non/021</t>
        </is>
      </c>
    </row>
    <row r="26">
      <c r="A26" s="311" t="inlineStr">
        <is>
          <t>EMERALD</t>
        </is>
      </c>
      <c r="B26" s="311" t="inlineStr">
        <is>
          <t>mix</t>
        </is>
      </c>
      <c r="C26" s="311" t="inlineStr">
        <is>
          <t>1000-1200</t>
        </is>
      </c>
      <c r="D26" s="311" t="n">
        <v>400</v>
      </c>
      <c r="E26" s="311">
        <f>1+4+15</f>
        <v/>
      </c>
      <c r="F26" s="311">
        <f>1+1</f>
        <v/>
      </c>
      <c r="G26" s="311">
        <f>E26-F26</f>
        <v/>
      </c>
      <c r="H26" s="147" t="inlineStr">
        <is>
          <t>026</t>
        </is>
      </c>
      <c r="I26" s="3" t="inlineStr">
        <is>
          <t>12cut/Emerald/mix/Non/026</t>
        </is>
      </c>
    </row>
    <row r="27">
      <c r="A27" s="311" t="inlineStr">
        <is>
          <t>CRYSTAL</t>
        </is>
      </c>
      <c r="B27" s="311" t="inlineStr">
        <is>
          <t>mix</t>
        </is>
      </c>
      <c r="C27" s="311" t="inlineStr">
        <is>
          <t>1000-1200</t>
        </is>
      </c>
      <c r="D27" s="311" t="n">
        <v>300</v>
      </c>
      <c r="E27" s="311" t="n">
        <v>13</v>
      </c>
      <c r="F27" s="311">
        <f>1+1+1+1</f>
        <v/>
      </c>
      <c r="G27" s="311">
        <f>E27-F27</f>
        <v/>
      </c>
      <c r="H27" s="147" t="inlineStr">
        <is>
          <t>001</t>
        </is>
      </c>
      <c r="I27" s="3" t="inlineStr">
        <is>
          <t>12cut/Crystal/mix/Non/001</t>
        </is>
      </c>
    </row>
    <row r="28" ht="30" customHeight="1">
      <c r="A28" s="174" t="inlineStr">
        <is>
          <t>Seffaf</t>
        </is>
      </c>
      <c r="B28" s="314" t="inlineStr">
        <is>
          <t>mix</t>
        </is>
      </c>
      <c r="C28" s="314" t="inlineStr">
        <is>
          <t>1000-1200</t>
        </is>
      </c>
      <c r="D28" s="311" t="n">
        <v>300</v>
      </c>
      <c r="E28" s="311">
        <f>40+3</f>
        <v/>
      </c>
      <c r="F28" s="311" t="n"/>
      <c r="G28" s="311">
        <f>E28-F28</f>
        <v/>
      </c>
      <c r="H28" s="147" t="inlineStr">
        <is>
          <t>109</t>
        </is>
      </c>
      <c r="I28" s="3" t="inlineStr">
        <is>
          <t>12cut/Crystal HFT/mix/Non/109</t>
        </is>
      </c>
    </row>
    <row r="29">
      <c r="A29" s="311" t="inlineStr">
        <is>
          <t>ROSE</t>
        </is>
      </c>
      <c r="B29" s="311" t="inlineStr">
        <is>
          <t>mix</t>
        </is>
      </c>
      <c r="C29" s="311" t="inlineStr">
        <is>
          <t>1000-1200</t>
        </is>
      </c>
      <c r="D29" s="311" t="n">
        <v>900</v>
      </c>
      <c r="E29" s="311">
        <f>9+6</f>
        <v/>
      </c>
      <c r="F29" s="311" t="n"/>
      <c r="G29" s="311">
        <f>E29-F29</f>
        <v/>
      </c>
      <c r="H29" s="147" t="inlineStr">
        <is>
          <t>036</t>
        </is>
      </c>
      <c r="I29" s="3" t="inlineStr">
        <is>
          <t>12cut/Rose/mix/Non/036</t>
        </is>
      </c>
    </row>
    <row r="30">
      <c r="A30" s="311" t="inlineStr">
        <is>
          <t>Citrine</t>
        </is>
      </c>
      <c r="B30" s="311" t="inlineStr">
        <is>
          <t>mix</t>
        </is>
      </c>
      <c r="C30" s="311" t="inlineStr">
        <is>
          <t>1000-1200</t>
        </is>
      </c>
      <c r="D30" s="311" t="n">
        <v>500</v>
      </c>
      <c r="E30" s="311">
        <f>7+8</f>
        <v/>
      </c>
      <c r="F30" s="311" t="n">
        <v>3</v>
      </c>
      <c r="G30" s="311">
        <f>E30-F30</f>
        <v/>
      </c>
      <c r="H30" s="147" t="inlineStr">
        <is>
          <t>035</t>
        </is>
      </c>
      <c r="I30" s="3" t="inlineStr">
        <is>
          <t>12cut/Citrine/mix/Non/035</t>
        </is>
      </c>
    </row>
    <row r="31">
      <c r="A31" s="311" t="inlineStr">
        <is>
          <t xml:space="preserve">Crystal AB </t>
        </is>
      </c>
      <c r="B31" s="311" t="inlineStr">
        <is>
          <t>mix</t>
        </is>
      </c>
      <c r="C31" s="311" t="inlineStr">
        <is>
          <t>1000-1200</t>
        </is>
      </c>
      <c r="D31" s="311" t="n">
        <v>300</v>
      </c>
      <c r="E31" s="311" t="n">
        <v>7</v>
      </c>
      <c r="F31" s="311" t="n">
        <v>1</v>
      </c>
      <c r="G31" s="311">
        <f>E31-F31</f>
        <v/>
      </c>
      <c r="H31" s="311" t="inlineStr">
        <is>
          <t>001+</t>
        </is>
      </c>
      <c r="I31" s="3" t="inlineStr">
        <is>
          <t>12cut/Сrystal AB/mix/Non/001+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2026-07-07T03:45:52Z</dcterms:modified>
  <cp:lastModifiedBy>Alexandr</cp:lastModifiedBy>
  <cp:lastPrinted>2026-04-22T12:43:34Z</cp:lastPrinted>
</cp:coreProperties>
</file>