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8" activeTab="0" autoFilterDateGrouping="1"/>
  </bookViews>
  <sheets>
    <sheet name="12 граней холод А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р.&quot;"/>
  </numFmts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3"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/>
  </cellStyleXfs>
  <cellXfs count="43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7" applyAlignment="1" pivotButton="0" quotePrefix="0" xfId="12">
      <alignment horizontal="center" vertical="center"/>
    </xf>
    <xf numFmtId="0" fontId="4" fillId="0" borderId="1" applyAlignment="1" pivotButton="0" quotePrefix="0" xfId="12">
      <alignment horizontal="center" vertical="center"/>
    </xf>
    <xf numFmtId="0" fontId="4" fillId="0" borderId="6" applyAlignment="1" pivotButton="0" quotePrefix="0" xfId="12">
      <alignment horizontal="center" vertical="center"/>
    </xf>
    <xf numFmtId="0" fontId="4" fillId="0" borderId="6" applyAlignment="1" pivotButton="0" quotePrefix="0" xfId="19">
      <alignment horizontal="center" vertical="center"/>
    </xf>
    <xf numFmtId="0" fontId="4" fillId="0" borderId="4" applyAlignment="1" pivotButton="0" quotePrefix="0" xfId="20">
      <alignment horizontal="center" vertical="center"/>
    </xf>
    <xf numFmtId="0" fontId="4" fillId="0" borderId="2" applyAlignment="1" pivotButton="0" quotePrefix="0" xfId="20">
      <alignment horizontal="center" vertical="center"/>
    </xf>
    <xf numFmtId="0" fontId="4" fillId="0" borderId="5" applyAlignment="1" pivotButton="0" quotePrefix="0" xfId="22">
      <alignment horizontal="center" vertical="center"/>
    </xf>
    <xf numFmtId="0" fontId="4" fillId="0" borderId="2" applyAlignment="1" pivotButton="0" quotePrefix="0" xfId="22">
      <alignment horizontal="center" vertical="center"/>
    </xf>
    <xf numFmtId="0" fontId="4" fillId="0" borderId="4" applyAlignment="1" pivotButton="0" quotePrefix="0" xfId="35">
      <alignment horizontal="center" vertical="center"/>
    </xf>
    <xf numFmtId="0" fontId="4" fillId="0" borderId="2" applyAlignment="1" pivotButton="0" quotePrefix="0" xfId="35">
      <alignment horizontal="center" vertical="center"/>
    </xf>
    <xf numFmtId="0" fontId="4" fillId="0" borderId="5" applyAlignment="1" pivotButton="0" quotePrefix="0" xfId="26">
      <alignment horizontal="center" vertical="center"/>
    </xf>
    <xf numFmtId="0" fontId="4" fillId="0" borderId="6" applyAlignment="1" pivotButton="0" quotePrefix="0" xfId="26">
      <alignment horizontal="center" vertical="center"/>
    </xf>
    <xf numFmtId="0" fontId="4" fillId="0" borderId="4" applyAlignment="1" pivotButton="0" quotePrefix="0" xfId="27">
      <alignment horizontal="center" vertical="center"/>
    </xf>
    <xf numFmtId="0" fontId="4" fillId="0" borderId="2" applyAlignment="1" pivotButton="0" quotePrefix="0" xfId="29">
      <alignment horizontal="center" vertical="center"/>
    </xf>
    <xf numFmtId="0" fontId="4" fillId="0" borderId="6" applyAlignment="1" pivotButton="0" quotePrefix="0" xfId="34">
      <alignment horizontal="center" vertical="center"/>
    </xf>
    <xf numFmtId="0" fontId="4" fillId="0" borderId="4" applyAlignment="1" pivotButton="0" quotePrefix="0" xfId="16">
      <alignment horizontal="center" vertical="center"/>
    </xf>
    <xf numFmtId="0" fontId="4" fillId="2" borderId="6" applyAlignment="1" pivotButton="0" quotePrefix="0" xfId="15">
      <alignment horizontal="center" vertical="center"/>
    </xf>
    <xf numFmtId="0" fontId="4" fillId="0" borderId="4" applyAlignment="1" pivotButton="0" quotePrefix="0" xfId="30">
      <alignment horizontal="center" vertical="center"/>
    </xf>
    <xf numFmtId="0" fontId="4" fillId="0" borderId="5" applyAlignment="1" pivotButton="0" quotePrefix="0" xfId="29">
      <alignment horizontal="center" vertical="center"/>
    </xf>
    <xf numFmtId="0" fontId="4" fillId="0" borderId="6" applyAlignment="1" pivotButton="0" quotePrefix="0" xfId="29">
      <alignment horizontal="center" vertical="center"/>
    </xf>
    <xf numFmtId="0" fontId="4" fillId="0" borderId="6" applyAlignment="1" pivotButton="0" quotePrefix="0" xfId="41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1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12">
      <alignment horizontal="center" vertical="center"/>
    </xf>
    <xf numFmtId="0" fontId="4" fillId="0" borderId="2" applyAlignment="1" pivotButton="0" quotePrefix="0" xfId="41">
      <alignment horizontal="center" vertical="center"/>
    </xf>
    <xf numFmtId="0" fontId="0" fillId="0" borderId="1" applyAlignment="1" pivotButton="0" quotePrefix="0" xfId="0">
      <alignment wrapText="1"/>
    </xf>
    <xf numFmtId="0" fontId="3" fillId="0" borderId="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29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0" fontId="4" fillId="0" borderId="5" applyAlignment="1" pivotButton="0" quotePrefix="0" xfId="9">
      <alignment horizontal="center" vertical="center"/>
    </xf>
    <xf numFmtId="0" fontId="4" fillId="0" borderId="1" applyAlignment="1" pivotButton="0" quotePrefix="0" xfId="10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4" fillId="0" borderId="1" applyAlignment="1" pivotButton="0" quotePrefix="0" xfId="13">
      <alignment horizontal="center" vertical="center"/>
    </xf>
    <xf numFmtId="0" fontId="4" fillId="0" borderId="2" applyAlignment="1" pivotButton="0" quotePrefix="0" xfId="9">
      <alignment horizontal="center" vertical="center"/>
    </xf>
    <xf numFmtId="0" fontId="4" fillId="0" borderId="7" applyAlignment="1" pivotButton="0" quotePrefix="0" xfId="8">
      <alignment horizontal="center" vertical="center" wrapText="1"/>
    </xf>
    <xf numFmtId="0" fontId="4" fillId="0" borderId="7" applyAlignment="1" pivotButton="0" quotePrefix="0" xfId="9">
      <alignment horizontal="center" vertical="center"/>
    </xf>
    <xf numFmtId="0" fontId="4" fillId="0" borderId="6" applyAlignment="1" pivotButton="0" quotePrefix="0" xfId="9">
      <alignment horizontal="center" vertical="center"/>
    </xf>
    <xf numFmtId="0" fontId="4" fillId="2" borderId="4" applyAlignment="1" pivotButton="0" quotePrefix="0" xfId="15">
      <alignment horizontal="center" vertical="center"/>
    </xf>
    <xf numFmtId="0" fontId="4" fillId="0" borderId="4" applyAlignment="1" pivotButton="0" quotePrefix="0" xfId="9">
      <alignment horizontal="center" vertical="center"/>
    </xf>
    <xf numFmtId="0" fontId="4" fillId="2" borderId="2" applyAlignment="1" pivotButton="0" quotePrefix="0" xfId="15">
      <alignment horizontal="center" vertical="center"/>
    </xf>
    <xf numFmtId="0" fontId="4" fillId="2" borderId="1" applyAlignment="1" pivotButton="0" quotePrefix="0" xfId="15">
      <alignment horizontal="center" vertical="center"/>
    </xf>
    <xf numFmtId="0" fontId="4" fillId="0" borderId="1" applyAlignment="1" pivotButton="0" quotePrefix="0" xfId="17">
      <alignment horizontal="center" vertical="center"/>
    </xf>
    <xf numFmtId="0" fontId="4" fillId="0" borderId="1" applyAlignment="1" pivotButton="0" quotePrefix="0" xfId="20">
      <alignment horizontal="center" vertical="center"/>
    </xf>
    <xf numFmtId="0" fontId="4" fillId="0" borderId="1" applyAlignment="1" pivotButton="0" quotePrefix="0" xfId="28">
      <alignment horizontal="center" vertical="center"/>
    </xf>
    <xf numFmtId="0" fontId="4" fillId="0" borderId="1" applyAlignment="1" pivotButton="0" quotePrefix="0" xfId="24">
      <alignment horizontal="center" vertical="center"/>
    </xf>
    <xf numFmtId="0" fontId="4" fillId="0" borderId="1" applyAlignment="1" pivotButton="0" quotePrefix="0" xfId="35">
      <alignment horizontal="center" vertical="center"/>
    </xf>
    <xf numFmtId="0" fontId="4" fillId="0" borderId="1" applyAlignment="1" pivotButton="0" quotePrefix="0" xfId="26">
      <alignment horizontal="center" vertical="center"/>
    </xf>
    <xf numFmtId="0" fontId="4" fillId="0" borderId="1" applyAlignment="1" pivotButton="0" quotePrefix="0" xfId="27">
      <alignment horizontal="center" vertical="center"/>
    </xf>
    <xf numFmtId="0" fontId="4" fillId="0" borderId="1" applyAlignment="1" pivotButton="0" quotePrefix="0" xfId="32">
      <alignment horizontal="center" vertical="center"/>
    </xf>
    <xf numFmtId="0" fontId="4" fillId="2" borderId="4" applyAlignment="1" pivotButton="0" quotePrefix="0" xfId="38">
      <alignment horizontal="center" vertical="center"/>
    </xf>
    <xf numFmtId="0" fontId="4" fillId="2" borderId="1" applyAlignment="1" pivotButton="0" quotePrefix="0" xfId="39">
      <alignment horizontal="center" vertical="center"/>
    </xf>
    <xf numFmtId="0" fontId="4" fillId="2" borderId="2" applyAlignment="1" pivotButton="0" quotePrefix="0" xfId="40">
      <alignment horizontal="center" vertical="center"/>
    </xf>
    <xf numFmtId="0" fontId="4" fillId="2" borderId="5" applyAlignment="1" pivotButton="0" quotePrefix="0" xfId="40">
      <alignment horizontal="center" vertical="center"/>
    </xf>
    <xf numFmtId="0" fontId="4" fillId="0" borderId="5" applyAlignment="1" pivotButton="0" quotePrefix="0" xfId="42">
      <alignment horizontal="center" vertical="center"/>
    </xf>
    <xf numFmtId="0" fontId="4" fillId="0" borderId="1" applyAlignment="1" pivotButton="0" quotePrefix="0" xfId="43">
      <alignment horizontal="center" vertical="center"/>
    </xf>
    <xf numFmtId="0" fontId="4" fillId="0" borderId="6" applyAlignment="1" pivotButton="0" quotePrefix="0" xfId="44">
      <alignment horizontal="center" vertical="center"/>
    </xf>
    <xf numFmtId="0" fontId="4" fillId="0" borderId="5" applyAlignment="1" pivotButton="0" quotePrefix="0" xfId="44">
      <alignment horizontal="center" vertical="center"/>
    </xf>
    <xf numFmtId="0" fontId="4" fillId="0" borderId="1" applyAlignment="1" pivotButton="0" quotePrefix="0" xfId="44">
      <alignment horizontal="center" vertical="center"/>
    </xf>
    <xf numFmtId="0" fontId="4" fillId="0" borderId="4" applyAlignment="1" pivotButton="0" quotePrefix="0" xfId="46">
      <alignment horizontal="center" vertical="center"/>
    </xf>
    <xf numFmtId="0" fontId="4" fillId="0" borderId="1" applyAlignment="1" pivotButton="0" quotePrefix="0" xfId="47">
      <alignment horizontal="center" vertical="center"/>
    </xf>
    <xf numFmtId="0" fontId="4" fillId="0" borderId="2" applyAlignment="1" pivotButton="0" quotePrefix="0" xfId="48">
      <alignment horizontal="center" vertical="center"/>
    </xf>
    <xf numFmtId="0" fontId="4" fillId="0" borderId="5" applyAlignment="1" pivotButton="0" quotePrefix="0" xfId="48">
      <alignment horizontal="center" vertical="center"/>
    </xf>
    <xf numFmtId="0" fontId="4" fillId="0" borderId="1" applyAlignment="1" pivotButton="0" quotePrefix="0" xfId="48">
      <alignment horizontal="center" vertical="center"/>
    </xf>
    <xf numFmtId="0" fontId="4" fillId="0" borderId="6" applyAlignment="1" pivotButton="0" quotePrefix="0" xfId="48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5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2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4" applyAlignment="1" pivotButton="0" quotePrefix="0" xfId="51">
      <alignment horizontal="center" vertical="center"/>
    </xf>
    <xf numFmtId="0" fontId="4" fillId="0" borderId="1" applyAlignment="1" pivotButton="0" quotePrefix="0" xfId="51">
      <alignment horizontal="center" vertical="center"/>
    </xf>
    <xf numFmtId="0" fontId="4" fillId="0" borderId="2" applyAlignment="1" pivotButton="0" quotePrefix="0" xfId="51">
      <alignment horizontal="center" vertical="center"/>
    </xf>
    <xf numFmtId="0" fontId="4" fillId="0" borderId="1" applyAlignment="1" pivotButton="0" quotePrefix="0" xfId="53">
      <alignment horizontal="center" vertical="center"/>
    </xf>
    <xf numFmtId="0" fontId="4" fillId="0" borderId="6" applyAlignment="1" pivotButton="0" quotePrefix="0" xfId="55">
      <alignment horizontal="center" vertical="center"/>
    </xf>
    <xf numFmtId="0" fontId="4" fillId="0" borderId="4" applyAlignment="1" pivotButton="0" quotePrefix="0" xfId="56">
      <alignment horizontal="center" vertical="center"/>
    </xf>
    <xf numFmtId="0" fontId="4" fillId="0" borderId="1" applyAlignment="1" pivotButton="0" quotePrefix="0" xfId="56">
      <alignment horizontal="center" vertical="center"/>
    </xf>
    <xf numFmtId="0" fontId="4" fillId="0" borderId="2" applyAlignment="1" pivotButton="0" quotePrefix="0" xfId="56">
      <alignment horizontal="center" vertical="center"/>
    </xf>
    <xf numFmtId="0" fontId="4" fillId="0" borderId="5" applyAlignment="1" pivotButton="0" quotePrefix="0" xfId="56">
      <alignment horizontal="center" vertical="center"/>
    </xf>
    <xf numFmtId="0" fontId="4" fillId="0" borderId="6" applyAlignment="1" pivotButton="0" quotePrefix="0" xfId="56">
      <alignment horizontal="center" vertical="center"/>
    </xf>
    <xf numFmtId="0" fontId="4" fillId="0" borderId="4" applyAlignment="1" pivotButton="0" quotePrefix="0" xfId="58">
      <alignment horizontal="center" vertical="center"/>
    </xf>
    <xf numFmtId="0" fontId="4" fillId="0" borderId="3" applyAlignment="1" pivotButton="0" quotePrefix="0" xfId="58">
      <alignment horizontal="center" vertical="center"/>
    </xf>
    <xf numFmtId="0" fontId="4" fillId="0" borderId="1" applyAlignment="1" pivotButton="0" quotePrefix="0" xfId="61">
      <alignment horizontal="center" vertical="center"/>
    </xf>
    <xf numFmtId="0" fontId="4" fillId="0" borderId="6" applyAlignment="1" pivotButton="0" quotePrefix="0" xfId="6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62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" fontId="3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 wrapText="1"/>
    </xf>
    <xf numFmtId="1" fontId="3" fillId="0" borderId="10" applyAlignment="1" pivotButton="0" quotePrefix="0" xfId="0">
      <alignment horizontal="center" vertical="center"/>
    </xf>
    <xf numFmtId="0" fontId="4" fillId="0" borderId="4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4" fillId="0" borderId="4" applyAlignment="1" pivotButton="0" quotePrefix="0" xfId="52">
      <alignment horizontal="center" vertical="center"/>
    </xf>
    <xf numFmtId="0" fontId="4" fillId="0" borderId="4" applyAlignment="1" pivotButton="0" quotePrefix="0" xfId="61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1" applyAlignment="1" pivotButton="0" quotePrefix="0" xfId="0">
      <alignment vertical="center"/>
    </xf>
    <xf numFmtId="0" fontId="4" fillId="0" borderId="5" applyAlignment="1" pivotButton="0" quotePrefix="0" xfId="20">
      <alignment horizontal="center" vertical="center"/>
    </xf>
    <xf numFmtId="0" fontId="4" fillId="0" borderId="6" applyAlignment="1" pivotButton="0" quotePrefix="0" xfId="20">
      <alignment horizontal="center" vertical="center"/>
    </xf>
    <xf numFmtId="0" fontId="4" fillId="0" borderId="5" applyAlignment="1" pivotButton="0" quotePrefix="0" xfId="27">
      <alignment horizontal="center" vertical="center"/>
    </xf>
    <xf numFmtId="0" fontId="4" fillId="0" borderId="5" applyAlignment="1" pivotButton="0" quotePrefix="0" xfId="46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10" fillId="0" borderId="1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5" applyAlignment="1" pivotButton="0" quotePrefix="0" xfId="62">
      <alignment horizontal="center" vertical="center" wrapText="1"/>
    </xf>
    <xf numFmtId="0" fontId="4" fillId="0" borderId="4" applyAlignment="1" pivotButton="0" quotePrefix="0" xfId="62">
      <alignment horizontal="center" vertical="center" wrapText="1"/>
    </xf>
    <xf numFmtId="0" fontId="4" fillId="0" borderId="2" applyAlignment="1" pivotButton="0" quotePrefix="0" xfId="62">
      <alignment horizontal="center" vertical="center" wrapText="1"/>
    </xf>
    <xf numFmtId="0" fontId="4" fillId="0" borderId="6" applyAlignment="1" pivotButton="0" quotePrefix="0" xfId="62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18">
      <alignment horizontal="center" vertical="center"/>
    </xf>
    <xf numFmtId="164" fontId="4" fillId="0" borderId="5" applyAlignment="1" pivotButton="0" quotePrefix="0" xfId="22">
      <alignment horizontal="center" vertical="center"/>
    </xf>
    <xf numFmtId="0" fontId="3" fillId="0" borderId="5" applyAlignment="1" pivotButton="0" quotePrefix="0" xfId="19">
      <alignment horizontal="center" vertical="center"/>
    </xf>
    <xf numFmtId="0" fontId="3" fillId="0" borderId="1" applyAlignment="1" pivotButton="0" quotePrefix="0" xfId="18">
      <alignment horizontal="center" vertical="center"/>
    </xf>
    <xf numFmtId="164" fontId="4" fillId="0" borderId="1" applyAlignment="1" pivotButton="0" quotePrefix="0" xfId="22">
      <alignment horizontal="center" vertical="center"/>
    </xf>
    <xf numFmtId="0" fontId="3" fillId="0" borderId="1" applyAlignment="1" pivotButton="0" quotePrefix="0" xfId="19">
      <alignment horizontal="center" vertical="center"/>
    </xf>
    <xf numFmtId="0" fontId="3" fillId="0" borderId="6" applyAlignment="1" pivotButton="0" quotePrefix="0" xfId="18">
      <alignment horizontal="center" vertical="center"/>
    </xf>
    <xf numFmtId="164" fontId="4" fillId="0" borderId="6" applyAlignment="1" pivotButton="0" quotePrefix="0" xfId="22">
      <alignment horizontal="center" vertical="center"/>
    </xf>
    <xf numFmtId="0" fontId="3" fillId="0" borderId="6" applyAlignment="1" pivotButton="0" quotePrefix="0" xfId="19">
      <alignment horizontal="center" vertical="center"/>
    </xf>
    <xf numFmtId="0" fontId="3" fillId="0" borderId="4" applyAlignment="1" pivotButton="0" quotePrefix="0" xfId="23">
      <alignment horizontal="center" vertical="center"/>
    </xf>
    <xf numFmtId="164" fontId="3" fillId="0" borderId="4" applyAlignment="1" pivotButton="0" quotePrefix="0" xfId="25">
      <alignment horizontal="center" vertical="center"/>
    </xf>
    <xf numFmtId="0" fontId="3" fillId="0" borderId="1" applyAlignment="1" pivotButton="0" quotePrefix="0" xfId="23">
      <alignment horizontal="center" vertical="center"/>
    </xf>
    <xf numFmtId="164" fontId="3" fillId="0" borderId="1" applyAlignment="1" pivotButton="0" quotePrefix="0" xfId="25">
      <alignment horizontal="center" vertical="center"/>
    </xf>
    <xf numFmtId="0" fontId="3" fillId="0" borderId="2" applyAlignment="1" pivotButton="0" quotePrefix="0" xfId="23">
      <alignment horizontal="center" vertical="center"/>
    </xf>
    <xf numFmtId="164" fontId="3" fillId="0" borderId="2" applyAlignment="1" pivotButton="0" quotePrefix="0" xfId="25">
      <alignment horizontal="center" vertical="center"/>
    </xf>
    <xf numFmtId="0" fontId="3" fillId="0" borderId="5" applyAlignment="1" pivotButton="0" quotePrefix="0" xfId="30">
      <alignment horizontal="center" vertical="center"/>
    </xf>
    <xf numFmtId="164" fontId="3" fillId="0" borderId="5" applyAlignment="1" pivotButton="0" quotePrefix="0" xfId="33">
      <alignment horizontal="center" vertical="center"/>
    </xf>
    <xf numFmtId="0" fontId="3" fillId="0" borderId="1" applyAlignment="1" pivotButton="0" quotePrefix="0" xfId="30">
      <alignment horizontal="center" vertical="center"/>
    </xf>
    <xf numFmtId="164" fontId="3" fillId="0" borderId="1" applyAlignment="1" pivotButton="0" quotePrefix="0" xfId="33">
      <alignment horizontal="center" vertical="center"/>
    </xf>
    <xf numFmtId="0" fontId="3" fillId="0" borderId="6" applyAlignment="1" pivotButton="0" quotePrefix="0" xfId="30">
      <alignment horizontal="center" vertical="center"/>
    </xf>
    <xf numFmtId="164" fontId="3" fillId="0" borderId="6" applyAlignment="1" pivotButton="0" quotePrefix="0" xfId="33">
      <alignment horizontal="center" vertical="center"/>
    </xf>
    <xf numFmtId="0" fontId="3" fillId="0" borderId="5" applyAlignment="1" pivotButton="0" quotePrefix="0" xfId="36">
      <alignment horizontal="center" vertical="center"/>
    </xf>
    <xf numFmtId="164" fontId="3" fillId="0" borderId="5" applyAlignment="1" pivotButton="0" quotePrefix="0" xfId="37">
      <alignment horizontal="center" vertical="center"/>
    </xf>
    <xf numFmtId="0" fontId="3" fillId="0" borderId="1" applyAlignment="1" pivotButton="0" quotePrefix="0" xfId="36">
      <alignment horizontal="center" vertical="center"/>
    </xf>
    <xf numFmtId="164" fontId="3" fillId="0" borderId="1" applyAlignment="1" pivotButton="0" quotePrefix="0" xfId="37">
      <alignment horizontal="center" vertical="center"/>
    </xf>
    <xf numFmtId="0" fontId="3" fillId="0" borderId="6" applyAlignment="1" pivotButton="0" quotePrefix="0" xfId="36">
      <alignment horizontal="center" vertical="center"/>
    </xf>
    <xf numFmtId="164" fontId="3" fillId="0" borderId="6" applyAlignment="1" pivotButton="0" quotePrefix="0" xfId="37">
      <alignment horizontal="center" vertical="center"/>
    </xf>
    <xf numFmtId="0" fontId="3" fillId="0" borderId="4" applyAlignment="1" pivotButton="0" quotePrefix="0" xfId="36">
      <alignment horizontal="center" vertical="center"/>
    </xf>
    <xf numFmtId="164" fontId="3" fillId="0" borderId="4" applyAlignment="1" pivotButton="0" quotePrefix="0" xfId="37">
      <alignment horizontal="center" vertical="center"/>
    </xf>
    <xf numFmtId="0" fontId="3" fillId="0" borderId="2" applyAlignment="1" pivotButton="0" quotePrefix="0" xfId="36">
      <alignment horizontal="center" vertical="center"/>
    </xf>
    <xf numFmtId="164" fontId="3" fillId="0" borderId="2" applyAlignment="1" pivotButton="0" quotePrefix="0" xfId="37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2" pivotButton="0" quotePrefix="0" xfId="0"/>
    <xf numFmtId="0" fontId="4" fillId="0" borderId="1" applyAlignment="1" pivotButton="0" quotePrefix="0" xfId="19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7" applyAlignment="1" pivotButton="0" quotePrefix="0" xfId="36">
      <alignment horizontal="center" vertical="center"/>
    </xf>
    <xf numFmtId="164" fontId="3" fillId="0" borderId="7" applyAlignment="1" pivotButton="0" quotePrefix="0" xfId="37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49" fontId="3" fillId="0" borderId="25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1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4" fillId="0" borderId="16" applyAlignment="1" pivotButton="0" quotePrefix="0" xfId="9">
      <alignment horizontal="center" vertical="center"/>
    </xf>
    <xf numFmtId="0" fontId="4" fillId="0" borderId="19" applyAlignment="1" pivotButton="0" quotePrefix="0" xfId="9">
      <alignment horizontal="center" vertical="center"/>
    </xf>
    <xf numFmtId="0" fontId="4" fillId="0" borderId="18" applyAlignment="1" pivotButton="0" quotePrefix="0" xfId="9">
      <alignment horizontal="center" vertical="center"/>
    </xf>
    <xf numFmtId="0" fontId="4" fillId="0" borderId="15" applyAlignment="1" pivotButton="0" quotePrefix="0" xfId="9">
      <alignment horizontal="center" vertical="center"/>
    </xf>
    <xf numFmtId="0" fontId="4" fillId="0" borderId="20" applyAlignment="1" pivotButton="0" quotePrefix="0" xfId="9">
      <alignment horizontal="center" vertical="center"/>
    </xf>
    <xf numFmtId="0" fontId="4" fillId="0" borderId="21" applyAlignment="1" pivotButton="0" quotePrefix="0" xfId="9">
      <alignment horizontal="center" vertical="center"/>
    </xf>
    <xf numFmtId="0" fontId="0" fillId="0" borderId="45" pivotButton="0" quotePrefix="0" xfId="0"/>
    <xf numFmtId="0" fontId="0" fillId="0" borderId="44" pivotButton="0" quotePrefix="0" xfId="0"/>
    <xf numFmtId="0" fontId="0" fillId="0" borderId="34" pivotButton="0" quotePrefix="0" xfId="0"/>
    <xf numFmtId="0" fontId="3" fillId="0" borderId="4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2" pivotButton="0" quotePrefix="0" xfId="0"/>
    <xf numFmtId="0" fontId="0" fillId="0" borderId="34" applyAlignment="1" pivotButton="0" quotePrefix="0" xfId="0">
      <alignment horizontal="center"/>
    </xf>
    <xf numFmtId="0" fontId="0" fillId="0" borderId="4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 wrapText="1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0" fillId="0" borderId="45" applyAlignment="1" pivotButton="0" quotePrefix="0" xfId="0">
      <alignment horizontal="right" vertical="center"/>
    </xf>
    <xf numFmtId="0" fontId="0" fillId="0" borderId="24" applyAlignment="1" pivotButton="0" quotePrefix="0" xfId="0">
      <alignment horizontal="right" vertical="center"/>
    </xf>
    <xf numFmtId="0" fontId="0" fillId="0" borderId="34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0" fillId="0" borderId="42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49" fontId="3" fillId="0" borderId="46" applyAlignment="1" pivotButton="0" quotePrefix="0" xfId="0">
      <alignment horizontal="center" vertical="center"/>
    </xf>
    <xf numFmtId="49" fontId="3" fillId="0" borderId="25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4" fillId="0" borderId="5" applyAlignment="1" pivotButton="0" quotePrefix="0" xfId="23">
      <alignment horizontal="center" vertical="center"/>
    </xf>
    <xf numFmtId="0" fontId="4" fillId="0" borderId="1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4" applyAlignment="1" pivotButton="0" quotePrefix="0" xfId="23">
      <alignment horizontal="center" vertical="center"/>
    </xf>
    <xf numFmtId="0" fontId="4" fillId="0" borderId="2" applyAlignment="1" pivotButton="0" quotePrefix="0" xfId="23">
      <alignment horizontal="center" vertical="center"/>
    </xf>
    <xf numFmtId="0" fontId="4" fillId="0" borderId="10" applyAlignment="1" pivotButton="0" quotePrefix="0" xfId="36">
      <alignment horizontal="center" vertical="center"/>
    </xf>
    <xf numFmtId="0" fontId="4" fillId="0" borderId="3" applyAlignment="1" pivotButton="0" quotePrefix="0" xfId="36">
      <alignment horizontal="center" vertical="center"/>
    </xf>
    <xf numFmtId="0" fontId="4" fillId="0" borderId="8" applyAlignment="1" pivotButton="0" quotePrefix="0" xfId="36">
      <alignment horizontal="center" vertical="center"/>
    </xf>
    <xf numFmtId="0" fontId="4" fillId="0" borderId="5" applyAlignment="1" pivotButton="0" quotePrefix="0" xfId="25">
      <alignment horizontal="center" vertical="center"/>
    </xf>
    <xf numFmtId="0" fontId="4" fillId="0" borderId="1" applyAlignment="1" pivotButton="0" quotePrefix="0" xfId="25">
      <alignment horizontal="center" vertical="center"/>
    </xf>
    <xf numFmtId="0" fontId="4" fillId="0" borderId="6" applyAlignment="1" pivotButton="0" quotePrefix="0" xfId="25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 wrapText="1"/>
    </xf>
    <xf numFmtId="0" fontId="4" fillId="0" borderId="3" applyAlignment="1" pivotButton="0" quotePrefix="0" xfId="8">
      <alignment horizontal="center" vertical="center" wrapText="1"/>
    </xf>
    <xf numFmtId="0" fontId="4" fillId="0" borderId="8" applyAlignment="1" pivotButton="0" quotePrefix="0" xfId="8">
      <alignment horizontal="center" vertical="center" wrapText="1"/>
    </xf>
    <xf numFmtId="49" fontId="3" fillId="0" borderId="26" applyAlignment="1" pivotButton="0" quotePrefix="0" xfId="0">
      <alignment horizontal="center" vertical="center"/>
    </xf>
    <xf numFmtId="0" fontId="4" fillId="0" borderId="10" applyAlignment="1" pivotButton="0" quotePrefix="0" xfId="56">
      <alignment horizontal="center" vertical="center"/>
    </xf>
    <xf numFmtId="0" fontId="4" fillId="0" borderId="3" applyAlignment="1" pivotButton="0" quotePrefix="0" xfId="56">
      <alignment horizontal="center" vertical="center"/>
    </xf>
    <xf numFmtId="0" fontId="4" fillId="0" borderId="8" applyAlignment="1" pivotButton="0" quotePrefix="0" xfId="56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57">
      <alignment horizontal="center" vertical="center"/>
    </xf>
    <xf numFmtId="0" fontId="3" fillId="0" borderId="27" applyAlignment="1" pivotButton="0" quotePrefix="0" xfId="0">
      <alignment horizontal="center" vertical="center"/>
    </xf>
    <xf numFmtId="49" fontId="3" fillId="0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49" fontId="3" fillId="0" borderId="38" applyAlignment="1" pivotButton="0" quotePrefix="0" xfId="0">
      <alignment horizontal="center" vertical="center"/>
    </xf>
    <xf numFmtId="49" fontId="3" fillId="0" borderId="39" applyAlignment="1" pivotButton="0" quotePrefix="0" xfId="0">
      <alignment horizontal="center" vertical="center"/>
    </xf>
    <xf numFmtId="49" fontId="3" fillId="0" borderId="40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49" fontId="3" fillId="0" borderId="41" applyAlignment="1" pivotButton="0" quotePrefix="0" xfId="0">
      <alignment horizontal="center" vertical="center"/>
    </xf>
    <xf numFmtId="49" fontId="3" fillId="0" borderId="36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49" fontId="3" fillId="0" borderId="45" applyAlignment="1" pivotButton="0" quotePrefix="0" xfId="0">
      <alignment horizontal="center" vertical="center"/>
    </xf>
    <xf numFmtId="49" fontId="3" fillId="0" borderId="43" applyAlignment="1" pivotButton="0" quotePrefix="0" xfId="0">
      <alignment horizontal="center" vertical="center"/>
    </xf>
    <xf numFmtId="49" fontId="3" fillId="0" borderId="44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36">
      <alignment horizontal="center" vertical="center"/>
    </xf>
    <xf numFmtId="0" fontId="3" fillId="0" borderId="6" applyAlignment="1" pivotButton="0" quotePrefix="0" xfId="36">
      <alignment horizontal="center" vertical="center"/>
    </xf>
    <xf numFmtId="0" fontId="3" fillId="0" borderId="5" applyAlignment="1" pivotButton="0" quotePrefix="0" xfId="18">
      <alignment horizontal="center" vertical="center"/>
    </xf>
    <xf numFmtId="0" fontId="3" fillId="0" borderId="1" applyAlignment="1" pivotButton="0" quotePrefix="0" xfId="18">
      <alignment horizontal="center" vertical="center"/>
    </xf>
    <xf numFmtId="0" fontId="3" fillId="0" borderId="1" applyAlignment="1" pivotButton="0" quotePrefix="0" xfId="23">
      <alignment horizontal="center" vertical="center"/>
    </xf>
    <xf numFmtId="0" fontId="3" fillId="0" borderId="2" applyAlignment="1" pivotButton="0" quotePrefix="0" xfId="23">
      <alignment horizontal="center" vertical="center"/>
    </xf>
    <xf numFmtId="0" fontId="3" fillId="0" borderId="1" applyAlignment="1" pivotButton="0" quotePrefix="0" xfId="30">
      <alignment horizontal="center" vertical="center"/>
    </xf>
    <xf numFmtId="0" fontId="3" fillId="0" borderId="6" applyAlignment="1" pivotButton="0" quotePrefix="0" xfId="30">
      <alignment horizontal="center" vertical="center"/>
    </xf>
    <xf numFmtId="0" fontId="4" fillId="0" borderId="5" applyAlignment="1" pivotButton="0" quotePrefix="0" xfId="40">
      <alignment horizontal="center" vertical="center"/>
    </xf>
    <xf numFmtId="0" fontId="4" fillId="0" borderId="1" applyAlignment="1" pivotButton="0" quotePrefix="0" xfId="40">
      <alignment horizontal="center" vertical="center"/>
    </xf>
    <xf numFmtId="0" fontId="4" fillId="0" borderId="6" applyAlignment="1" pivotButton="0" quotePrefix="0" xfId="40">
      <alignment horizontal="center" vertical="center"/>
    </xf>
    <xf numFmtId="0" fontId="5" fillId="0" borderId="0" applyAlignment="1" pivotButton="0" quotePrefix="0" xfId="0">
      <alignment horizontal="center"/>
    </xf>
    <xf numFmtId="0" fontId="4" fillId="0" borderId="5" applyAlignment="1" pivotButton="0" quotePrefix="0" xfId="39">
      <alignment horizontal="center" vertical="center"/>
    </xf>
    <xf numFmtId="0" fontId="4" fillId="0" borderId="1" applyAlignment="1" pivotButton="0" quotePrefix="0" xfId="39">
      <alignment horizontal="center" vertical="center"/>
    </xf>
    <xf numFmtId="0" fontId="4" fillId="0" borderId="6" applyAlignment="1" pivotButton="0" quotePrefix="0" xfId="39">
      <alignment horizontal="center" vertical="center"/>
    </xf>
    <xf numFmtId="0" fontId="3" fillId="0" borderId="5" applyAlignment="1" pivotButton="0" quotePrefix="0" xfId="36">
      <alignment horizontal="center" vertical="center"/>
    </xf>
    <xf numFmtId="0" fontId="3" fillId="0" borderId="5" applyAlignment="1" pivotButton="0" quotePrefix="0" xfId="30">
      <alignment horizontal="center" vertical="center"/>
    </xf>
    <xf numFmtId="0" fontId="3" fillId="0" borderId="6" applyAlignment="1" pivotButton="0" quotePrefix="0" xfId="18">
      <alignment horizontal="center" vertical="center"/>
    </xf>
    <xf numFmtId="0" fontId="3" fillId="0" borderId="4" applyAlignment="1" pivotButton="0" quotePrefix="0" xfId="23">
      <alignment horizontal="center" vertical="center"/>
    </xf>
    <xf numFmtId="0" fontId="4" fillId="0" borderId="10" applyAlignment="1" pivotButton="0" quotePrefix="0" xfId="40">
      <alignment horizontal="center" vertical="center"/>
    </xf>
    <xf numFmtId="0" fontId="4" fillId="0" borderId="3" applyAlignment="1" pivotButton="0" quotePrefix="0" xfId="40">
      <alignment horizontal="center" vertical="center"/>
    </xf>
    <xf numFmtId="0" fontId="4" fillId="0" borderId="8" applyAlignment="1" pivotButton="0" quotePrefix="0" xfId="40">
      <alignment horizontal="center" vertical="center"/>
    </xf>
    <xf numFmtId="0" fontId="4" fillId="0" borderId="4" applyAlignment="1" pivotButton="0" quotePrefix="0" xfId="40">
      <alignment horizontal="center" vertical="center"/>
    </xf>
    <xf numFmtId="0" fontId="4" fillId="0" borderId="2" applyAlignment="1" pivotButton="0" quotePrefix="0" xfId="40">
      <alignment horizontal="center" vertical="center"/>
    </xf>
    <xf numFmtId="0" fontId="4" fillId="0" borderId="4" applyAlignment="1" pivotButton="0" quotePrefix="0" xfId="39">
      <alignment horizontal="center" vertical="center"/>
    </xf>
    <xf numFmtId="0" fontId="4" fillId="0" borderId="2" applyAlignment="1" pivotButton="0" quotePrefix="0" xfId="39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3" fillId="0" borderId="2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3" pivotButton="0" quotePrefix="0" xfId="0"/>
    <xf numFmtId="0" fontId="0" fillId="0" borderId="4" pivotButton="0" quotePrefix="0" xfId="0"/>
    <xf numFmtId="0" fontId="3" fillId="0" borderId="23" applyAlignment="1" pivotButton="0" quotePrefix="0" xfId="0">
      <alignment horizontal="center" vertical="center"/>
    </xf>
    <xf numFmtId="0" fontId="0" fillId="0" borderId="8" pivotButton="0" quotePrefix="0" xfId="0"/>
    <xf numFmtId="49" fontId="3" fillId="0" borderId="23" applyAlignment="1" pivotButton="0" quotePrefix="0" xfId="0">
      <alignment horizontal="center" vertical="center"/>
    </xf>
  </cellXfs>
  <cellStyles count="63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7"/>
    <cellStyle name="Обычный 19" xfId="18"/>
    <cellStyle name="Обычный 20" xfId="19"/>
    <cellStyle name="Обычный 21" xfId="20"/>
    <cellStyle name="Обычный 22" xfId="21"/>
    <cellStyle name="Обычный 23" xfId="22"/>
    <cellStyle name="Обычный 24" xfId="23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0" xfId="59"/>
    <cellStyle name="Обычный 61" xfId="60"/>
    <cellStyle name="Обычный 62" xfId="61"/>
    <cellStyle name="Обычный 63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J29" sqref="J29"/>
    </sheetView>
  </sheetViews>
  <sheetFormatPr baseColWidth="8" defaultRowHeight="15"/>
  <cols>
    <col width="21.5703125" customWidth="1" min="1" max="1"/>
    <col width="39.42578125" customWidth="1" min="8" max="8"/>
  </cols>
  <sheetData>
    <row r="1" ht="15.75" customHeight="1">
      <c r="A1" s="343" t="inlineStr">
        <is>
          <t>12 граней холодная фиксация с эффектом АВ</t>
        </is>
      </c>
      <c r="B1" s="427" t="n"/>
      <c r="C1" s="427" t="n"/>
      <c r="D1" s="427" t="n"/>
      <c r="E1" s="162" t="n"/>
      <c r="F1" s="162" t="n"/>
      <c r="G1" s="162" t="n"/>
      <c r="H1" s="161" t="n"/>
      <c r="I1" s="161" t="n"/>
    </row>
    <row r="2" ht="43.5" customHeight="1" thickBot="1">
      <c r="A2" s="25" t="inlineStr">
        <is>
          <t>цвет</t>
        </is>
      </c>
      <c r="B2" s="25" t="inlineStr">
        <is>
          <t>размер</t>
        </is>
      </c>
      <c r="C2" s="25" t="inlineStr">
        <is>
          <t>штук в пачке</t>
        </is>
      </c>
      <c r="D2" s="25" t="inlineStr">
        <is>
          <t>цена продажи в руб</t>
        </is>
      </c>
      <c r="E2" s="25" t="inlineStr">
        <is>
          <t>всего шт пришло</t>
        </is>
      </c>
      <c r="F2" s="25" t="inlineStr">
        <is>
          <t>продано</t>
        </is>
      </c>
      <c r="G2" s="25" t="inlineStr">
        <is>
          <t>остаток на складе</t>
        </is>
      </c>
      <c r="H2" s="25" t="inlineStr">
        <is>
          <t>артикул</t>
        </is>
      </c>
      <c r="I2" s="25" t="inlineStr">
        <is>
          <t>код цвета</t>
        </is>
      </c>
    </row>
    <row r="3" ht="15.75" customHeight="1" thickTop="1">
      <c r="A3" s="311" t="inlineStr">
        <is>
          <t>Jet Black AB</t>
        </is>
      </c>
      <c r="B3" s="303" t="inlineStr">
        <is>
          <t>SS6</t>
        </is>
      </c>
      <c r="C3" s="311" t="n">
        <v>1440</v>
      </c>
      <c r="D3" s="311" t="n">
        <v>195</v>
      </c>
      <c r="E3" s="311" t="n">
        <v>50</v>
      </c>
      <c r="F3" s="311" t="n"/>
      <c r="G3" s="263">
        <f>E3-F3</f>
        <v/>
      </c>
      <c r="H3" s="262" t="inlineStr">
        <is>
          <t>12cut/Jet Black AB/SS6/Non/002+</t>
        </is>
      </c>
      <c r="I3" s="428" t="inlineStr">
        <is>
          <t>002+</t>
        </is>
      </c>
    </row>
    <row r="4">
      <c r="A4" s="429" t="n"/>
      <c r="B4" s="301" t="inlineStr">
        <is>
          <t>SS8</t>
        </is>
      </c>
      <c r="C4" s="312" t="n">
        <v>1440</v>
      </c>
      <c r="D4" s="312" t="n">
        <v>240</v>
      </c>
      <c r="E4" s="312">
        <f>8+40</f>
        <v/>
      </c>
      <c r="F4" s="312" t="n"/>
      <c r="G4" s="264">
        <f>E4-F4</f>
        <v/>
      </c>
      <c r="H4" s="248" t="inlineStr">
        <is>
          <t>12cut/Jet Black AB/SS8/Non/002+</t>
        </is>
      </c>
      <c r="I4" s="430" t="n"/>
    </row>
    <row r="5">
      <c r="A5" s="429" t="n"/>
      <c r="B5" s="301" t="inlineStr">
        <is>
          <t>SS10</t>
        </is>
      </c>
      <c r="C5" s="312" t="n">
        <v>1440</v>
      </c>
      <c r="D5" s="312" t="n">
        <v>262</v>
      </c>
      <c r="E5" s="312">
        <f>15+35</f>
        <v/>
      </c>
      <c r="F5" s="312" t="n"/>
      <c r="G5" s="264">
        <f>E5-F5</f>
        <v/>
      </c>
      <c r="H5" s="248" t="inlineStr">
        <is>
          <t>12cut/Jet Black AB/SS10/Non/002+</t>
        </is>
      </c>
      <c r="I5" s="430" t="n"/>
    </row>
    <row r="6">
      <c r="A6" s="429" t="n"/>
      <c r="B6" s="301" t="inlineStr">
        <is>
          <t>SS12</t>
        </is>
      </c>
      <c r="C6" s="312" t="n">
        <v>1440</v>
      </c>
      <c r="D6" s="312" t="n">
        <v>370</v>
      </c>
      <c r="E6" s="312">
        <f>20+30</f>
        <v/>
      </c>
      <c r="F6" s="312" t="n">
        <v>1</v>
      </c>
      <c r="G6" s="264">
        <f>E6-F6</f>
        <v/>
      </c>
      <c r="H6" s="248" t="inlineStr">
        <is>
          <t>12cut/Jet Black AB/SS12/Non/002+</t>
        </is>
      </c>
      <c r="I6" s="430" t="n"/>
    </row>
    <row r="7">
      <c r="A7" s="429" t="n"/>
      <c r="B7" s="301" t="inlineStr">
        <is>
          <t>SS16</t>
        </is>
      </c>
      <c r="C7" s="312" t="n">
        <v>1440</v>
      </c>
      <c r="D7" s="312" t="n">
        <v>485</v>
      </c>
      <c r="E7" s="312">
        <f>2*25</f>
        <v/>
      </c>
      <c r="F7" s="312" t="n"/>
      <c r="G7" s="264">
        <f>E7-F7</f>
        <v/>
      </c>
      <c r="H7" s="248" t="inlineStr">
        <is>
          <t>12cut/Jet Black AB/SS16/Non/002+</t>
        </is>
      </c>
      <c r="I7" s="430" t="n"/>
    </row>
    <row r="8">
      <c r="A8" s="429" t="n"/>
      <c r="B8" s="301" t="inlineStr">
        <is>
          <t>SS20</t>
        </is>
      </c>
      <c r="C8" s="312" t="n">
        <v>1440</v>
      </c>
      <c r="D8" s="312" t="n">
        <v>693</v>
      </c>
      <c r="E8" s="312">
        <f>3*15+4</f>
        <v/>
      </c>
      <c r="F8" s="312" t="n"/>
      <c r="G8" s="264">
        <f>E8-F8</f>
        <v/>
      </c>
      <c r="H8" s="248" t="inlineStr">
        <is>
          <t>12cut/Jet Black AB/SS20/Non/002+</t>
        </is>
      </c>
      <c r="I8" s="430" t="n"/>
    </row>
    <row r="9" ht="15.75" customHeight="1" thickBot="1">
      <c r="A9" s="431" t="n"/>
      <c r="B9" s="302" t="inlineStr">
        <is>
          <t>SS30</t>
        </is>
      </c>
      <c r="C9" s="313" t="n">
        <v>288</v>
      </c>
      <c r="D9" s="313" t="n">
        <v>455</v>
      </c>
      <c r="E9" s="313">
        <f>25+23</f>
        <v/>
      </c>
      <c r="F9" s="313" t="n"/>
      <c r="G9" s="265">
        <f>E9-F9</f>
        <v/>
      </c>
      <c r="H9" s="273" t="inlineStr">
        <is>
          <t>12cut/Jet Black AB/SS30/Non/002+</t>
        </is>
      </c>
      <c r="I9" s="274" t="n"/>
    </row>
    <row r="10" ht="15.75" customHeight="1" thickTop="1">
      <c r="A10" s="311" t="inlineStr">
        <is>
          <t>Smoked Topaz AB</t>
        </is>
      </c>
      <c r="B10" s="303" t="inlineStr">
        <is>
          <t>SS16</t>
        </is>
      </c>
      <c r="C10" s="311" t="n">
        <v>1440</v>
      </c>
      <c r="D10" s="311" t="n">
        <v>499</v>
      </c>
      <c r="E10" s="311" t="n">
        <v>20</v>
      </c>
      <c r="F10" s="311" t="n"/>
      <c r="G10" s="263">
        <f>E10-F10</f>
        <v/>
      </c>
      <c r="H10" s="262" t="inlineStr">
        <is>
          <t>12cut/Smoked Topaz AB/SS16/Non/009+</t>
        </is>
      </c>
      <c r="I10" s="432" t="inlineStr">
        <is>
          <t>009+</t>
        </is>
      </c>
    </row>
    <row r="11">
      <c r="A11" s="429" t="n"/>
      <c r="B11" s="301" t="inlineStr">
        <is>
          <t>SS20</t>
        </is>
      </c>
      <c r="C11" s="312" t="n">
        <v>1440</v>
      </c>
      <c r="D11" s="312" t="n">
        <v>803</v>
      </c>
      <c r="E11" s="312">
        <f>15+2</f>
        <v/>
      </c>
      <c r="F11" s="312" t="n"/>
      <c r="G11" s="264">
        <f>E11-F11</f>
        <v/>
      </c>
      <c r="H11" s="248" t="inlineStr">
        <is>
          <t>12cut/Smoked Topaz AB/SS20/Non/009+</t>
        </is>
      </c>
      <c r="I11" s="430" t="n"/>
    </row>
    <row r="12" ht="15.75" customHeight="1" thickBot="1">
      <c r="A12" s="431" t="n"/>
      <c r="B12" s="302" t="inlineStr">
        <is>
          <t>SS30</t>
        </is>
      </c>
      <c r="C12" s="313" t="n">
        <v>288</v>
      </c>
      <c r="D12" s="313" t="n">
        <v>478</v>
      </c>
      <c r="E12" s="313">
        <f>19</f>
        <v/>
      </c>
      <c r="F12" s="313" t="n"/>
      <c r="G12" s="265">
        <f>E12-F12</f>
        <v/>
      </c>
      <c r="H12" s="249" t="inlineStr">
        <is>
          <t>12cut/Smoked Topaz AB/SS30/Non/009+</t>
        </is>
      </c>
      <c r="I12" s="274" t="n"/>
    </row>
    <row r="13" ht="15.75" customHeight="1" thickTop="1">
      <c r="A13" s="303" t="inlineStr">
        <is>
          <t>Lt.Colorado Topaz AB</t>
        </is>
      </c>
      <c r="B13" s="303" t="inlineStr">
        <is>
          <t>SS6</t>
        </is>
      </c>
      <c r="C13" s="303" t="n">
        <v>1440</v>
      </c>
      <c r="D13" s="303" t="n">
        <v>221</v>
      </c>
      <c r="E13" s="303" t="n">
        <v>50</v>
      </c>
      <c r="F13" s="311" t="n"/>
      <c r="G13" s="263">
        <f>E13-F13</f>
        <v/>
      </c>
      <c r="H13" s="262" t="inlineStr">
        <is>
          <t>12cut/Lt.Colorado Topaz AB/SS6/Non/010+</t>
        </is>
      </c>
      <c r="I13" s="432" t="inlineStr">
        <is>
          <t>010+</t>
        </is>
      </c>
    </row>
    <row r="14">
      <c r="A14" s="429" t="n"/>
      <c r="B14" s="301" t="inlineStr">
        <is>
          <t>SS8</t>
        </is>
      </c>
      <c r="C14" s="301" t="n">
        <v>1440</v>
      </c>
      <c r="D14" s="301" t="n">
        <v>259</v>
      </c>
      <c r="E14" s="301" t="n">
        <v>40</v>
      </c>
      <c r="F14" s="312" t="n"/>
      <c r="G14" s="264">
        <f>E14-F14</f>
        <v/>
      </c>
      <c r="H14" s="248" t="inlineStr">
        <is>
          <t>12cut/Lt.Colorado Topaz AB/SS8/Non/010+</t>
        </is>
      </c>
      <c r="I14" s="430" t="n"/>
    </row>
    <row r="15">
      <c r="A15" s="429" t="n"/>
      <c r="B15" s="301" t="inlineStr">
        <is>
          <t>SS10</t>
        </is>
      </c>
      <c r="C15" s="301" t="n">
        <v>1440</v>
      </c>
      <c r="D15" s="301" t="n">
        <v>281</v>
      </c>
      <c r="E15" s="301">
        <f>35+14</f>
        <v/>
      </c>
      <c r="F15" s="312" t="n"/>
      <c r="G15" s="264">
        <f>E15-F15</f>
        <v/>
      </c>
      <c r="H15" s="248" t="inlineStr">
        <is>
          <t>12cut/Lt.Colorado Topaz AB/SS10/Non/010+</t>
        </is>
      </c>
      <c r="I15" s="430" t="n"/>
    </row>
    <row r="16">
      <c r="A16" s="429" t="n"/>
      <c r="B16" s="301" t="inlineStr">
        <is>
          <t>SS12</t>
        </is>
      </c>
      <c r="C16" s="301" t="n">
        <v>1440</v>
      </c>
      <c r="D16" s="301" t="n">
        <v>391</v>
      </c>
      <c r="E16" s="301">
        <f>19+30</f>
        <v/>
      </c>
      <c r="F16" s="312" t="n">
        <v>1</v>
      </c>
      <c r="G16" s="264">
        <f>E16-F16</f>
        <v/>
      </c>
      <c r="H16" s="248" t="inlineStr">
        <is>
          <t>12cut/Lt.Colorado Topaz AB/SS12/Non/010+</t>
        </is>
      </c>
      <c r="I16" s="430" t="n"/>
    </row>
    <row r="17">
      <c r="A17" s="429" t="n"/>
      <c r="B17" s="301" t="inlineStr">
        <is>
          <t>SS16</t>
        </is>
      </c>
      <c r="C17" s="301" t="n">
        <v>1440</v>
      </c>
      <c r="D17" s="301" t="n">
        <v>499</v>
      </c>
      <c r="E17" s="301">
        <f>24+25</f>
        <v/>
      </c>
      <c r="F17" s="312">
        <f>1+1</f>
        <v/>
      </c>
      <c r="G17" s="264">
        <f>E17-F17</f>
        <v/>
      </c>
      <c r="H17" s="248" t="inlineStr">
        <is>
          <t>12cut/Lt.Colorado Topaz AB/SS16/Non/010+</t>
        </is>
      </c>
      <c r="I17" s="430" t="n"/>
    </row>
    <row r="18">
      <c r="A18" s="429" t="n"/>
      <c r="B18" s="301" t="inlineStr">
        <is>
          <t>SS20</t>
        </is>
      </c>
      <c r="C18" s="301" t="n">
        <v>1440</v>
      </c>
      <c r="D18" s="301" t="n">
        <v>803</v>
      </c>
      <c r="E18" s="301">
        <f>3*15+1</f>
        <v/>
      </c>
      <c r="F18" s="312">
        <f>10+1+1+1+1</f>
        <v/>
      </c>
      <c r="G18" s="264">
        <f>E18-F18</f>
        <v/>
      </c>
      <c r="H18" s="248" t="inlineStr">
        <is>
          <t>12cut/Lt.Colorado Topaz AB/SS20/Non/010+</t>
        </is>
      </c>
      <c r="I18" s="430" t="n"/>
    </row>
    <row r="19" ht="15.75" customHeight="1" thickBot="1">
      <c r="A19" s="431" t="n"/>
      <c r="B19" s="302" t="inlineStr">
        <is>
          <t>SS30</t>
        </is>
      </c>
      <c r="C19" s="302" t="n">
        <v>288</v>
      </c>
      <c r="D19" s="302" t="n">
        <v>478</v>
      </c>
      <c r="E19" s="302">
        <f>25+23</f>
        <v/>
      </c>
      <c r="F19" s="313">
        <f>1+6</f>
        <v/>
      </c>
      <c r="G19" s="265">
        <f>E19-F19</f>
        <v/>
      </c>
      <c r="H19" s="249" t="inlineStr">
        <is>
          <t>12cut/Lt.Colorado Topaz AB/SS30/Non/010+</t>
        </is>
      </c>
      <c r="I19" s="274" t="n"/>
    </row>
    <row r="20" ht="15.75" customHeight="1" thickTop="1">
      <c r="A20" s="303" t="inlineStr">
        <is>
          <t>Sapphire AB</t>
        </is>
      </c>
      <c r="B20" s="303" t="inlineStr">
        <is>
          <t>SS6</t>
        </is>
      </c>
      <c r="C20" s="303" t="n">
        <v>1440</v>
      </c>
      <c r="D20" s="303" t="n">
        <v>221</v>
      </c>
      <c r="E20" s="303" t="n">
        <v>48</v>
      </c>
      <c r="F20" s="311" t="n"/>
      <c r="G20" s="263">
        <f>E20-F20</f>
        <v/>
      </c>
      <c r="H20" s="262" t="inlineStr">
        <is>
          <t>12cut/Sapphire AB/SS6/Non/013+</t>
        </is>
      </c>
      <c r="I20" s="432" t="inlineStr">
        <is>
          <t>013+</t>
        </is>
      </c>
    </row>
    <row r="21">
      <c r="A21" s="429" t="n"/>
      <c r="B21" s="301" t="inlineStr">
        <is>
          <t>SS8</t>
        </is>
      </c>
      <c r="C21" s="301" t="n">
        <v>1440</v>
      </c>
      <c r="D21" s="301" t="n">
        <v>259</v>
      </c>
      <c r="E21" s="301" t="n">
        <v>40</v>
      </c>
      <c r="F21" s="312" t="n"/>
      <c r="G21" s="264">
        <f>E21-F21</f>
        <v/>
      </c>
      <c r="H21" s="248" t="inlineStr">
        <is>
          <t>12cut/Sapphire AB/SS8/Non/013+</t>
        </is>
      </c>
      <c r="I21" s="430" t="n"/>
    </row>
    <row r="22">
      <c r="A22" s="429" t="n"/>
      <c r="B22" s="301" t="inlineStr">
        <is>
          <t>SS10</t>
        </is>
      </c>
      <c r="C22" s="301" t="n">
        <v>1440</v>
      </c>
      <c r="D22" s="301" t="n">
        <v>281</v>
      </c>
      <c r="E22" s="301" t="n">
        <v>49</v>
      </c>
      <c r="F22" s="312" t="n"/>
      <c r="G22" s="264">
        <f>E22-F22</f>
        <v/>
      </c>
      <c r="H22" s="248" t="inlineStr">
        <is>
          <t>12cut/Sapphire AB/SS10/Non/013+</t>
        </is>
      </c>
      <c r="I22" s="430" t="n"/>
    </row>
    <row r="23">
      <c r="A23" s="429" t="n"/>
      <c r="B23" s="301" t="inlineStr">
        <is>
          <t>SS12</t>
        </is>
      </c>
      <c r="C23" s="301" t="n">
        <v>1440</v>
      </c>
      <c r="D23" s="301" t="n">
        <v>391</v>
      </c>
      <c r="E23" s="301" t="n">
        <v>50</v>
      </c>
      <c r="F23" s="312">
        <f>1+1</f>
        <v/>
      </c>
      <c r="G23" s="264">
        <f>E23-F23</f>
        <v/>
      </c>
      <c r="H23" s="248" t="inlineStr">
        <is>
          <t>12cut/Sapphire AB/SS12/Non/013+</t>
        </is>
      </c>
      <c r="I23" s="430" t="n"/>
    </row>
    <row r="24">
      <c r="A24" s="429" t="n"/>
      <c r="B24" s="301" t="inlineStr">
        <is>
          <t>SS16</t>
        </is>
      </c>
      <c r="C24" s="301" t="n">
        <v>1440</v>
      </c>
      <c r="D24" s="301" t="n">
        <v>499</v>
      </c>
      <c r="E24" s="301" t="n">
        <v>49</v>
      </c>
      <c r="F24" s="312">
        <f>1+1+1</f>
        <v/>
      </c>
      <c r="G24" s="264">
        <f>E24-F24</f>
        <v/>
      </c>
      <c r="H24" s="248" t="inlineStr">
        <is>
          <t>12cut/Sapphire AB/SS16/Non/013+</t>
        </is>
      </c>
      <c r="I24" s="430" t="n"/>
    </row>
    <row r="25">
      <c r="A25" s="429" t="n"/>
      <c r="B25" s="301" t="inlineStr">
        <is>
          <t>SS20</t>
        </is>
      </c>
      <c r="C25" s="301" t="n">
        <v>1440</v>
      </c>
      <c r="D25" s="301" t="n">
        <v>803</v>
      </c>
      <c r="E25" s="301">
        <f>3*15</f>
        <v/>
      </c>
      <c r="F25" s="312">
        <f>6+1+1+1+1</f>
        <v/>
      </c>
      <c r="G25" s="264">
        <f>E25-F25</f>
        <v/>
      </c>
      <c r="H25" s="248" t="inlineStr">
        <is>
          <t>12cut/Sapphire AB/SS20/Non/013+</t>
        </is>
      </c>
      <c r="I25" s="430" t="n"/>
    </row>
    <row r="26">
      <c r="A26" s="429" t="n"/>
      <c r="B26" s="301" t="inlineStr">
        <is>
          <t>SS30</t>
        </is>
      </c>
      <c r="C26" s="301" t="n">
        <v>288</v>
      </c>
      <c r="D26" s="301" t="n">
        <v>478</v>
      </c>
      <c r="E26" s="301">
        <f>25+22</f>
        <v/>
      </c>
      <c r="F26" s="312">
        <f>1+1</f>
        <v/>
      </c>
      <c r="G26" s="264">
        <f>E26-F26</f>
        <v/>
      </c>
      <c r="H26" s="248" t="inlineStr">
        <is>
          <t>12cut/Sapphire AB/SS30/Non/013+</t>
        </is>
      </c>
      <c r="I26" s="430" t="n"/>
    </row>
    <row r="27" ht="15.75" customHeight="1" thickBot="1">
      <c r="A27" s="431" t="n"/>
      <c r="B27" s="339" t="inlineStr">
        <is>
          <t>SS34</t>
        </is>
      </c>
      <c r="C27" s="302" t="n">
        <v>144</v>
      </c>
      <c r="D27" s="302" t="n">
        <v>800</v>
      </c>
      <c r="E27" s="302">
        <f>3*25</f>
        <v/>
      </c>
      <c r="F27" s="313" t="n">
        <v>1</v>
      </c>
      <c r="G27" s="265">
        <f>E27-F27</f>
        <v/>
      </c>
      <c r="H27" s="249" t="inlineStr">
        <is>
          <t>12cut/Sapphire AB/SS34/Non/013+</t>
        </is>
      </c>
      <c r="I27" s="274" t="n"/>
    </row>
    <row r="28" ht="15.75" customHeight="1" thickTop="1">
      <c r="A28" s="303" t="inlineStr">
        <is>
          <t>Aquamarine AB</t>
        </is>
      </c>
      <c r="B28" s="303" t="inlineStr">
        <is>
          <t>SS6</t>
        </is>
      </c>
      <c r="C28" s="303" t="n">
        <v>1440</v>
      </c>
      <c r="D28" s="303" t="n">
        <v>221</v>
      </c>
      <c r="E28" s="303" t="n">
        <v>50</v>
      </c>
      <c r="F28" s="311">
        <f>1+1+1+1+1</f>
        <v/>
      </c>
      <c r="G28" s="263">
        <f>E28-F28</f>
        <v/>
      </c>
      <c r="H28" s="274" t="inlineStr">
        <is>
          <t>12cut/Aquamarine AB/SS6/Non/016+</t>
        </is>
      </c>
      <c r="I28" s="432" t="inlineStr">
        <is>
          <t>016+</t>
        </is>
      </c>
    </row>
    <row r="29">
      <c r="A29" s="429" t="n"/>
      <c r="B29" s="301" t="inlineStr">
        <is>
          <t>SS8</t>
        </is>
      </c>
      <c r="C29" s="301" t="n">
        <v>1440</v>
      </c>
      <c r="D29" s="301" t="n">
        <v>259</v>
      </c>
      <c r="E29" s="301" t="n">
        <v>40</v>
      </c>
      <c r="F29" s="312">
        <f>1+1</f>
        <v/>
      </c>
      <c r="G29" s="264">
        <f>E29-F29</f>
        <v/>
      </c>
      <c r="H29" s="248" t="inlineStr">
        <is>
          <t>12cut/Aquamarine AB/SS8/Non/016+</t>
        </is>
      </c>
      <c r="I29" s="430" t="n"/>
    </row>
    <row r="30">
      <c r="A30" s="429" t="n"/>
      <c r="B30" s="301" t="inlineStr">
        <is>
          <t>SS10</t>
        </is>
      </c>
      <c r="C30" s="301" t="n">
        <v>1440</v>
      </c>
      <c r="D30" s="301" t="n">
        <v>281</v>
      </c>
      <c r="E30" s="301">
        <f>15+35</f>
        <v/>
      </c>
      <c r="F30" s="312" t="n">
        <v>1</v>
      </c>
      <c r="G30" s="264">
        <f>E30-F30</f>
        <v/>
      </c>
      <c r="H30" s="248" t="inlineStr">
        <is>
          <t>12cut/Aquamarine AB/SS10/Non/016+</t>
        </is>
      </c>
      <c r="I30" s="430" t="n"/>
    </row>
    <row r="31">
      <c r="A31" s="429" t="n"/>
      <c r="B31" s="301" t="inlineStr">
        <is>
          <t>SS12</t>
        </is>
      </c>
      <c r="C31" s="301" t="n">
        <v>1440</v>
      </c>
      <c r="D31" s="301" t="n">
        <v>391</v>
      </c>
      <c r="E31" s="301">
        <f>30+19</f>
        <v/>
      </c>
      <c r="F31" s="312">
        <f>1+1+1+1</f>
        <v/>
      </c>
      <c r="G31" s="264">
        <f>E31-F31</f>
        <v/>
      </c>
      <c r="H31" s="248" t="inlineStr">
        <is>
          <t>12cut/Aquamarine AB/SS12/Non/016+</t>
        </is>
      </c>
      <c r="I31" s="430" t="n"/>
    </row>
    <row r="32">
      <c r="A32" s="429" t="n"/>
      <c r="B32" s="301" t="inlineStr">
        <is>
          <t>SS16</t>
        </is>
      </c>
      <c r="C32" s="301" t="n">
        <v>1440</v>
      </c>
      <c r="D32" s="301" t="n">
        <v>499</v>
      </c>
      <c r="E32" s="301">
        <f>23+25</f>
        <v/>
      </c>
      <c r="F32" s="312">
        <f>1+1+1+1+1+1+1+1+1+1</f>
        <v/>
      </c>
      <c r="G32" s="264">
        <f>E32-F32</f>
        <v/>
      </c>
      <c r="H32" s="248" t="inlineStr">
        <is>
          <t>12cut/Aquamarine AB/SS16/Non/016+</t>
        </is>
      </c>
      <c r="I32" s="430" t="n"/>
    </row>
    <row r="33">
      <c r="A33" s="429" t="n"/>
      <c r="B33" s="301" t="inlineStr">
        <is>
          <t>SS20</t>
        </is>
      </c>
      <c r="C33" s="301" t="n">
        <v>1440</v>
      </c>
      <c r="D33" s="301" t="n">
        <v>803</v>
      </c>
      <c r="E33" s="301">
        <f>3*15</f>
        <v/>
      </c>
      <c r="F33" s="312">
        <f>6+3+1+2+1+1</f>
        <v/>
      </c>
      <c r="G33" s="264">
        <f>E33-F33</f>
        <v/>
      </c>
      <c r="H33" s="248" t="inlineStr">
        <is>
          <t>12cut/Aquamarine AB/SS20/Non/016+</t>
        </is>
      </c>
      <c r="I33" s="430" t="n"/>
    </row>
    <row r="34">
      <c r="A34" s="429" t="n"/>
      <c r="B34" s="301" t="inlineStr">
        <is>
          <t>SS30</t>
        </is>
      </c>
      <c r="C34" s="301" t="n">
        <v>288</v>
      </c>
      <c r="D34" s="301" t="n">
        <v>478</v>
      </c>
      <c r="E34" s="301">
        <f>24+25</f>
        <v/>
      </c>
      <c r="F34" s="312">
        <f>1+2+1+1</f>
        <v/>
      </c>
      <c r="G34" s="264">
        <f>E34-F34</f>
        <v/>
      </c>
      <c r="H34" s="248" t="inlineStr">
        <is>
          <t>12cut/Aquamarine AB/SS30/Non/016+</t>
        </is>
      </c>
      <c r="I34" s="430" t="n"/>
    </row>
    <row r="35" ht="15.75" customHeight="1" thickBot="1">
      <c r="A35" s="431" t="n"/>
      <c r="B35" s="339" t="inlineStr">
        <is>
          <t>SS34</t>
        </is>
      </c>
      <c r="C35" s="302" t="n">
        <v>144</v>
      </c>
      <c r="D35" s="302" t="n">
        <v>800</v>
      </c>
      <c r="E35" s="302">
        <f>3*25+23</f>
        <v/>
      </c>
      <c r="F35" s="313" t="n"/>
      <c r="G35" s="265">
        <f>E35-F35</f>
        <v/>
      </c>
      <c r="H35" s="273" t="inlineStr">
        <is>
          <t>12cut/Aquamarine AB/SS34/Non/016+</t>
        </is>
      </c>
      <c r="I35" s="274" t="n"/>
    </row>
    <row r="36" ht="15.75" customHeight="1" thickTop="1">
      <c r="A36" s="303" t="inlineStr">
        <is>
          <t>Capri Blue AB</t>
        </is>
      </c>
      <c r="B36" s="303" t="inlineStr">
        <is>
          <t>SS6</t>
        </is>
      </c>
      <c r="C36" s="303" t="n">
        <v>1440</v>
      </c>
      <c r="D36" s="303" t="n">
        <v>221</v>
      </c>
      <c r="E36" s="303" t="n">
        <v>48</v>
      </c>
      <c r="F36" s="311" t="n"/>
      <c r="G36" s="263">
        <f>E36-F36</f>
        <v/>
      </c>
      <c r="H36" s="262" t="inlineStr">
        <is>
          <t>12cut/Capri Blue AB/SS6/Non/017+</t>
        </is>
      </c>
      <c r="I36" s="432" t="inlineStr">
        <is>
          <t>017+</t>
        </is>
      </c>
    </row>
    <row r="37">
      <c r="A37" s="429" t="n"/>
      <c r="B37" s="301" t="inlineStr">
        <is>
          <t>SS8</t>
        </is>
      </c>
      <c r="C37" s="301" t="n">
        <v>1440</v>
      </c>
      <c r="D37" s="301" t="n">
        <v>259</v>
      </c>
      <c r="E37" s="301" t="n">
        <v>40</v>
      </c>
      <c r="F37" s="312" t="n"/>
      <c r="G37" s="264">
        <f>E37-F37</f>
        <v/>
      </c>
      <c r="H37" s="248" t="inlineStr">
        <is>
          <t>12cut/Capri Blue AB/SS8/Non/017+</t>
        </is>
      </c>
      <c r="I37" s="430" t="n"/>
    </row>
    <row r="38">
      <c r="A38" s="429" t="n"/>
      <c r="B38" s="301" t="inlineStr">
        <is>
          <t>SS10</t>
        </is>
      </c>
      <c r="C38" s="301" t="n">
        <v>1440</v>
      </c>
      <c r="D38" s="301" t="n">
        <v>281</v>
      </c>
      <c r="E38" s="301">
        <f>14+35</f>
        <v/>
      </c>
      <c r="F38" s="312" t="n"/>
      <c r="G38" s="264">
        <f>E38-F38</f>
        <v/>
      </c>
      <c r="H38" s="248" t="inlineStr">
        <is>
          <t>12cut/Capri Blue AB/SS10/Non/017+</t>
        </is>
      </c>
      <c r="I38" s="430" t="n"/>
    </row>
    <row r="39">
      <c r="A39" s="429" t="n"/>
      <c r="B39" s="301" t="inlineStr">
        <is>
          <t>SS12</t>
        </is>
      </c>
      <c r="C39" s="301" t="n">
        <v>1440</v>
      </c>
      <c r="D39" s="301" t="n">
        <v>391</v>
      </c>
      <c r="E39" s="301">
        <f>19+30</f>
        <v/>
      </c>
      <c r="F39" s="312" t="n"/>
      <c r="G39" s="264">
        <f>E39-F39</f>
        <v/>
      </c>
      <c r="H39" s="248" t="inlineStr">
        <is>
          <t>12cut/Capri Blue AB/SS12/Non/017+</t>
        </is>
      </c>
      <c r="I39" s="430" t="n"/>
    </row>
    <row r="40">
      <c r="A40" s="429" t="n"/>
      <c r="B40" s="301" t="inlineStr">
        <is>
          <t>SS16</t>
        </is>
      </c>
      <c r="C40" s="301" t="n">
        <v>1440</v>
      </c>
      <c r="D40" s="301" t="n">
        <v>499</v>
      </c>
      <c r="E40" s="301">
        <f>2*25</f>
        <v/>
      </c>
      <c r="F40" s="312">
        <f>1+1</f>
        <v/>
      </c>
      <c r="G40" s="264">
        <f>E40-F40</f>
        <v/>
      </c>
      <c r="H40" s="248" t="inlineStr">
        <is>
          <t>12cut/Capri Blue AB/SS16/Non/017+</t>
        </is>
      </c>
      <c r="I40" s="430" t="n"/>
    </row>
    <row r="41">
      <c r="A41" s="429" t="n"/>
      <c r="B41" s="301" t="inlineStr">
        <is>
          <t>SS20</t>
        </is>
      </c>
      <c r="C41" s="301" t="n">
        <v>1440</v>
      </c>
      <c r="D41" s="301" t="n">
        <v>803</v>
      </c>
      <c r="E41" s="301">
        <f>3*15</f>
        <v/>
      </c>
      <c r="F41" s="312">
        <f>1+1</f>
        <v/>
      </c>
      <c r="G41" s="264">
        <f>E41-F41</f>
        <v/>
      </c>
      <c r="H41" s="248" t="inlineStr">
        <is>
          <t>12cut/Capri Blue AB/SS20/Non/017+</t>
        </is>
      </c>
      <c r="I41" s="430" t="n"/>
    </row>
    <row r="42" ht="15.75" customHeight="1" thickBot="1">
      <c r="A42" s="431" t="n"/>
      <c r="B42" s="302" t="inlineStr">
        <is>
          <t>SS30</t>
        </is>
      </c>
      <c r="C42" s="302" t="n">
        <v>288</v>
      </c>
      <c r="D42" s="302" t="n">
        <v>478</v>
      </c>
      <c r="E42" s="302">
        <f>2*25</f>
        <v/>
      </c>
      <c r="F42" s="313" t="n">
        <v>1</v>
      </c>
      <c r="G42" s="265">
        <f>E42-F42</f>
        <v/>
      </c>
      <c r="H42" s="249" t="inlineStr">
        <is>
          <t>12cut/Capri Blue AB/SS30/Non/017+</t>
        </is>
      </c>
      <c r="I42" s="274" t="n"/>
    </row>
    <row r="43" ht="15.75" customHeight="1" thickTop="1">
      <c r="A43" s="338" t="inlineStr">
        <is>
          <t>Montana AB</t>
        </is>
      </c>
      <c r="B43" s="303" t="inlineStr">
        <is>
          <t>SS6</t>
        </is>
      </c>
      <c r="C43" s="303" t="n">
        <v>1440</v>
      </c>
      <c r="D43" s="303" t="n">
        <v>150</v>
      </c>
      <c r="E43" s="303" t="n">
        <v>49</v>
      </c>
      <c r="F43" s="311" t="n"/>
      <c r="G43" s="263">
        <f>E43-F43</f>
        <v/>
      </c>
      <c r="H43" s="262" t="inlineStr">
        <is>
          <t>12cut/Montana AB/SS6/Non/018+</t>
        </is>
      </c>
      <c r="I43" s="432" t="inlineStr">
        <is>
          <t>018+</t>
        </is>
      </c>
    </row>
    <row r="44" ht="15.75" customHeight="1" thickBot="1">
      <c r="A44" s="429" t="n"/>
      <c r="B44" s="301" t="inlineStr">
        <is>
          <t>SS8</t>
        </is>
      </c>
      <c r="C44" s="301" t="n">
        <v>1440</v>
      </c>
      <c r="D44" s="301" t="n">
        <v>190</v>
      </c>
      <c r="E44" s="301" t="n">
        <v>40</v>
      </c>
      <c r="F44" s="312" t="n"/>
      <c r="G44" s="264">
        <f>E44-F44</f>
        <v/>
      </c>
      <c r="H44" s="273" t="inlineStr">
        <is>
          <t>12cut/Montana AB/SS8/Non/018+</t>
        </is>
      </c>
      <c r="I44" s="430" t="n"/>
    </row>
    <row r="45" ht="15.75" customHeight="1" thickBot="1">
      <c r="A45" s="429" t="n"/>
      <c r="B45" s="301" t="inlineStr">
        <is>
          <t>SS10</t>
        </is>
      </c>
      <c r="C45" s="301" t="n">
        <v>1440</v>
      </c>
      <c r="D45" s="301" t="n">
        <v>210</v>
      </c>
      <c r="E45" s="301" t="n">
        <v>35</v>
      </c>
      <c r="F45" s="312" t="n"/>
      <c r="G45" s="264">
        <f>E45-F45</f>
        <v/>
      </c>
      <c r="H45" s="275" t="inlineStr">
        <is>
          <t>12cut/Montana AB/SS10/Non/018+</t>
        </is>
      </c>
      <c r="I45" s="430" t="n"/>
    </row>
    <row r="46">
      <c r="A46" s="429" t="n"/>
      <c r="B46" s="301" t="inlineStr">
        <is>
          <t>SS12</t>
        </is>
      </c>
      <c r="C46" s="301" t="n">
        <v>1440</v>
      </c>
      <c r="D46" s="301" t="n">
        <v>391</v>
      </c>
      <c r="E46" s="301">
        <f>10+30+6</f>
        <v/>
      </c>
      <c r="F46" s="312" t="n">
        <v>1</v>
      </c>
      <c r="G46" s="264">
        <f>E46-F46</f>
        <v/>
      </c>
      <c r="H46" s="274" t="inlineStr">
        <is>
          <t>12cut/Montana AB/SS12/Non/018+</t>
        </is>
      </c>
      <c r="I46" s="430" t="n"/>
    </row>
    <row r="47">
      <c r="A47" s="429" t="n"/>
      <c r="B47" s="301" t="inlineStr">
        <is>
          <t>SS16</t>
        </is>
      </c>
      <c r="C47" s="301" t="n">
        <v>1440</v>
      </c>
      <c r="D47" s="301" t="n">
        <v>415</v>
      </c>
      <c r="E47" s="301">
        <f>2*25</f>
        <v/>
      </c>
      <c r="F47" s="312" t="n"/>
      <c r="G47" s="264">
        <f>E47-F47</f>
        <v/>
      </c>
      <c r="H47" s="248" t="inlineStr">
        <is>
          <t>12cut/Montana AB/SS16/Non/018+</t>
        </is>
      </c>
      <c r="I47" s="430" t="n"/>
    </row>
    <row r="48">
      <c r="A48" s="429" t="n"/>
      <c r="B48" s="301" t="inlineStr">
        <is>
          <t>SS20</t>
        </is>
      </c>
      <c r="C48" s="301" t="n">
        <v>1440</v>
      </c>
      <c r="D48" s="301" t="n">
        <v>715</v>
      </c>
      <c r="E48" s="301">
        <f>3*15</f>
        <v/>
      </c>
      <c r="F48" s="312" t="n"/>
      <c r="G48" s="264">
        <f>E48-F48</f>
        <v/>
      </c>
      <c r="H48" s="248" t="inlineStr">
        <is>
          <t>12cut/Montana AB/SS20/Non/018+</t>
        </is>
      </c>
      <c r="I48" s="430" t="n"/>
    </row>
    <row r="49">
      <c r="A49" s="429" t="n"/>
      <c r="B49" s="301" t="inlineStr">
        <is>
          <t>SS30</t>
        </is>
      </c>
      <c r="C49" s="301" t="n">
        <v>288</v>
      </c>
      <c r="D49" s="301" t="n">
        <v>415</v>
      </c>
      <c r="E49" s="301">
        <f>22+25</f>
        <v/>
      </c>
      <c r="F49" s="312" t="n"/>
      <c r="G49" s="264">
        <f>E49-F49</f>
        <v/>
      </c>
      <c r="H49" s="248" t="inlineStr">
        <is>
          <t>12cut/Montana AB/SS30/Non/018+</t>
        </is>
      </c>
      <c r="I49" s="430" t="n"/>
    </row>
    <row r="50" ht="15.75" customHeight="1" thickBot="1">
      <c r="A50" s="431" t="n"/>
      <c r="B50" s="339" t="inlineStr">
        <is>
          <t>SS34</t>
        </is>
      </c>
      <c r="C50" s="302" t="n">
        <v>144</v>
      </c>
      <c r="D50" s="302" t="n">
        <v>800</v>
      </c>
      <c r="E50" s="302">
        <f>21+3*25</f>
        <v/>
      </c>
      <c r="F50" s="313" t="n"/>
      <c r="G50" s="265">
        <f>E50-F50</f>
        <v/>
      </c>
      <c r="H50" s="249" t="inlineStr">
        <is>
          <t>12cut/Montana AB/SS34/Non/018+</t>
        </is>
      </c>
      <c r="I50" s="274" t="n"/>
    </row>
    <row r="51" ht="15.75" customHeight="1" thickTop="1">
      <c r="A51" s="303" t="inlineStr">
        <is>
          <t>Lt. Peridot AB</t>
        </is>
      </c>
      <c r="B51" s="338" t="inlineStr">
        <is>
          <t>SS3</t>
        </is>
      </c>
      <c r="C51" s="303" t="n">
        <v>1440</v>
      </c>
      <c r="D51" s="303" t="n">
        <v>210</v>
      </c>
      <c r="E51" s="303" t="n">
        <v>5</v>
      </c>
      <c r="F51" s="311" t="n"/>
      <c r="G51" s="263">
        <f>E51-F51</f>
        <v/>
      </c>
      <c r="H51" s="262" t="inlineStr">
        <is>
          <t>12cut/Lt. Peridot AB/SS3/Non/024+</t>
        </is>
      </c>
      <c r="I51" s="432" t="inlineStr">
        <is>
          <t>024+</t>
        </is>
      </c>
    </row>
    <row r="52">
      <c r="A52" s="429" t="n"/>
      <c r="B52" s="336" t="inlineStr">
        <is>
          <t>SS4</t>
        </is>
      </c>
      <c r="C52" s="301" t="n">
        <v>1440</v>
      </c>
      <c r="D52" s="301" t="n">
        <v>210</v>
      </c>
      <c r="E52" s="301" t="n">
        <v>5</v>
      </c>
      <c r="F52" s="312" t="n"/>
      <c r="G52" s="264">
        <f>E52-F52</f>
        <v/>
      </c>
      <c r="H52" s="248" t="inlineStr">
        <is>
          <t>12cut/Lt. Peridot AB/SS4/Non/024+</t>
        </is>
      </c>
      <c r="I52" s="430" t="n"/>
    </row>
    <row r="53">
      <c r="A53" s="429" t="n"/>
      <c r="B53" s="301" t="inlineStr">
        <is>
          <t>SS6</t>
        </is>
      </c>
      <c r="C53" s="301" t="n">
        <v>1440</v>
      </c>
      <c r="D53" s="301" t="n">
        <v>221</v>
      </c>
      <c r="E53" s="301" t="n">
        <v>5</v>
      </c>
      <c r="F53" s="312" t="n">
        <v>1</v>
      </c>
      <c r="G53" s="264">
        <f>E53-F53</f>
        <v/>
      </c>
      <c r="H53" s="248" t="inlineStr">
        <is>
          <t>12cut/Lt. Peridot AB/SS6/Non/024+</t>
        </is>
      </c>
      <c r="I53" s="430" t="n"/>
    </row>
    <row r="54">
      <c r="A54" s="429" t="n"/>
      <c r="B54" s="301" t="inlineStr">
        <is>
          <t>SS8</t>
        </is>
      </c>
      <c r="C54" s="301" t="n">
        <v>1440</v>
      </c>
      <c r="D54" s="301" t="n">
        <v>259</v>
      </c>
      <c r="E54" s="301" t="n">
        <v>5</v>
      </c>
      <c r="F54" s="312" t="n"/>
      <c r="G54" s="264">
        <f>E54-F54</f>
        <v/>
      </c>
      <c r="H54" s="248" t="inlineStr">
        <is>
          <t>12cut/Lt. Peridot AB/SS8/Non/024+</t>
        </is>
      </c>
      <c r="I54" s="430" t="n"/>
    </row>
    <row r="55">
      <c r="A55" s="429" t="n"/>
      <c r="B55" s="301" t="inlineStr">
        <is>
          <t>SS10</t>
        </is>
      </c>
      <c r="C55" s="301" t="n">
        <v>1440</v>
      </c>
      <c r="D55" s="301" t="n">
        <v>281</v>
      </c>
      <c r="E55" s="301" t="n">
        <v>5</v>
      </c>
      <c r="F55" s="312" t="n">
        <v>1</v>
      </c>
      <c r="G55" s="264">
        <f>E55-F55</f>
        <v/>
      </c>
      <c r="H55" s="248" t="inlineStr">
        <is>
          <t>12cut/Lt. Peridot AB/SS10/Non/024+</t>
        </is>
      </c>
      <c r="I55" s="430" t="n"/>
    </row>
    <row r="56">
      <c r="A56" s="429" t="n"/>
      <c r="B56" s="301" t="inlineStr">
        <is>
          <t>SS12</t>
        </is>
      </c>
      <c r="C56" s="301" t="n">
        <v>1440</v>
      </c>
      <c r="D56" s="301" t="n">
        <v>391</v>
      </c>
      <c r="E56" s="301" t="n">
        <v>5</v>
      </c>
      <c r="F56" s="312">
        <f>1+1</f>
        <v/>
      </c>
      <c r="G56" s="264">
        <f>E56-F56</f>
        <v/>
      </c>
      <c r="H56" s="248" t="inlineStr">
        <is>
          <t>12cut/Lt. Peridot AB/SS12/Non/024+</t>
        </is>
      </c>
      <c r="I56" s="430" t="n"/>
    </row>
    <row r="57">
      <c r="A57" s="429" t="n"/>
      <c r="B57" s="301" t="inlineStr">
        <is>
          <t>SS16</t>
        </is>
      </c>
      <c r="C57" s="301" t="n">
        <v>1440</v>
      </c>
      <c r="D57" s="301" t="n">
        <v>499</v>
      </c>
      <c r="E57" s="301" t="n">
        <v>5</v>
      </c>
      <c r="F57" s="312">
        <f>1+1+1</f>
        <v/>
      </c>
      <c r="G57" s="264">
        <f>E57-F57</f>
        <v/>
      </c>
      <c r="H57" s="248" t="inlineStr">
        <is>
          <t>12cut/Lt. Peridot AB/SS16/Non/024+</t>
        </is>
      </c>
      <c r="I57" s="430" t="n"/>
    </row>
    <row r="58">
      <c r="A58" s="429" t="n"/>
      <c r="B58" s="301" t="inlineStr">
        <is>
          <t>SS20</t>
        </is>
      </c>
      <c r="C58" s="301" t="n">
        <v>1440</v>
      </c>
      <c r="D58" s="301" t="n">
        <v>802</v>
      </c>
      <c r="E58" s="301" t="n">
        <v>3</v>
      </c>
      <c r="F58" s="312">
        <f>1+1+1</f>
        <v/>
      </c>
      <c r="G58" s="264">
        <f>E58-F58</f>
        <v/>
      </c>
      <c r="H58" s="248" t="inlineStr">
        <is>
          <t>12cut/Lt. Peridot AB/SS20/Non/024+</t>
        </is>
      </c>
      <c r="I58" s="430" t="n"/>
    </row>
    <row r="59" ht="15.75" customHeight="1" thickBot="1">
      <c r="A59" s="431" t="n"/>
      <c r="B59" s="302" t="inlineStr">
        <is>
          <t>SS30</t>
        </is>
      </c>
      <c r="C59" s="302" t="n">
        <v>288</v>
      </c>
      <c r="D59" s="302" t="n">
        <v>470</v>
      </c>
      <c r="E59" s="302" t="n">
        <v>5</v>
      </c>
      <c r="F59" s="313">
        <f>3+1</f>
        <v/>
      </c>
      <c r="G59" s="265">
        <f>E59-F59</f>
        <v/>
      </c>
      <c r="H59" s="249" t="inlineStr">
        <is>
          <t>12cut/Lt. Peridot AB/SS30/Non/024+</t>
        </is>
      </c>
      <c r="I59" s="274" t="n"/>
    </row>
    <row r="60" ht="15.75" customHeight="1" thickTop="1">
      <c r="A60" s="31" t="inlineStr">
        <is>
          <t xml:space="preserve">Emerald AB </t>
        </is>
      </c>
      <c r="B60" s="303" t="inlineStr">
        <is>
          <t>SS6</t>
        </is>
      </c>
      <c r="C60" s="303" t="n">
        <v>1440</v>
      </c>
      <c r="D60" s="303" t="n">
        <v>221</v>
      </c>
      <c r="E60" s="303">
        <f>1+54</f>
        <v/>
      </c>
      <c r="F60" s="303">
        <f>1+1</f>
        <v/>
      </c>
      <c r="G60" s="243">
        <f>E60-F60</f>
        <v/>
      </c>
      <c r="H60" s="262" t="inlineStr">
        <is>
          <t>12cut/Emerald AB/SS6/Non/026+</t>
        </is>
      </c>
      <c r="I60" s="376" t="inlineStr">
        <is>
          <t>026+</t>
        </is>
      </c>
    </row>
    <row r="61">
      <c r="A61" s="429" t="n"/>
      <c r="B61" s="301" t="inlineStr">
        <is>
          <t>SS8</t>
        </is>
      </c>
      <c r="C61" s="301" t="n">
        <v>1440</v>
      </c>
      <c r="D61" s="301" t="n">
        <v>259</v>
      </c>
      <c r="E61" s="301">
        <f>1+45</f>
        <v/>
      </c>
      <c r="F61" s="301" t="n"/>
      <c r="G61" s="245">
        <f>E61-F61</f>
        <v/>
      </c>
      <c r="H61" s="248" t="inlineStr">
        <is>
          <t>12cut/Emerald AB/SS8/Non/026+</t>
        </is>
      </c>
      <c r="I61" s="430" t="n"/>
    </row>
    <row r="62">
      <c r="A62" s="429" t="n"/>
      <c r="B62" s="301" t="inlineStr">
        <is>
          <t>SS10</t>
        </is>
      </c>
      <c r="C62" s="301" t="n">
        <v>1440</v>
      </c>
      <c r="D62" s="301" t="n">
        <v>281</v>
      </c>
      <c r="E62" s="301">
        <f>52+2</f>
        <v/>
      </c>
      <c r="F62" s="301" t="n"/>
      <c r="G62" s="245">
        <f>E62-F62</f>
        <v/>
      </c>
      <c r="H62" s="248" t="inlineStr">
        <is>
          <t>12cut/Emerald AB/SS10/Non/026+</t>
        </is>
      </c>
      <c r="I62" s="430" t="n"/>
    </row>
    <row r="63">
      <c r="A63" s="429" t="n"/>
      <c r="B63" s="301" t="inlineStr">
        <is>
          <t>SS12</t>
        </is>
      </c>
      <c r="C63" s="301" t="n">
        <v>1440</v>
      </c>
      <c r="D63" s="301" t="n">
        <v>391</v>
      </c>
      <c r="E63" s="301">
        <f>50+2</f>
        <v/>
      </c>
      <c r="F63" s="301" t="n">
        <v>1</v>
      </c>
      <c r="G63" s="245">
        <f>E63-F63</f>
        <v/>
      </c>
      <c r="H63" s="248" t="inlineStr">
        <is>
          <t>12cut/Emerald AB/SS12/Non/026+</t>
        </is>
      </c>
      <c r="I63" s="430" t="n"/>
    </row>
    <row r="64">
      <c r="A64" s="429" t="n"/>
      <c r="B64" s="301" t="inlineStr">
        <is>
          <t>SS16</t>
        </is>
      </c>
      <c r="C64" s="301" t="n">
        <v>1440</v>
      </c>
      <c r="D64" s="301" t="n">
        <v>499</v>
      </c>
      <c r="E64" s="301">
        <f>25+23+1</f>
        <v/>
      </c>
      <c r="F64" s="318">
        <f>1+1</f>
        <v/>
      </c>
      <c r="G64" s="245">
        <f>E64-F64</f>
        <v/>
      </c>
      <c r="H64" s="248" t="inlineStr">
        <is>
          <t>12cut/Emerald AB/SS16/Non/026+</t>
        </is>
      </c>
      <c r="I64" s="430" t="n"/>
    </row>
    <row r="65">
      <c r="A65" s="429" t="n"/>
      <c r="B65" s="301" t="inlineStr">
        <is>
          <t>SS20</t>
        </is>
      </c>
      <c r="C65" s="301" t="n">
        <v>1440</v>
      </c>
      <c r="D65" s="301" t="n">
        <v>802</v>
      </c>
      <c r="E65" s="301">
        <f>3*15+2</f>
        <v/>
      </c>
      <c r="F65" s="318">
        <f>1+1+1+1</f>
        <v/>
      </c>
      <c r="G65" s="245">
        <f>E65-F65</f>
        <v/>
      </c>
      <c r="H65" s="248" t="inlineStr">
        <is>
          <t>12cut/Emerald AB/SS20/Non/026+</t>
        </is>
      </c>
      <c r="I65" s="430" t="n"/>
    </row>
    <row r="66" ht="15.75" customHeight="1" thickBot="1">
      <c r="A66" s="433" t="n"/>
      <c r="B66" s="302" t="inlineStr">
        <is>
          <t>SS30</t>
        </is>
      </c>
      <c r="C66" s="302" t="n">
        <v>288</v>
      </c>
      <c r="D66" s="302" t="n">
        <v>470</v>
      </c>
      <c r="E66" s="302">
        <f>1+50</f>
        <v/>
      </c>
      <c r="F66" s="302">
        <f>1+1</f>
        <v/>
      </c>
      <c r="G66" s="246">
        <f>E66-F66</f>
        <v/>
      </c>
      <c r="H66" s="249" t="inlineStr">
        <is>
          <t>12cut/Emerald AB/SS30/Non/026+</t>
        </is>
      </c>
      <c r="I66" s="430" t="n"/>
    </row>
    <row r="67" ht="15.75" customHeight="1" thickTop="1">
      <c r="A67" s="303" t="inlineStr">
        <is>
          <t xml:space="preserve">Lt. Peach AB </t>
        </is>
      </c>
      <c r="B67" s="303" t="inlineStr">
        <is>
          <t>SS3</t>
        </is>
      </c>
      <c r="C67" s="303" t="n">
        <v>1440</v>
      </c>
      <c r="D67" s="303" t="n">
        <v>258</v>
      </c>
      <c r="E67" s="303" t="n">
        <v>5</v>
      </c>
      <c r="F67" s="303" t="n"/>
      <c r="G67" s="243">
        <f>E67-F67</f>
        <v/>
      </c>
      <c r="H67" s="274" t="inlineStr">
        <is>
          <t>12cut/Lt. Peach AB/SS3/Non/029+</t>
        </is>
      </c>
      <c r="I67" s="432" t="inlineStr">
        <is>
          <t>029+</t>
        </is>
      </c>
    </row>
    <row r="68">
      <c r="A68" s="429" t="n"/>
      <c r="B68" s="301" t="inlineStr">
        <is>
          <t>SS4</t>
        </is>
      </c>
      <c r="C68" s="301" t="n">
        <v>1440</v>
      </c>
      <c r="D68" s="301" t="n">
        <v>258</v>
      </c>
      <c r="E68" s="301">
        <f>1+4</f>
        <v/>
      </c>
      <c r="F68" s="301" t="n">
        <v>1</v>
      </c>
      <c r="G68" s="245">
        <f>E68-F68</f>
        <v/>
      </c>
      <c r="H68" s="248" t="inlineStr">
        <is>
          <t>12cut/Lt. Peach AB/SS4/Non/029+</t>
        </is>
      </c>
      <c r="I68" s="430" t="n"/>
    </row>
    <row r="69">
      <c r="A69" s="429" t="n"/>
      <c r="B69" s="301" t="inlineStr">
        <is>
          <t>SS6</t>
        </is>
      </c>
      <c r="C69" s="301" t="n">
        <v>1440</v>
      </c>
      <c r="D69" s="301" t="n">
        <v>281</v>
      </c>
      <c r="E69" s="301">
        <f>1+4</f>
        <v/>
      </c>
      <c r="F69" s="301" t="n"/>
      <c r="G69" s="245">
        <f>E69-F69</f>
        <v/>
      </c>
      <c r="H69" s="248" t="inlineStr">
        <is>
          <t>12cut/Lt. Peach AB/SS6/Non/029+</t>
        </is>
      </c>
      <c r="I69" s="430" t="n"/>
    </row>
    <row r="70">
      <c r="A70" s="429" t="n"/>
      <c r="B70" s="301" t="inlineStr">
        <is>
          <t>SS8</t>
        </is>
      </c>
      <c r="C70" s="301" t="n">
        <v>1440</v>
      </c>
      <c r="D70" s="301" t="n">
        <v>325</v>
      </c>
      <c r="E70" s="301">
        <f>1+4</f>
        <v/>
      </c>
      <c r="F70" s="301" t="n">
        <v>1</v>
      </c>
      <c r="G70" s="245">
        <f>E70-F70</f>
        <v/>
      </c>
      <c r="H70" s="248" t="inlineStr">
        <is>
          <t>12cut/Lt. Peach AB/SS8/Non/029+</t>
        </is>
      </c>
      <c r="I70" s="430" t="n"/>
    </row>
    <row r="71">
      <c r="A71" s="429" t="n"/>
      <c r="B71" s="301" t="inlineStr">
        <is>
          <t>SS10</t>
        </is>
      </c>
      <c r="C71" s="301" t="n">
        <v>1440</v>
      </c>
      <c r="D71" s="301" t="n">
        <v>359</v>
      </c>
      <c r="E71" s="301">
        <f>1+7</f>
        <v/>
      </c>
      <c r="F71" s="301" t="n"/>
      <c r="G71" s="245">
        <f>E71-F71</f>
        <v/>
      </c>
      <c r="H71" s="248" t="inlineStr">
        <is>
          <t>12cut/Lt. Peach AB/SS10/Non/029+</t>
        </is>
      </c>
      <c r="I71" s="430" t="n"/>
    </row>
    <row r="72">
      <c r="A72" s="429" t="n"/>
      <c r="B72" s="301" t="inlineStr">
        <is>
          <t>SS12</t>
        </is>
      </c>
      <c r="C72" s="301" t="n">
        <v>1440</v>
      </c>
      <c r="D72" s="301" t="n">
        <v>513</v>
      </c>
      <c r="E72" s="301">
        <f>1+7</f>
        <v/>
      </c>
      <c r="F72" s="301">
        <f>1+1</f>
        <v/>
      </c>
      <c r="G72" s="245">
        <f>E72-F72</f>
        <v/>
      </c>
      <c r="H72" s="248" t="inlineStr">
        <is>
          <t>12cut/Lt. Peach AB/SS12/Non/029+</t>
        </is>
      </c>
      <c r="I72" s="430" t="n"/>
    </row>
    <row r="73">
      <c r="A73" s="429" t="n"/>
      <c r="B73" s="301" t="inlineStr">
        <is>
          <t>SS16</t>
        </is>
      </c>
      <c r="C73" s="301" t="n">
        <v>1440</v>
      </c>
      <c r="D73" s="301" t="n">
        <v>720</v>
      </c>
      <c r="E73" s="301">
        <f>1+4</f>
        <v/>
      </c>
      <c r="F73" s="301">
        <f>1+1</f>
        <v/>
      </c>
      <c r="G73" s="245">
        <f>E73-F73</f>
        <v/>
      </c>
      <c r="H73" s="248" t="inlineStr">
        <is>
          <t>12cut/Lt. Peach AB/SS16/Non/029+</t>
        </is>
      </c>
      <c r="I73" s="430" t="n"/>
    </row>
    <row r="74">
      <c r="A74" s="429" t="n"/>
      <c r="B74" s="301" t="inlineStr">
        <is>
          <t>SS20</t>
        </is>
      </c>
      <c r="C74" s="301" t="n">
        <v>1440</v>
      </c>
      <c r="D74" s="301" t="n">
        <v>1051</v>
      </c>
      <c r="E74" s="301" t="n">
        <v>1</v>
      </c>
      <c r="F74" s="301" t="n">
        <v>1</v>
      </c>
      <c r="G74" s="245">
        <f>E74-F74</f>
        <v/>
      </c>
      <c r="H74" s="248" t="inlineStr">
        <is>
          <t>12cut/Lt. Peach AB/SS20/Non/029+</t>
        </is>
      </c>
      <c r="I74" s="430" t="n"/>
    </row>
    <row r="75" ht="15.75" customHeight="1" thickBot="1">
      <c r="A75" s="431" t="n"/>
      <c r="B75" s="302" t="inlineStr">
        <is>
          <t>SS30</t>
        </is>
      </c>
      <c r="C75" s="302" t="n">
        <v>288</v>
      </c>
      <c r="D75" s="302" t="n">
        <v>691</v>
      </c>
      <c r="E75" s="302" t="n">
        <v>1</v>
      </c>
      <c r="F75" s="302" t="n">
        <v>1</v>
      </c>
      <c r="G75" s="246">
        <f>E75-F75</f>
        <v/>
      </c>
      <c r="H75" s="249" t="inlineStr">
        <is>
          <t>12cut/Lt. Peach AB/SS30/Non/029+</t>
        </is>
      </c>
      <c r="I75" s="274" t="n"/>
    </row>
    <row r="76" ht="16.5" customHeight="1" thickBot="1" thickTop="1">
      <c r="A76" s="303" t="inlineStr">
        <is>
          <t>Hyacinth AB</t>
        </is>
      </c>
      <c r="B76" s="303" t="inlineStr">
        <is>
          <t>SS8</t>
        </is>
      </c>
      <c r="C76" s="303" t="n">
        <v>1440</v>
      </c>
      <c r="D76" s="303" t="n">
        <v>286</v>
      </c>
      <c r="E76" s="303">
        <f>40+10</f>
        <v/>
      </c>
      <c r="F76" s="303" t="n"/>
      <c r="G76" s="243">
        <f>E76-F76</f>
        <v/>
      </c>
      <c r="H76" s="278" t="inlineStr">
        <is>
          <t>12cut/Hyacinth AB/SS8/Non/031+</t>
        </is>
      </c>
      <c r="I76" s="432" t="inlineStr">
        <is>
          <t>031+</t>
        </is>
      </c>
    </row>
    <row r="77" ht="15.75" customHeight="1" thickBot="1">
      <c r="A77" s="429" t="n"/>
      <c r="B77" s="301" t="inlineStr">
        <is>
          <t>SS12</t>
        </is>
      </c>
      <c r="C77" s="301" t="n">
        <v>1440</v>
      </c>
      <c r="D77" s="301" t="n">
        <v>455</v>
      </c>
      <c r="E77" s="301">
        <f>20+30</f>
        <v/>
      </c>
      <c r="F77" s="301" t="n"/>
      <c r="G77" s="245">
        <f>E77-F77</f>
        <v/>
      </c>
      <c r="H77" s="275" t="inlineStr">
        <is>
          <t>12cut/Hyacinth AB/SS12/Non/031+</t>
        </is>
      </c>
      <c r="I77" s="430" t="n"/>
    </row>
    <row r="78">
      <c r="A78" s="429" t="n"/>
      <c r="B78" s="301" t="inlineStr">
        <is>
          <t>SS16</t>
        </is>
      </c>
      <c r="C78" s="301" t="n">
        <v>1440</v>
      </c>
      <c r="D78" s="301" t="n">
        <v>565</v>
      </c>
      <c r="E78" s="301">
        <f>2*25</f>
        <v/>
      </c>
      <c r="F78" s="301">
        <f>2+2+1+1</f>
        <v/>
      </c>
      <c r="G78" s="245">
        <f>E78-F78</f>
        <v/>
      </c>
      <c r="H78" s="274" t="inlineStr">
        <is>
          <t>12cut/Hyacinth AB/SS16/Non/031+</t>
        </is>
      </c>
      <c r="I78" s="430" t="n"/>
    </row>
    <row r="79">
      <c r="A79" s="429" t="n"/>
      <c r="B79" s="301" t="inlineStr">
        <is>
          <t>SS20</t>
        </is>
      </c>
      <c r="C79" s="301" t="n">
        <v>1440</v>
      </c>
      <c r="D79" s="301" t="n">
        <v>893</v>
      </c>
      <c r="E79" s="301">
        <f>3*15+5</f>
        <v/>
      </c>
      <c r="F79" s="301">
        <f>6+2+1</f>
        <v/>
      </c>
      <c r="G79" s="245">
        <f>E79-F79</f>
        <v/>
      </c>
      <c r="H79" s="248" t="inlineStr">
        <is>
          <t>12cut/Hyacinth AB/SS20/Non/031+</t>
        </is>
      </c>
      <c r="I79" s="430" t="n"/>
    </row>
    <row r="80" ht="15.75" customHeight="1" thickBot="1">
      <c r="A80" s="431" t="n"/>
      <c r="B80" s="302" t="inlineStr">
        <is>
          <t>SS30</t>
        </is>
      </c>
      <c r="C80" s="302" t="n">
        <v>288</v>
      </c>
      <c r="D80" s="302" t="n">
        <v>610</v>
      </c>
      <c r="E80" s="302">
        <f>23+25</f>
        <v/>
      </c>
      <c r="F80" s="302">
        <f>1+1</f>
        <v/>
      </c>
      <c r="G80" s="246">
        <f>E80-F80</f>
        <v/>
      </c>
      <c r="H80" s="249" t="inlineStr">
        <is>
          <t>12cut/Hyacinth AB/SS30/Non/031+</t>
        </is>
      </c>
      <c r="I80" s="274" t="n"/>
    </row>
    <row r="81" ht="15.75" customHeight="1" thickTop="1">
      <c r="A81" s="303" t="inlineStr">
        <is>
          <t>Citrine AB</t>
        </is>
      </c>
      <c r="B81" s="303" t="inlineStr">
        <is>
          <t>SS6</t>
        </is>
      </c>
      <c r="C81" s="303" t="n">
        <v>1440</v>
      </c>
      <c r="D81" s="303" t="n">
        <v>246</v>
      </c>
      <c r="E81" s="303">
        <f>50+5</f>
        <v/>
      </c>
      <c r="F81" s="303">
        <f>1+1</f>
        <v/>
      </c>
      <c r="G81" s="243">
        <f>E81-F81</f>
        <v/>
      </c>
      <c r="H81" s="262" t="inlineStr">
        <is>
          <t>12cut/Citrine AB/SS6/Non/035+</t>
        </is>
      </c>
      <c r="I81" s="432" t="inlineStr">
        <is>
          <t>035+</t>
        </is>
      </c>
    </row>
    <row r="82">
      <c r="A82" s="429" t="n"/>
      <c r="B82" s="301" t="inlineStr">
        <is>
          <t>SS8</t>
        </is>
      </c>
      <c r="C82" s="301" t="n">
        <v>1440</v>
      </c>
      <c r="D82" s="301" t="n">
        <v>286</v>
      </c>
      <c r="E82" s="301">
        <f>40+5</f>
        <v/>
      </c>
      <c r="F82" s="301" t="n">
        <v>1</v>
      </c>
      <c r="G82" s="245">
        <f>E82-F82</f>
        <v/>
      </c>
      <c r="H82" s="248" t="inlineStr">
        <is>
          <t>12cut/Citrine AB/SS8/Non/035+</t>
        </is>
      </c>
      <c r="I82" s="430" t="n"/>
    </row>
    <row r="83">
      <c r="A83" s="429" t="n"/>
      <c r="B83" s="301" t="inlineStr">
        <is>
          <t>SS10</t>
        </is>
      </c>
      <c r="C83" s="301" t="n">
        <v>1440</v>
      </c>
      <c r="D83" s="301" t="n">
        <v>315</v>
      </c>
      <c r="E83" s="301">
        <f>50+5</f>
        <v/>
      </c>
      <c r="F83" s="301" t="n"/>
      <c r="G83" s="245">
        <f>E83-F83</f>
        <v/>
      </c>
      <c r="H83" s="248" t="inlineStr">
        <is>
          <t>12cut/Citrine AB/SS10/Non/035+</t>
        </is>
      </c>
      <c r="I83" s="430" t="n"/>
    </row>
    <row r="84">
      <c r="A84" s="429" t="n"/>
      <c r="B84" s="301" t="inlineStr">
        <is>
          <t>SS12</t>
        </is>
      </c>
      <c r="C84" s="301" t="n">
        <v>1440</v>
      </c>
      <c r="D84" s="301" t="n">
        <v>455</v>
      </c>
      <c r="E84" s="301">
        <f>50+5</f>
        <v/>
      </c>
      <c r="F84" s="301" t="n"/>
      <c r="G84" s="245">
        <f>E84-F84</f>
        <v/>
      </c>
      <c r="H84" s="248" t="inlineStr">
        <is>
          <t>12cut/Citrine AB/SS12/Non/035+</t>
        </is>
      </c>
      <c r="I84" s="430" t="n"/>
    </row>
    <row r="85">
      <c r="A85" s="429" t="n"/>
      <c r="B85" s="301" t="inlineStr">
        <is>
          <t>SS16</t>
        </is>
      </c>
      <c r="C85" s="301" t="n">
        <v>1440</v>
      </c>
      <c r="D85" s="301" t="n">
        <v>565</v>
      </c>
      <c r="E85" s="301">
        <f>49+5</f>
        <v/>
      </c>
      <c r="F85" s="301">
        <f>2+1+1</f>
        <v/>
      </c>
      <c r="G85" s="245">
        <f>E85-F85</f>
        <v/>
      </c>
      <c r="H85" s="248" t="inlineStr">
        <is>
          <t>12cut/Citrine AB/SS16/Non/035+</t>
        </is>
      </c>
      <c r="I85" s="430" t="n"/>
    </row>
    <row r="86">
      <c r="A86" s="429" t="n"/>
      <c r="B86" s="301" t="inlineStr">
        <is>
          <t>SS20</t>
        </is>
      </c>
      <c r="C86" s="301" t="n">
        <v>1440</v>
      </c>
      <c r="D86" s="301" t="n">
        <v>893</v>
      </c>
      <c r="E86" s="301">
        <f>50+4</f>
        <v/>
      </c>
      <c r="F86" s="301">
        <f>1+1+3+1+1</f>
        <v/>
      </c>
      <c r="G86" s="245">
        <f>E86-F86</f>
        <v/>
      </c>
      <c r="H86" s="248" t="inlineStr">
        <is>
          <t>12cut/Citrine AB/SS20/Non/035+</t>
        </is>
      </c>
      <c r="I86" s="430" t="n"/>
    </row>
    <row r="87" ht="15.75" customHeight="1" thickBot="1">
      <c r="A87" s="431" t="n"/>
      <c r="B87" s="302" t="inlineStr">
        <is>
          <t>SS30</t>
        </is>
      </c>
      <c r="C87" s="302" t="n">
        <v>288</v>
      </c>
      <c r="D87" s="302" t="n">
        <v>610</v>
      </c>
      <c r="E87" s="302">
        <f>49+1</f>
        <v/>
      </c>
      <c r="F87" s="302">
        <f>2+1+1+1</f>
        <v/>
      </c>
      <c r="G87" s="246">
        <f>E87-F87</f>
        <v/>
      </c>
      <c r="H87" s="249" t="inlineStr">
        <is>
          <t>12cut/Citrine AB/SS30/Non/035+</t>
        </is>
      </c>
      <c r="I87" s="274" t="n"/>
    </row>
    <row r="88" ht="15.75" customHeight="1" thickTop="1">
      <c r="A88" s="303" t="inlineStr">
        <is>
          <t xml:space="preserve">Lt.Rose AB </t>
        </is>
      </c>
      <c r="B88" s="304" t="inlineStr">
        <is>
          <t>SS6</t>
        </is>
      </c>
      <c r="C88" s="303" t="n">
        <v>1440</v>
      </c>
      <c r="D88" s="303" t="n">
        <v>385</v>
      </c>
      <c r="E88" s="303" t="n">
        <v>50</v>
      </c>
      <c r="F88" s="303">
        <f>1+1</f>
        <v/>
      </c>
      <c r="G88" s="243">
        <f>E88-F88</f>
        <v/>
      </c>
      <c r="H88" s="262" t="inlineStr">
        <is>
          <t>12cut/Lt.Rose AB/SS6/Non/038+</t>
        </is>
      </c>
      <c r="I88" s="432" t="inlineStr">
        <is>
          <t>038+</t>
        </is>
      </c>
    </row>
    <row r="89">
      <c r="A89" s="429" t="n"/>
      <c r="B89" s="301" t="inlineStr">
        <is>
          <t>SS8</t>
        </is>
      </c>
      <c r="C89" s="301" t="n">
        <v>1440</v>
      </c>
      <c r="D89" s="301" t="n">
        <v>501</v>
      </c>
      <c r="E89" s="301">
        <f>50+3</f>
        <v/>
      </c>
      <c r="F89" s="301" t="n">
        <v>1</v>
      </c>
      <c r="G89" s="245">
        <f>E89-F89</f>
        <v/>
      </c>
      <c r="H89" s="248" t="inlineStr">
        <is>
          <t>12cut/Lt.Rose AB/SS8/Non/038+</t>
        </is>
      </c>
      <c r="I89" s="430" t="n"/>
    </row>
    <row r="90">
      <c r="A90" s="429" t="n"/>
      <c r="B90" s="301" t="inlineStr">
        <is>
          <t>SS10</t>
        </is>
      </c>
      <c r="C90" s="301" t="n">
        <v>1440</v>
      </c>
      <c r="D90" s="301" t="n">
        <v>613</v>
      </c>
      <c r="E90" s="301">
        <f>50+1</f>
        <v/>
      </c>
      <c r="F90" s="301">
        <f>1+1</f>
        <v/>
      </c>
      <c r="G90" s="245">
        <f>E90-F90</f>
        <v/>
      </c>
      <c r="H90" s="248" t="inlineStr">
        <is>
          <t>12cut/Lt.Rose AB/SS10/Non/038+</t>
        </is>
      </c>
      <c r="I90" s="430" t="n"/>
    </row>
    <row r="91">
      <c r="A91" s="429" t="n"/>
      <c r="B91" s="301" t="inlineStr">
        <is>
          <t>SS12</t>
        </is>
      </c>
      <c r="C91" s="301" t="n">
        <v>1440</v>
      </c>
      <c r="D91" s="301" t="n">
        <v>712</v>
      </c>
      <c r="E91" s="336">
        <f>30+20</f>
        <v/>
      </c>
      <c r="F91" s="301">
        <f>1+1+1</f>
        <v/>
      </c>
      <c r="G91" s="245">
        <f>E91-F91</f>
        <v/>
      </c>
      <c r="H91" s="248" t="inlineStr">
        <is>
          <t>12cut/Lt.Rose AB/SS12/Non/038+</t>
        </is>
      </c>
      <c r="I91" s="430" t="n"/>
    </row>
    <row r="92">
      <c r="A92" s="429" t="n"/>
      <c r="B92" s="301" t="inlineStr">
        <is>
          <t>SS16</t>
        </is>
      </c>
      <c r="C92" s="301" t="n">
        <v>1440</v>
      </c>
      <c r="D92" s="301" t="n">
        <v>1238</v>
      </c>
      <c r="E92" s="301">
        <f>20+3</f>
        <v/>
      </c>
      <c r="F92" s="301" t="n">
        <v>2</v>
      </c>
      <c r="G92" s="245">
        <f>E92-F92</f>
        <v/>
      </c>
      <c r="H92" s="248" t="inlineStr">
        <is>
          <t>12cut/Lt.Rose AB/SS16/Non/038+</t>
        </is>
      </c>
      <c r="I92" s="430" t="n"/>
    </row>
    <row r="93">
      <c r="A93" s="429" t="n"/>
      <c r="B93" s="301" t="inlineStr">
        <is>
          <t>SS20</t>
        </is>
      </c>
      <c r="C93" s="301" t="n">
        <v>1440</v>
      </c>
      <c r="D93" s="301" t="n">
        <v>2000</v>
      </c>
      <c r="E93" s="301" t="n">
        <v>2</v>
      </c>
      <c r="F93" s="301">
        <f>1+1</f>
        <v/>
      </c>
      <c r="G93" s="245">
        <f>E93-F93</f>
        <v/>
      </c>
      <c r="H93" s="248" t="inlineStr">
        <is>
          <t>12cut/Lt.Rose AB/SS20/Non/038+</t>
        </is>
      </c>
      <c r="I93" s="430" t="n"/>
    </row>
    <row r="94" ht="15.75" customHeight="1" thickBot="1">
      <c r="A94" s="431" t="n"/>
      <c r="B94" s="302" t="inlineStr">
        <is>
          <t>SS30</t>
        </is>
      </c>
      <c r="C94" s="302" t="n">
        <v>288</v>
      </c>
      <c r="D94" s="302" t="n">
        <v>1207</v>
      </c>
      <c r="E94" s="302">
        <f>49+4+20</f>
        <v/>
      </c>
      <c r="F94" s="302" t="n">
        <v>2</v>
      </c>
      <c r="G94" s="246">
        <f>E94-F94</f>
        <v/>
      </c>
      <c r="H94" s="249" t="inlineStr">
        <is>
          <t>12cut/Lt.Rose AB/SS30/Non/038+</t>
        </is>
      </c>
      <c r="I94" s="274" t="n"/>
    </row>
    <row r="95" ht="15.75" customHeight="1" thickTop="1">
      <c r="A95" s="303" t="inlineStr">
        <is>
          <t xml:space="preserve">Lt. Siam Shimmer </t>
        </is>
      </c>
      <c r="B95" s="338" t="inlineStr">
        <is>
          <t>SS3</t>
        </is>
      </c>
      <c r="C95" s="303" t="n">
        <v>1440</v>
      </c>
      <c r="D95" s="303" t="n">
        <v>237</v>
      </c>
      <c r="E95" s="303" t="n">
        <v>5</v>
      </c>
      <c r="F95" s="303" t="n"/>
      <c r="G95" s="243">
        <f>E95-F95</f>
        <v/>
      </c>
      <c r="H95" s="262" t="inlineStr">
        <is>
          <t>12cut/Lt. Siam Shimmer/SS3/Non/061</t>
        </is>
      </c>
      <c r="I95" s="434" t="inlineStr">
        <is>
          <t>061</t>
        </is>
      </c>
    </row>
    <row r="96">
      <c r="A96" s="429" t="n"/>
      <c r="B96" s="336" t="inlineStr">
        <is>
          <t>SS4</t>
        </is>
      </c>
      <c r="C96" s="301" t="n">
        <v>1440</v>
      </c>
      <c r="D96" s="301" t="n">
        <v>237</v>
      </c>
      <c r="E96" s="301" t="n">
        <v>5</v>
      </c>
      <c r="F96" s="301" t="n"/>
      <c r="G96" s="245">
        <f>E96-F96</f>
        <v/>
      </c>
      <c r="H96" s="248" t="inlineStr">
        <is>
          <t>12cut/Lt. Siam Shimmer/SS4/Non/061</t>
        </is>
      </c>
      <c r="I96" s="430" t="n"/>
    </row>
    <row r="97">
      <c r="A97" s="429" t="n"/>
      <c r="B97" s="301" t="inlineStr">
        <is>
          <t>SS6</t>
        </is>
      </c>
      <c r="C97" s="301" t="n">
        <v>1440</v>
      </c>
      <c r="D97" s="301" t="n">
        <v>246</v>
      </c>
      <c r="E97" s="301" t="n">
        <v>5</v>
      </c>
      <c r="F97" s="301" t="n"/>
      <c r="G97" s="245">
        <f>E97-F97</f>
        <v/>
      </c>
      <c r="H97" s="248" t="inlineStr">
        <is>
          <t>12cut/Lt. Siam Shimmer/SS6/Non/061</t>
        </is>
      </c>
      <c r="I97" s="430" t="n"/>
    </row>
    <row r="98">
      <c r="A98" s="429" t="n"/>
      <c r="B98" s="301" t="inlineStr">
        <is>
          <t>SS8</t>
        </is>
      </c>
      <c r="C98" s="301" t="n">
        <v>1440</v>
      </c>
      <c r="D98" s="301" t="n">
        <v>286</v>
      </c>
      <c r="E98" s="301" t="n">
        <v>5</v>
      </c>
      <c r="F98" s="301" t="n"/>
      <c r="G98" s="245">
        <f>E98-F98</f>
        <v/>
      </c>
      <c r="H98" s="248" t="inlineStr">
        <is>
          <t>12cut/Lt. Siam Shimmer/SS8/Non/061</t>
        </is>
      </c>
      <c r="I98" s="430" t="n"/>
    </row>
    <row r="99">
      <c r="A99" s="429" t="n"/>
      <c r="B99" s="301" t="inlineStr">
        <is>
          <t>SS10</t>
        </is>
      </c>
      <c r="C99" s="301" t="n">
        <v>1440</v>
      </c>
      <c r="D99" s="301" t="n">
        <v>315</v>
      </c>
      <c r="E99" s="301" t="n">
        <v>5</v>
      </c>
      <c r="F99" s="301" t="n">
        <v>1</v>
      </c>
      <c r="G99" s="245">
        <f>E99-F99</f>
        <v/>
      </c>
      <c r="H99" s="248" t="inlineStr">
        <is>
          <t>12cut/Lt. Siam Shimmer/SS10/Non/061</t>
        </is>
      </c>
      <c r="I99" s="430" t="n"/>
    </row>
    <row r="100">
      <c r="A100" s="429" t="n"/>
      <c r="B100" s="301" t="inlineStr">
        <is>
          <t>SS12</t>
        </is>
      </c>
      <c r="C100" s="301" t="n">
        <v>1440</v>
      </c>
      <c r="D100" s="301" t="n">
        <v>455</v>
      </c>
      <c r="E100" s="301" t="n">
        <v>5</v>
      </c>
      <c r="F100" s="301" t="n"/>
      <c r="G100" s="245">
        <f>E100-F100</f>
        <v/>
      </c>
      <c r="H100" s="248" t="inlineStr">
        <is>
          <t>12cut/Lt. Siam Shimmer/SS12/Non/061</t>
        </is>
      </c>
      <c r="I100" s="430" t="n"/>
    </row>
    <row r="101">
      <c r="A101" s="429" t="n"/>
      <c r="B101" s="301" t="inlineStr">
        <is>
          <t>SS16</t>
        </is>
      </c>
      <c r="C101" s="301" t="n">
        <v>1440</v>
      </c>
      <c r="D101" s="301" t="n">
        <v>565</v>
      </c>
      <c r="E101" s="301" t="n">
        <v>5</v>
      </c>
      <c r="F101" s="301">
        <f>1+1+1+1</f>
        <v/>
      </c>
      <c r="G101" s="245">
        <f>E101-F101</f>
        <v/>
      </c>
      <c r="H101" s="248" t="inlineStr">
        <is>
          <t>12cut/Lt. Siam Shimmer/SS16/Non/061</t>
        </is>
      </c>
      <c r="I101" s="430" t="n"/>
    </row>
    <row r="102">
      <c r="A102" s="429" t="n"/>
      <c r="B102" s="301" t="inlineStr">
        <is>
          <t>SS20</t>
        </is>
      </c>
      <c r="C102" s="301" t="n">
        <v>1440</v>
      </c>
      <c r="D102" s="301" t="n">
        <v>893</v>
      </c>
      <c r="E102" s="301">
        <f>2+5</f>
        <v/>
      </c>
      <c r="F102" s="301">
        <f>4+1+1</f>
        <v/>
      </c>
      <c r="G102" s="245">
        <f>E102-F102</f>
        <v/>
      </c>
      <c r="H102" s="248" t="inlineStr">
        <is>
          <t>12cut/Lt. Siam Shimmer/SS20/Non/061</t>
        </is>
      </c>
      <c r="I102" s="430" t="n"/>
    </row>
    <row r="103" ht="15.75" customHeight="1" thickBot="1">
      <c r="A103" s="431" t="n"/>
      <c r="B103" s="318" t="inlineStr">
        <is>
          <t>SS30</t>
        </is>
      </c>
      <c r="C103" s="318" t="n">
        <v>288</v>
      </c>
      <c r="D103" s="318" t="n">
        <v>610</v>
      </c>
      <c r="E103" s="318" t="n">
        <v>5</v>
      </c>
      <c r="F103" s="318" t="n">
        <v>1</v>
      </c>
      <c r="G103" s="247">
        <f>E103-F103</f>
        <v/>
      </c>
      <c r="H103" s="249" t="inlineStr">
        <is>
          <t>12cut/Lt. Siam Shimmer/SS30/Non/061</t>
        </is>
      </c>
      <c r="I103" s="274" t="n"/>
    </row>
    <row r="104" ht="15.75" customHeight="1" thickTop="1">
      <c r="A104" s="303" t="inlineStr">
        <is>
          <t>Siam AB</t>
        </is>
      </c>
      <c r="B104" s="303" t="inlineStr">
        <is>
          <t>SS6</t>
        </is>
      </c>
      <c r="C104" s="303" t="n">
        <v>1440</v>
      </c>
      <c r="D104" s="303" t="n">
        <v>246</v>
      </c>
      <c r="E104" s="303" t="n">
        <v>50</v>
      </c>
      <c r="F104" s="303" t="n"/>
      <c r="G104" s="243">
        <f>E104-F104</f>
        <v/>
      </c>
      <c r="H104" s="262" t="inlineStr">
        <is>
          <t>12cut/Siam AB/SS6/Non/032+</t>
        </is>
      </c>
      <c r="I104" s="434" t="inlineStr">
        <is>
          <t>032+</t>
        </is>
      </c>
    </row>
    <row r="105">
      <c r="A105" s="429" t="n"/>
      <c r="B105" s="301" t="inlineStr">
        <is>
          <t>SS8</t>
        </is>
      </c>
      <c r="C105" s="301" t="n">
        <v>1440</v>
      </c>
      <c r="D105" s="301" t="n">
        <v>286</v>
      </c>
      <c r="E105" s="301">
        <f>40+10</f>
        <v/>
      </c>
      <c r="F105" s="301" t="n"/>
      <c r="G105" s="245">
        <f>E105-F105</f>
        <v/>
      </c>
      <c r="H105" s="248" t="inlineStr">
        <is>
          <t>12cut/Siam AB/SS8/Non/032+</t>
        </is>
      </c>
      <c r="I105" s="430" t="n"/>
    </row>
    <row r="106">
      <c r="A106" s="429" t="n"/>
      <c r="B106" s="301" t="inlineStr">
        <is>
          <t>SS12</t>
        </is>
      </c>
      <c r="C106" s="301" t="n">
        <v>1440</v>
      </c>
      <c r="D106" s="301" t="n">
        <v>455</v>
      </c>
      <c r="E106" s="301">
        <f>20+30</f>
        <v/>
      </c>
      <c r="F106" s="301" t="n"/>
      <c r="G106" s="245">
        <f>E106-F106</f>
        <v/>
      </c>
      <c r="H106" s="248" t="inlineStr">
        <is>
          <t>12cut/Siam AB/SS12/Non/032+</t>
        </is>
      </c>
      <c r="I106" s="430" t="n"/>
    </row>
    <row r="107">
      <c r="A107" s="429" t="n"/>
      <c r="B107" s="301" t="inlineStr">
        <is>
          <t>SS16</t>
        </is>
      </c>
      <c r="C107" s="301" t="n">
        <v>1440</v>
      </c>
      <c r="D107" s="301" t="n">
        <v>565</v>
      </c>
      <c r="E107" s="301">
        <f>2*25</f>
        <v/>
      </c>
      <c r="F107" s="301" t="n"/>
      <c r="G107" s="245">
        <f>E107-F107</f>
        <v/>
      </c>
      <c r="H107" s="248" t="inlineStr">
        <is>
          <t>12cut/Siam AB/SS16/Non/032+</t>
        </is>
      </c>
      <c r="I107" s="430" t="n"/>
    </row>
    <row r="108" ht="15.75" customHeight="1" thickBot="1">
      <c r="A108" s="431" t="n"/>
      <c r="B108" s="302" t="inlineStr">
        <is>
          <t>SS20</t>
        </is>
      </c>
      <c r="C108" s="302" t="n">
        <v>1440</v>
      </c>
      <c r="D108" s="302" t="n">
        <v>893</v>
      </c>
      <c r="E108" s="302">
        <f>3*15</f>
        <v/>
      </c>
      <c r="F108" s="302" t="n"/>
      <c r="G108" s="246">
        <f>E108-F108</f>
        <v/>
      </c>
      <c r="H108" s="249" t="inlineStr">
        <is>
          <t>12cut/Siam AB/SS20/Non/032+</t>
        </is>
      </c>
      <c r="I108" s="274" t="n"/>
    </row>
    <row r="109" ht="15.75" customHeight="1" thickTop="1">
      <c r="A109" s="317" t="inlineStr">
        <is>
          <t xml:space="preserve">Garnet AB </t>
        </is>
      </c>
      <c r="B109" s="317" t="inlineStr">
        <is>
          <t>SS6</t>
        </is>
      </c>
      <c r="C109" s="317" t="n">
        <v>1440</v>
      </c>
      <c r="D109" s="317" t="n">
        <v>246</v>
      </c>
      <c r="E109" s="317" t="n">
        <v>5</v>
      </c>
      <c r="F109" s="317" t="n"/>
      <c r="G109" s="244">
        <f>E109-F109</f>
        <v/>
      </c>
      <c r="H109" s="262" t="inlineStr">
        <is>
          <t>12cut/Garnet AB/SS6/Non/034+</t>
        </is>
      </c>
      <c r="I109" s="434" t="inlineStr">
        <is>
          <t>034+</t>
        </is>
      </c>
    </row>
    <row r="110">
      <c r="A110" s="429" t="n"/>
      <c r="B110" s="301" t="inlineStr">
        <is>
          <t>SS8</t>
        </is>
      </c>
      <c r="C110" s="301" t="n">
        <v>1440</v>
      </c>
      <c r="D110" s="301" t="n">
        <v>286</v>
      </c>
      <c r="E110" s="301" t="n">
        <v>5</v>
      </c>
      <c r="F110" s="301" t="n">
        <v>1</v>
      </c>
      <c r="G110" s="245">
        <f>E110-F110</f>
        <v/>
      </c>
      <c r="H110" s="248" t="inlineStr">
        <is>
          <t>12cut/Garnet AB/SS8/Non/034+</t>
        </is>
      </c>
      <c r="I110" s="430" t="n"/>
    </row>
    <row r="111">
      <c r="A111" s="429" t="n"/>
      <c r="B111" s="301" t="inlineStr">
        <is>
          <t>SS10</t>
        </is>
      </c>
      <c r="C111" s="301" t="n">
        <v>1440</v>
      </c>
      <c r="D111" s="301" t="n">
        <v>315</v>
      </c>
      <c r="E111" s="301" t="n">
        <v>5</v>
      </c>
      <c r="F111" s="301" t="n"/>
      <c r="G111" s="245">
        <f>E111-F111</f>
        <v/>
      </c>
      <c r="H111" s="248" t="inlineStr">
        <is>
          <t>12cut/Garnet AB/SS10/Non/034+</t>
        </is>
      </c>
      <c r="I111" s="430" t="n"/>
    </row>
    <row r="112">
      <c r="A112" s="429" t="n"/>
      <c r="B112" s="301" t="inlineStr">
        <is>
          <t>SS12</t>
        </is>
      </c>
      <c r="C112" s="301" t="n">
        <v>1440</v>
      </c>
      <c r="D112" s="301" t="n">
        <v>455</v>
      </c>
      <c r="E112" s="301" t="n">
        <v>5</v>
      </c>
      <c r="F112" s="301" t="n">
        <v>1</v>
      </c>
      <c r="G112" s="245">
        <f>E112-F112</f>
        <v/>
      </c>
      <c r="H112" s="248" t="inlineStr">
        <is>
          <t>12cut/Garnet AB/SS12/Non/034+</t>
        </is>
      </c>
      <c r="I112" s="430" t="n"/>
    </row>
    <row r="113">
      <c r="A113" s="429" t="n"/>
      <c r="B113" s="301" t="inlineStr">
        <is>
          <t>SS16</t>
        </is>
      </c>
      <c r="C113" s="301" t="n">
        <v>1440</v>
      </c>
      <c r="D113" s="301" t="n">
        <v>565</v>
      </c>
      <c r="E113" s="301" t="n">
        <v>5</v>
      </c>
      <c r="F113" s="301" t="n"/>
      <c r="G113" s="245">
        <f>E113-F113</f>
        <v/>
      </c>
      <c r="H113" s="248" t="inlineStr">
        <is>
          <t>12cut/Garnet AB/SS16/Non/034+</t>
        </is>
      </c>
      <c r="I113" s="430" t="n"/>
    </row>
    <row r="114">
      <c r="A114" s="429" t="n"/>
      <c r="B114" s="301" t="inlineStr">
        <is>
          <t>SS20</t>
        </is>
      </c>
      <c r="C114" s="301" t="n">
        <v>1440</v>
      </c>
      <c r="D114" s="301" t="n">
        <v>893</v>
      </c>
      <c r="E114" s="301" t="n">
        <v>4</v>
      </c>
      <c r="F114" s="301" t="n">
        <v>1</v>
      </c>
      <c r="G114" s="245">
        <f>E114-F114</f>
        <v/>
      </c>
      <c r="H114" s="248" t="inlineStr">
        <is>
          <t>12cut/Garnet AB/SS20/Non/034+</t>
        </is>
      </c>
      <c r="I114" s="430" t="n"/>
    </row>
    <row r="115" ht="15.75" customHeight="1" thickBot="1">
      <c r="A115" s="431" t="n"/>
      <c r="B115" s="301" t="inlineStr">
        <is>
          <t>SS30</t>
        </is>
      </c>
      <c r="C115" s="301" t="n">
        <v>288</v>
      </c>
      <c r="D115" s="301" t="n">
        <v>610</v>
      </c>
      <c r="E115" s="301" t="n">
        <v>4</v>
      </c>
      <c r="F115" s="302" t="n"/>
      <c r="G115" s="246">
        <f>E115-F115</f>
        <v/>
      </c>
      <c r="H115" s="249" t="inlineStr">
        <is>
          <t>12cut/Garnet AB/SS30/Non/034+</t>
        </is>
      </c>
      <c r="I115" s="274" t="n"/>
    </row>
    <row r="116" ht="15.75" customHeight="1" thickTop="1">
      <c r="A116" s="304" t="inlineStr">
        <is>
          <t xml:space="preserve">Fuchsia AB </t>
        </is>
      </c>
      <c r="B116" s="303" t="inlineStr">
        <is>
          <t>SS6</t>
        </is>
      </c>
      <c r="C116" s="303" t="n">
        <v>1440</v>
      </c>
      <c r="D116" s="303" t="n">
        <v>369</v>
      </c>
      <c r="E116" s="303">
        <f>2+3</f>
        <v/>
      </c>
      <c r="F116" s="303" t="n"/>
      <c r="G116" s="243">
        <f>E116-F116</f>
        <v/>
      </c>
      <c r="H116" s="262" t="inlineStr">
        <is>
          <t>12cut/Fuchsia Shimmer/SS6/Non/062</t>
        </is>
      </c>
      <c r="I116" s="379" t="inlineStr">
        <is>
          <t>062</t>
        </is>
      </c>
    </row>
    <row r="117">
      <c r="A117" s="429" t="n"/>
      <c r="B117" s="301" t="inlineStr">
        <is>
          <t>SS8</t>
        </is>
      </c>
      <c r="C117" s="301" t="n">
        <v>1440</v>
      </c>
      <c r="D117" s="301" t="n">
        <v>490</v>
      </c>
      <c r="E117" s="301">
        <f>2+3</f>
        <v/>
      </c>
      <c r="F117" s="301" t="n"/>
      <c r="G117" s="245">
        <f>E117-F117</f>
        <v/>
      </c>
      <c r="H117" s="248" t="inlineStr">
        <is>
          <t>12cut/Fuchsia Shimmer/SS8/Non/062</t>
        </is>
      </c>
      <c r="I117" s="430" t="n"/>
    </row>
    <row r="118">
      <c r="A118" s="429" t="n"/>
      <c r="B118" s="301" t="inlineStr">
        <is>
          <t>SS10</t>
        </is>
      </c>
      <c r="C118" s="301" t="n">
        <v>1440</v>
      </c>
      <c r="D118" s="301" t="n">
        <v>545</v>
      </c>
      <c r="E118" s="301">
        <f>2+3</f>
        <v/>
      </c>
      <c r="F118" s="301" t="n">
        <v>1</v>
      </c>
      <c r="G118" s="245">
        <f>E118-F118</f>
        <v/>
      </c>
      <c r="H118" s="248" t="inlineStr">
        <is>
          <t>12cut/Fuchsia Shimmer/SS10/Non/062</t>
        </is>
      </c>
      <c r="I118" s="430" t="n"/>
    </row>
    <row r="119">
      <c r="A119" s="429" t="n"/>
      <c r="B119" s="301" t="inlineStr">
        <is>
          <t>SS12</t>
        </is>
      </c>
      <c r="C119" s="301" t="n">
        <v>1440</v>
      </c>
      <c r="D119" s="301" t="n">
        <v>749</v>
      </c>
      <c r="E119" s="301">
        <f>2+3</f>
        <v/>
      </c>
      <c r="F119" s="301" t="n">
        <v>1</v>
      </c>
      <c r="G119" s="245">
        <f>E119-F119</f>
        <v/>
      </c>
      <c r="H119" s="248" t="inlineStr">
        <is>
          <t>12cut/Fuchsia Shimmer/SS12/Non/062</t>
        </is>
      </c>
      <c r="I119" s="430" t="n"/>
    </row>
    <row r="120">
      <c r="A120" s="429" t="n"/>
      <c r="B120" s="301" t="inlineStr">
        <is>
          <t>SS16</t>
        </is>
      </c>
      <c r="C120" s="301" t="n">
        <v>1440</v>
      </c>
      <c r="D120" s="301" t="n">
        <v>1013</v>
      </c>
      <c r="E120" s="301">
        <f>2+3</f>
        <v/>
      </c>
      <c r="F120" s="301" t="n">
        <v>1</v>
      </c>
      <c r="G120" s="245">
        <f>E120-F120</f>
        <v/>
      </c>
      <c r="H120" s="248" t="inlineStr">
        <is>
          <t>12cut/Fuchsia Shimmer/SS16/Non/062</t>
        </is>
      </c>
      <c r="I120" s="430" t="n"/>
    </row>
    <row r="121" ht="15.75" customHeight="1" thickBot="1">
      <c r="A121" s="429" t="n"/>
      <c r="B121" s="301" t="inlineStr">
        <is>
          <t>SS20</t>
        </is>
      </c>
      <c r="C121" s="301" t="n">
        <v>1440</v>
      </c>
      <c r="D121" s="301" t="n">
        <v>1513</v>
      </c>
      <c r="E121" s="301" t="n">
        <v>2</v>
      </c>
      <c r="F121" s="301">
        <f>1+1</f>
        <v/>
      </c>
      <c r="G121" s="245">
        <f>E121-F121</f>
        <v/>
      </c>
      <c r="H121" s="249" t="inlineStr">
        <is>
          <t>12cut/Fuchsia Shimmer/SS20/Non/062</t>
        </is>
      </c>
      <c r="I121" s="430" t="n"/>
    </row>
    <row r="122" ht="16.5" customHeight="1" thickBot="1" thickTop="1">
      <c r="A122" s="31" t="inlineStr">
        <is>
          <t>NEON PURPLE AB</t>
        </is>
      </c>
      <c r="B122" s="31" t="inlineStr">
        <is>
          <t>SS6</t>
        </is>
      </c>
      <c r="C122" s="31" t="n">
        <v>1440</v>
      </c>
      <c r="D122" s="31" t="n">
        <v>319</v>
      </c>
      <c r="E122" s="31">
        <f>20</f>
        <v/>
      </c>
      <c r="F122" s="31">
        <f>1+1</f>
        <v/>
      </c>
      <c r="G122" s="256">
        <f>E122-F122</f>
        <v/>
      </c>
      <c r="H122" s="277" t="inlineStr">
        <is>
          <t>12cut/Neon Purple AB/SS6/Non/073+</t>
        </is>
      </c>
      <c r="I122" s="266" t="inlineStr">
        <is>
          <t>073+</t>
        </is>
      </c>
    </row>
    <row r="123" ht="15.75" customHeight="1" thickTop="1"/>
  </sheetData>
  <mergeCells count="35">
    <mergeCell ref="A43:A50"/>
    <mergeCell ref="A3:A9"/>
    <mergeCell ref="I3:I9"/>
    <mergeCell ref="A104:A108"/>
    <mergeCell ref="A76:A80"/>
    <mergeCell ref="A95:A103"/>
    <mergeCell ref="I67:I75"/>
    <mergeCell ref="A81:A87"/>
    <mergeCell ref="A13:A19"/>
    <mergeCell ref="A10:A12"/>
    <mergeCell ref="A109:A115"/>
    <mergeCell ref="I13:I19"/>
    <mergeCell ref="I88:I94"/>
    <mergeCell ref="I10:I12"/>
    <mergeCell ref="I60:I66"/>
    <mergeCell ref="I116:I121"/>
    <mergeCell ref="I81:I87"/>
    <mergeCell ref="A1:D1"/>
    <mergeCell ref="I28:I35"/>
    <mergeCell ref="I51:I59"/>
    <mergeCell ref="I109:I115"/>
    <mergeCell ref="I43:I50"/>
    <mergeCell ref="I104:I108"/>
    <mergeCell ref="A88:A94"/>
    <mergeCell ref="A36:A42"/>
    <mergeCell ref="A116:A121"/>
    <mergeCell ref="I36:I42"/>
    <mergeCell ref="A67:A75"/>
    <mergeCell ref="A60:A66"/>
    <mergeCell ref="A51:A59"/>
    <mergeCell ref="A20:A27"/>
    <mergeCell ref="I76:I80"/>
    <mergeCell ref="I95:I103"/>
    <mergeCell ref="I20:I27"/>
    <mergeCell ref="A28:A35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Lenok</dc:creator>
  <dcterms:created xsi:type="dcterms:W3CDTF">2026-01-31T06:38:18Z</dcterms:created>
  <dcterms:modified xsi:type="dcterms:W3CDTF">2026-07-07T02:53:37Z</dcterms:modified>
  <cp:lastModifiedBy>Alexandr</cp:lastModifiedBy>
  <cp:lastPrinted>2026-04-22T12:43:34Z</cp:lastPrinted>
</cp:coreProperties>
</file>