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nas_parser\input\"/>
    </mc:Choice>
  </mc:AlternateContent>
  <xr:revisionPtr revIDLastSave="0" documentId="8_{04C2A453-09A5-471A-9A8B-1F53E8A42D77}" xr6:coauthVersionLast="45" xr6:coauthVersionMax="45" xr10:uidLastSave="{00000000-0000-0000-0000-000000000000}"/>
  <bookViews>
    <workbookView xWindow="-120" yWindow="-120" windowWidth="29040" windowHeight="15720" xr2:uid="{B9479F35-C5C5-4B02-B5D8-DF5EFFD9D405}"/>
  </bookViews>
  <sheets>
    <sheet name="12 граней холод АВ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22" i="1" l="1"/>
  <c r="E122" i="1"/>
  <c r="G122" i="1" s="1"/>
  <c r="F121" i="1"/>
  <c r="G121" i="1" s="1"/>
  <c r="G120" i="1"/>
  <c r="E120" i="1"/>
  <c r="E119" i="1"/>
  <c r="G119" i="1" s="1"/>
  <c r="E118" i="1"/>
  <c r="G118" i="1" s="1"/>
  <c r="G117" i="1"/>
  <c r="E117" i="1"/>
  <c r="E116" i="1"/>
  <c r="G116" i="1" s="1"/>
  <c r="G115" i="1"/>
  <c r="G114" i="1"/>
  <c r="G113" i="1"/>
  <c r="G112" i="1"/>
  <c r="G111" i="1"/>
  <c r="G110" i="1"/>
  <c r="G109" i="1"/>
  <c r="E108" i="1"/>
  <c r="G108" i="1" s="1"/>
  <c r="E107" i="1"/>
  <c r="G107" i="1" s="1"/>
  <c r="G106" i="1"/>
  <c r="E106" i="1"/>
  <c r="E105" i="1"/>
  <c r="G105" i="1" s="1"/>
  <c r="G104" i="1"/>
  <c r="G103" i="1"/>
  <c r="F102" i="1"/>
  <c r="E102" i="1"/>
  <c r="G102" i="1" s="1"/>
  <c r="G101" i="1"/>
  <c r="F101" i="1"/>
  <c r="G100" i="1"/>
  <c r="G99" i="1"/>
  <c r="G98" i="1"/>
  <c r="G97" i="1"/>
  <c r="G96" i="1"/>
  <c r="G95" i="1"/>
  <c r="E94" i="1"/>
  <c r="G94" i="1" s="1"/>
  <c r="F93" i="1"/>
  <c r="G93" i="1" s="1"/>
  <c r="E92" i="1"/>
  <c r="G92" i="1" s="1"/>
  <c r="F91" i="1"/>
  <c r="G91" i="1" s="1"/>
  <c r="E91" i="1"/>
  <c r="F90" i="1"/>
  <c r="G90" i="1" s="1"/>
  <c r="E90" i="1"/>
  <c r="E89" i="1"/>
  <c r="G89" i="1" s="1"/>
  <c r="F88" i="1"/>
  <c r="G88" i="1" s="1"/>
  <c r="F87" i="1"/>
  <c r="E87" i="1"/>
  <c r="G87" i="1" s="1"/>
  <c r="G86" i="1"/>
  <c r="F86" i="1"/>
  <c r="E86" i="1"/>
  <c r="G85" i="1"/>
  <c r="F85" i="1"/>
  <c r="E85" i="1"/>
  <c r="G84" i="1"/>
  <c r="E84" i="1"/>
  <c r="E83" i="1"/>
  <c r="G83" i="1" s="1"/>
  <c r="E82" i="1"/>
  <c r="G82" i="1" s="1"/>
  <c r="G81" i="1"/>
  <c r="E81" i="1"/>
  <c r="F80" i="1"/>
  <c r="G80" i="1" s="1"/>
  <c r="E80" i="1"/>
  <c r="F79" i="1"/>
  <c r="G79" i="1" s="1"/>
  <c r="E79" i="1"/>
  <c r="F78" i="1"/>
  <c r="E78" i="1"/>
  <c r="G78" i="1" s="1"/>
  <c r="E77" i="1"/>
  <c r="G77" i="1" s="1"/>
  <c r="E76" i="1"/>
  <c r="G76" i="1" s="1"/>
  <c r="G75" i="1"/>
  <c r="G74" i="1"/>
  <c r="F73" i="1"/>
  <c r="G73" i="1" s="1"/>
  <c r="E73" i="1"/>
  <c r="F72" i="1"/>
  <c r="E72" i="1"/>
  <c r="G72" i="1" s="1"/>
  <c r="E71" i="1"/>
  <c r="G71" i="1" s="1"/>
  <c r="E70" i="1"/>
  <c r="G70" i="1" s="1"/>
  <c r="G69" i="1"/>
  <c r="E69" i="1"/>
  <c r="G68" i="1"/>
  <c r="E68" i="1"/>
  <c r="G67" i="1"/>
  <c r="F66" i="1"/>
  <c r="E66" i="1"/>
  <c r="G66" i="1" s="1"/>
  <c r="F65" i="1"/>
  <c r="G65" i="1" s="1"/>
  <c r="E65" i="1"/>
  <c r="F64" i="1"/>
  <c r="G64" i="1" s="1"/>
  <c r="E64" i="1"/>
  <c r="G63" i="1"/>
  <c r="E63" i="1"/>
  <c r="G62" i="1"/>
  <c r="E62" i="1"/>
  <c r="E61" i="1"/>
  <c r="G61" i="1" s="1"/>
  <c r="F60" i="1"/>
  <c r="G60" i="1" s="1"/>
  <c r="E60" i="1"/>
  <c r="F59" i="1"/>
  <c r="G59" i="1" s="1"/>
  <c r="G58" i="1"/>
  <c r="F58" i="1"/>
  <c r="F57" i="1"/>
  <c r="G57" i="1" s="1"/>
  <c r="F56" i="1"/>
  <c r="G56" i="1" s="1"/>
  <c r="G55" i="1"/>
  <c r="G54" i="1"/>
  <c r="G53" i="1"/>
  <c r="G52" i="1"/>
  <c r="G51" i="1"/>
  <c r="G50" i="1"/>
  <c r="E50" i="1"/>
  <c r="G49" i="1"/>
  <c r="E49" i="1"/>
  <c r="G48" i="1"/>
  <c r="E48" i="1"/>
  <c r="E47" i="1"/>
  <c r="G47" i="1" s="1"/>
  <c r="E46" i="1"/>
  <c r="G46" i="1" s="1"/>
  <c r="G45" i="1"/>
  <c r="G44" i="1"/>
  <c r="G43" i="1"/>
  <c r="G42" i="1"/>
  <c r="E42" i="1"/>
  <c r="F41" i="1"/>
  <c r="E41" i="1"/>
  <c r="G41" i="1" s="1"/>
  <c r="F40" i="1"/>
  <c r="E40" i="1"/>
  <c r="G40" i="1" s="1"/>
  <c r="G39" i="1"/>
  <c r="E39" i="1"/>
  <c r="E38" i="1"/>
  <c r="G38" i="1" s="1"/>
  <c r="G37" i="1"/>
  <c r="G36" i="1"/>
  <c r="E35" i="1"/>
  <c r="G35" i="1" s="1"/>
  <c r="F34" i="1"/>
  <c r="E34" i="1"/>
  <c r="G34" i="1" s="1"/>
  <c r="F33" i="1"/>
  <c r="G33" i="1" s="1"/>
  <c r="E33" i="1"/>
  <c r="F32" i="1"/>
  <c r="G32" i="1" s="1"/>
  <c r="E32" i="1"/>
  <c r="G31" i="1"/>
  <c r="F31" i="1"/>
  <c r="E31" i="1"/>
  <c r="E30" i="1"/>
  <c r="G30" i="1" s="1"/>
  <c r="F29" i="1"/>
  <c r="G29" i="1" s="1"/>
  <c r="G28" i="1"/>
  <c r="F28" i="1"/>
  <c r="E27" i="1"/>
  <c r="G27" i="1" s="1"/>
  <c r="G26" i="1"/>
  <c r="F26" i="1"/>
  <c r="E26" i="1"/>
  <c r="F25" i="1"/>
  <c r="E25" i="1"/>
  <c r="G25" i="1" s="1"/>
  <c r="F24" i="1"/>
  <c r="G24" i="1" s="1"/>
  <c r="G23" i="1"/>
  <c r="F23" i="1"/>
  <c r="G22" i="1"/>
  <c r="G21" i="1"/>
  <c r="G20" i="1"/>
  <c r="G19" i="1"/>
  <c r="F19" i="1"/>
  <c r="E19" i="1"/>
  <c r="F18" i="1"/>
  <c r="E18" i="1"/>
  <c r="G18" i="1" s="1"/>
  <c r="F17" i="1"/>
  <c r="G17" i="1" s="1"/>
  <c r="E17" i="1"/>
  <c r="E16" i="1"/>
  <c r="G16" i="1" s="1"/>
  <c r="G15" i="1"/>
  <c r="E15" i="1"/>
  <c r="G14" i="1"/>
  <c r="G13" i="1"/>
  <c r="E12" i="1"/>
  <c r="G12" i="1" s="1"/>
  <c r="E11" i="1"/>
  <c r="G11" i="1" s="1"/>
  <c r="G10" i="1"/>
  <c r="E9" i="1"/>
  <c r="G9" i="1" s="1"/>
  <c r="G8" i="1"/>
  <c r="E8" i="1"/>
  <c r="G7" i="1"/>
  <c r="E7" i="1"/>
  <c r="E6" i="1"/>
  <c r="G6" i="1" s="1"/>
  <c r="E5" i="1"/>
  <c r="G5" i="1" s="1"/>
  <c r="E4" i="1"/>
  <c r="G4" i="1" s="1"/>
  <c r="G3" i="1"/>
</calcChain>
</file>

<file path=xl/sharedStrings.xml><?xml version="1.0" encoding="utf-8"?>
<sst xmlns="http://schemas.openxmlformats.org/spreadsheetml/2006/main" count="164" uniqueCount="54">
  <si>
    <t>12 граней холодная фиксация с эффектом АВ</t>
  </si>
  <si>
    <t>цвет</t>
  </si>
  <si>
    <t>размер</t>
  </si>
  <si>
    <t>штук в пачке</t>
  </si>
  <si>
    <t>цена продажи в руб</t>
  </si>
  <si>
    <t>всего шт пришло</t>
  </si>
  <si>
    <t>продано</t>
  </si>
  <si>
    <t>остаток на складе</t>
  </si>
  <si>
    <t>код цвета</t>
  </si>
  <si>
    <t>Jet Black AB</t>
  </si>
  <si>
    <t>SS6</t>
  </si>
  <si>
    <t>002+</t>
  </si>
  <si>
    <t>SS8</t>
  </si>
  <si>
    <t>SS10</t>
  </si>
  <si>
    <t>SS12</t>
  </si>
  <si>
    <t>SS16</t>
  </si>
  <si>
    <t>SS20</t>
  </si>
  <si>
    <t>SS30</t>
  </si>
  <si>
    <t>Smoked Topaz AB</t>
  </si>
  <si>
    <t>009+</t>
  </si>
  <si>
    <t>Lt.Colorado Topaz AB</t>
  </si>
  <si>
    <t>010+</t>
  </si>
  <si>
    <t>Sapphire AB</t>
  </si>
  <si>
    <t>013+</t>
  </si>
  <si>
    <t>SS34</t>
  </si>
  <si>
    <t>Aquamarine AB</t>
  </si>
  <si>
    <t>016+</t>
  </si>
  <si>
    <t>Capri Blue AB</t>
  </si>
  <si>
    <t>017+</t>
  </si>
  <si>
    <t>Montana AB</t>
  </si>
  <si>
    <t>018+</t>
  </si>
  <si>
    <t>Lt. Peridot AB</t>
  </si>
  <si>
    <t>SS3</t>
  </si>
  <si>
    <t>024+</t>
  </si>
  <si>
    <t>SS4</t>
  </si>
  <si>
    <t xml:space="preserve">Emerald AB </t>
  </si>
  <si>
    <t>026+</t>
  </si>
  <si>
    <t xml:space="preserve">LT.Peach AB </t>
  </si>
  <si>
    <t>029+</t>
  </si>
  <si>
    <t>Hyacinth AB</t>
  </si>
  <si>
    <t>031+</t>
  </si>
  <si>
    <t>Citrine AB</t>
  </si>
  <si>
    <t>035+</t>
  </si>
  <si>
    <t xml:space="preserve">Lt.RoseAB </t>
  </si>
  <si>
    <t>038+</t>
  </si>
  <si>
    <t xml:space="preserve">Lt. Siam Shimmer </t>
  </si>
  <si>
    <t>061</t>
  </si>
  <si>
    <t>Siam AB</t>
  </si>
  <si>
    <t xml:space="preserve">Garnet AB </t>
  </si>
  <si>
    <t>034+</t>
  </si>
  <si>
    <t xml:space="preserve">Fuchsia AB </t>
  </si>
  <si>
    <t>062</t>
  </si>
  <si>
    <t>NEON PURPLE AB</t>
  </si>
  <si>
    <t>073+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</si>
</sst>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b/>
      <sz val="12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0" xfId="0" applyFont="1"/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9290-2C92-4642-A720-72D568BFA809}">
  <dimension ref="A1:I123"/>
  <sheetViews>
    <sheetView tabSelected="1" topLeftCell="A82" workbookViewId="0">
      <selection activeCell="F100" sqref="F100"/>
    </sheetView>
  </sheetViews>
  <sheetFormatPr defaultRowHeight="15" x14ac:dyDescent="0.25"/>
  <cols>
    <col min="1" max="1" width="21.5703125" customWidth="1"/>
  </cols>
  <sheetData>
    <row r="1" spans="1:9" ht="15.75" x14ac:dyDescent="0.25">
      <c r="A1" s="1" t="s">
        <v>0</v>
      </c>
      <c r="B1" s="1"/>
      <c r="C1" s="1"/>
      <c r="D1" s="1"/>
      <c r="E1" s="2"/>
      <c r="F1" s="2"/>
      <c r="G1" s="2"/>
      <c r="H1" s="3"/>
      <c r="I1" s="3"/>
    </row>
    <row r="2" spans="1:9" ht="43.5" thickBot="1" x14ac:dyDescent="0.3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5" t="s">
        <v>8</v>
      </c>
      <c r="I2" s="3"/>
    </row>
    <row r="3" spans="1:9" ht="15.75" thickTop="1" x14ac:dyDescent="0.25">
      <c r="A3" s="6" t="s">
        <v>9</v>
      </c>
      <c r="B3" s="7" t="s">
        <v>10</v>
      </c>
      <c r="C3" s="8">
        <v>1440</v>
      </c>
      <c r="D3" s="8">
        <v>195</v>
      </c>
      <c r="E3" s="8">
        <v>50</v>
      </c>
      <c r="F3" s="8"/>
      <c r="G3" s="8">
        <f>E3-F3</f>
        <v>50</v>
      </c>
      <c r="H3" s="9" t="s">
        <v>11</v>
      </c>
      <c r="I3" s="3"/>
    </row>
    <row r="4" spans="1:9" x14ac:dyDescent="0.25">
      <c r="A4" s="10"/>
      <c r="B4" s="11" t="s">
        <v>12</v>
      </c>
      <c r="C4" s="12">
        <v>1440</v>
      </c>
      <c r="D4" s="12">
        <v>240</v>
      </c>
      <c r="E4" s="12">
        <f>8+40</f>
        <v>48</v>
      </c>
      <c r="F4" s="12"/>
      <c r="G4" s="12">
        <f t="shared" ref="G4:G12" si="0">E4-F4</f>
        <v>48</v>
      </c>
      <c r="H4" s="13"/>
      <c r="I4" s="3"/>
    </row>
    <row r="5" spans="1:9" x14ac:dyDescent="0.25">
      <c r="A5" s="10"/>
      <c r="B5" s="11" t="s">
        <v>13</v>
      </c>
      <c r="C5" s="12">
        <v>1440</v>
      </c>
      <c r="D5" s="12">
        <v>262</v>
      </c>
      <c r="E5" s="12">
        <f>15+35</f>
        <v>50</v>
      </c>
      <c r="F5" s="12"/>
      <c r="G5" s="12">
        <f t="shared" si="0"/>
        <v>50</v>
      </c>
      <c r="H5" s="13"/>
      <c r="I5" s="3"/>
    </row>
    <row r="6" spans="1:9" x14ac:dyDescent="0.25">
      <c r="A6" s="10"/>
      <c r="B6" s="11" t="s">
        <v>14</v>
      </c>
      <c r="C6" s="12">
        <v>1440</v>
      </c>
      <c r="D6" s="12">
        <v>370</v>
      </c>
      <c r="E6" s="12">
        <f>20+30</f>
        <v>50</v>
      </c>
      <c r="F6" s="12">
        <v>1</v>
      </c>
      <c r="G6" s="12">
        <f t="shared" si="0"/>
        <v>49</v>
      </c>
      <c r="H6" s="13"/>
      <c r="I6" s="3"/>
    </row>
    <row r="7" spans="1:9" x14ac:dyDescent="0.25">
      <c r="A7" s="10"/>
      <c r="B7" s="11" t="s">
        <v>15</v>
      </c>
      <c r="C7" s="12">
        <v>1440</v>
      </c>
      <c r="D7" s="12">
        <v>485</v>
      </c>
      <c r="E7" s="12">
        <f>2*25</f>
        <v>50</v>
      </c>
      <c r="F7" s="12"/>
      <c r="G7" s="12">
        <f t="shared" si="0"/>
        <v>50</v>
      </c>
      <c r="H7" s="13"/>
      <c r="I7" s="3"/>
    </row>
    <row r="8" spans="1:9" x14ac:dyDescent="0.25">
      <c r="A8" s="10"/>
      <c r="B8" s="11" t="s">
        <v>16</v>
      </c>
      <c r="C8" s="12">
        <v>1440</v>
      </c>
      <c r="D8" s="12">
        <v>693</v>
      </c>
      <c r="E8" s="12">
        <f>3*15+4</f>
        <v>49</v>
      </c>
      <c r="F8" s="12"/>
      <c r="G8" s="12">
        <f t="shared" si="0"/>
        <v>49</v>
      </c>
      <c r="H8" s="13"/>
      <c r="I8" s="3"/>
    </row>
    <row r="9" spans="1:9" ht="15.75" thickBot="1" x14ac:dyDescent="0.3">
      <c r="A9" s="14"/>
      <c r="B9" s="15" t="s">
        <v>17</v>
      </c>
      <c r="C9" s="16">
        <v>288</v>
      </c>
      <c r="D9" s="16">
        <v>455</v>
      </c>
      <c r="E9" s="16">
        <f>25+23</f>
        <v>48</v>
      </c>
      <c r="F9" s="16"/>
      <c r="G9" s="16">
        <f t="shared" si="0"/>
        <v>48</v>
      </c>
      <c r="H9" s="17"/>
      <c r="I9" s="3"/>
    </row>
    <row r="10" spans="1:9" ht="15.75" thickTop="1" x14ac:dyDescent="0.25">
      <c r="A10" s="6" t="s">
        <v>18</v>
      </c>
      <c r="B10" s="7" t="s">
        <v>15</v>
      </c>
      <c r="C10" s="8">
        <v>1440</v>
      </c>
      <c r="D10" s="8">
        <v>499</v>
      </c>
      <c r="E10" s="8">
        <v>20</v>
      </c>
      <c r="F10" s="8"/>
      <c r="G10" s="8">
        <f t="shared" si="0"/>
        <v>20</v>
      </c>
      <c r="H10" s="9" t="s">
        <v>19</v>
      </c>
      <c r="I10" s="3"/>
    </row>
    <row r="11" spans="1:9" x14ac:dyDescent="0.25">
      <c r="A11" s="10"/>
      <c r="B11" s="11" t="s">
        <v>16</v>
      </c>
      <c r="C11" s="12">
        <v>1440</v>
      </c>
      <c r="D11" s="12">
        <v>803</v>
      </c>
      <c r="E11" s="12">
        <f>15+2</f>
        <v>17</v>
      </c>
      <c r="F11" s="12"/>
      <c r="G11" s="12">
        <f t="shared" si="0"/>
        <v>17</v>
      </c>
      <c r="H11" s="13"/>
      <c r="I11" s="3"/>
    </row>
    <row r="12" spans="1:9" ht="15.75" thickBot="1" x14ac:dyDescent="0.3">
      <c r="A12" s="14"/>
      <c r="B12" s="15" t="s">
        <v>17</v>
      </c>
      <c r="C12" s="16">
        <v>288</v>
      </c>
      <c r="D12" s="16">
        <v>478</v>
      </c>
      <c r="E12" s="16">
        <f>19</f>
        <v>19</v>
      </c>
      <c r="F12" s="16"/>
      <c r="G12" s="16">
        <f t="shared" si="0"/>
        <v>19</v>
      </c>
      <c r="H12" s="17"/>
      <c r="I12" s="3"/>
    </row>
    <row r="13" spans="1:9" ht="15.75" thickTop="1" x14ac:dyDescent="0.25">
      <c r="A13" s="18" t="s">
        <v>20</v>
      </c>
      <c r="B13" s="7" t="s">
        <v>10</v>
      </c>
      <c r="C13" s="7">
        <v>1440</v>
      </c>
      <c r="D13" s="7">
        <v>221</v>
      </c>
      <c r="E13" s="7">
        <v>50</v>
      </c>
      <c r="F13" s="8"/>
      <c r="G13" s="8">
        <f>E13-F13</f>
        <v>50</v>
      </c>
      <c r="H13" s="9" t="s">
        <v>21</v>
      </c>
      <c r="I13" s="3"/>
    </row>
    <row r="14" spans="1:9" x14ac:dyDescent="0.25">
      <c r="A14" s="19"/>
      <c r="B14" s="11" t="s">
        <v>12</v>
      </c>
      <c r="C14" s="11">
        <v>1440</v>
      </c>
      <c r="D14" s="11">
        <v>259</v>
      </c>
      <c r="E14" s="11">
        <v>40</v>
      </c>
      <c r="F14" s="12"/>
      <c r="G14" s="12">
        <f t="shared" ref="G14:G77" si="1">E14-F14</f>
        <v>40</v>
      </c>
      <c r="H14" s="13"/>
      <c r="I14" s="3"/>
    </row>
    <row r="15" spans="1:9" x14ac:dyDescent="0.25">
      <c r="A15" s="19"/>
      <c r="B15" s="11" t="s">
        <v>13</v>
      </c>
      <c r="C15" s="11">
        <v>1440</v>
      </c>
      <c r="D15" s="11">
        <v>281</v>
      </c>
      <c r="E15" s="11">
        <f>35+14</f>
        <v>49</v>
      </c>
      <c r="F15" s="12"/>
      <c r="G15" s="12">
        <f t="shared" si="1"/>
        <v>49</v>
      </c>
      <c r="H15" s="13"/>
      <c r="I15" s="3"/>
    </row>
    <row r="16" spans="1:9" x14ac:dyDescent="0.25">
      <c r="A16" s="19"/>
      <c r="B16" s="11" t="s">
        <v>14</v>
      </c>
      <c r="C16" s="11">
        <v>1440</v>
      </c>
      <c r="D16" s="11">
        <v>391</v>
      </c>
      <c r="E16" s="11">
        <f>19+30</f>
        <v>49</v>
      </c>
      <c r="F16" s="12">
        <v>1</v>
      </c>
      <c r="G16" s="12">
        <f t="shared" si="1"/>
        <v>48</v>
      </c>
      <c r="H16" s="13"/>
      <c r="I16" s="3"/>
    </row>
    <row r="17" spans="1:9" x14ac:dyDescent="0.25">
      <c r="A17" s="19"/>
      <c r="B17" s="11" t="s">
        <v>15</v>
      </c>
      <c r="C17" s="11">
        <v>1440</v>
      </c>
      <c r="D17" s="11">
        <v>499</v>
      </c>
      <c r="E17" s="11">
        <f>24+25</f>
        <v>49</v>
      </c>
      <c r="F17" s="12">
        <f>1+1</f>
        <v>2</v>
      </c>
      <c r="G17" s="12">
        <f t="shared" si="1"/>
        <v>47</v>
      </c>
      <c r="H17" s="13"/>
      <c r="I17" s="3"/>
    </row>
    <row r="18" spans="1:9" x14ac:dyDescent="0.25">
      <c r="A18" s="19"/>
      <c r="B18" s="11" t="s">
        <v>16</v>
      </c>
      <c r="C18" s="11">
        <v>1440</v>
      </c>
      <c r="D18" s="11">
        <v>803</v>
      </c>
      <c r="E18" s="11">
        <f>3*15+1</f>
        <v>46</v>
      </c>
      <c r="F18" s="12">
        <f>10+1+1+1+1</f>
        <v>14</v>
      </c>
      <c r="G18" s="12">
        <f t="shared" si="1"/>
        <v>32</v>
      </c>
      <c r="H18" s="13"/>
      <c r="I18" s="3"/>
    </row>
    <row r="19" spans="1:9" ht="15.75" thickBot="1" x14ac:dyDescent="0.3">
      <c r="A19" s="20"/>
      <c r="B19" s="15" t="s">
        <v>17</v>
      </c>
      <c r="C19" s="15">
        <v>288</v>
      </c>
      <c r="D19" s="15">
        <v>478</v>
      </c>
      <c r="E19" s="15">
        <f>25+23</f>
        <v>48</v>
      </c>
      <c r="F19" s="16">
        <f>1+6</f>
        <v>7</v>
      </c>
      <c r="G19" s="16">
        <f t="shared" si="1"/>
        <v>41</v>
      </c>
      <c r="H19" s="17"/>
      <c r="I19" s="3"/>
    </row>
    <row r="20" spans="1:9" ht="15.75" thickTop="1" x14ac:dyDescent="0.25">
      <c r="A20" s="18" t="s">
        <v>22</v>
      </c>
      <c r="B20" s="7" t="s">
        <v>10</v>
      </c>
      <c r="C20" s="7">
        <v>1440</v>
      </c>
      <c r="D20" s="7">
        <v>221</v>
      </c>
      <c r="E20" s="7">
        <v>48</v>
      </c>
      <c r="F20" s="8"/>
      <c r="G20" s="8">
        <f t="shared" si="1"/>
        <v>48</v>
      </c>
      <c r="H20" s="9" t="s">
        <v>23</v>
      </c>
      <c r="I20" s="3"/>
    </row>
    <row r="21" spans="1:9" x14ac:dyDescent="0.25">
      <c r="A21" s="19"/>
      <c r="B21" s="11" t="s">
        <v>12</v>
      </c>
      <c r="C21" s="11">
        <v>1440</v>
      </c>
      <c r="D21" s="11">
        <v>259</v>
      </c>
      <c r="E21" s="11">
        <v>40</v>
      </c>
      <c r="F21" s="12"/>
      <c r="G21" s="12">
        <f t="shared" si="1"/>
        <v>40</v>
      </c>
      <c r="H21" s="13"/>
      <c r="I21" s="3"/>
    </row>
    <row r="22" spans="1:9" x14ac:dyDescent="0.25">
      <c r="A22" s="19"/>
      <c r="B22" s="11" t="s">
        <v>13</v>
      </c>
      <c r="C22" s="11">
        <v>1440</v>
      </c>
      <c r="D22" s="11">
        <v>281</v>
      </c>
      <c r="E22" s="11">
        <v>49</v>
      </c>
      <c r="F22" s="12"/>
      <c r="G22" s="12">
        <f t="shared" si="1"/>
        <v>49</v>
      </c>
      <c r="H22" s="13"/>
      <c r="I22" s="3"/>
    </row>
    <row r="23" spans="1:9" x14ac:dyDescent="0.25">
      <c r="A23" s="19"/>
      <c r="B23" s="11" t="s">
        <v>14</v>
      </c>
      <c r="C23" s="11">
        <v>1440</v>
      </c>
      <c r="D23" s="11">
        <v>391</v>
      </c>
      <c r="E23" s="11">
        <v>50</v>
      </c>
      <c r="F23" s="12">
        <f>1+1</f>
        <v>2</v>
      </c>
      <c r="G23" s="12">
        <f t="shared" si="1"/>
        <v>48</v>
      </c>
      <c r="H23" s="13"/>
      <c r="I23" s="3"/>
    </row>
    <row r="24" spans="1:9" x14ac:dyDescent="0.25">
      <c r="A24" s="19"/>
      <c r="B24" s="11" t="s">
        <v>15</v>
      </c>
      <c r="C24" s="11">
        <v>1440</v>
      </c>
      <c r="D24" s="11">
        <v>499</v>
      </c>
      <c r="E24" s="11">
        <v>49</v>
      </c>
      <c r="F24" s="12">
        <f>1+1+1</f>
        <v>3</v>
      </c>
      <c r="G24" s="12">
        <f t="shared" si="1"/>
        <v>46</v>
      </c>
      <c r="H24" s="13"/>
      <c r="I24" s="3"/>
    </row>
    <row r="25" spans="1:9" x14ac:dyDescent="0.25">
      <c r="A25" s="19"/>
      <c r="B25" s="11" t="s">
        <v>16</v>
      </c>
      <c r="C25" s="11">
        <v>1440</v>
      </c>
      <c r="D25" s="11">
        <v>803</v>
      </c>
      <c r="E25" s="11">
        <f>3*15</f>
        <v>45</v>
      </c>
      <c r="F25" s="12">
        <f>6+1+1+1+1</f>
        <v>10</v>
      </c>
      <c r="G25" s="12">
        <f t="shared" si="1"/>
        <v>35</v>
      </c>
      <c r="H25" s="13"/>
      <c r="I25" s="3"/>
    </row>
    <row r="26" spans="1:9" x14ac:dyDescent="0.25">
      <c r="A26" s="19"/>
      <c r="B26" s="11" t="s">
        <v>17</v>
      </c>
      <c r="C26" s="11">
        <v>288</v>
      </c>
      <c r="D26" s="11">
        <v>478</v>
      </c>
      <c r="E26" s="11">
        <f>25+22</f>
        <v>47</v>
      </c>
      <c r="F26" s="12">
        <f>1+1</f>
        <v>2</v>
      </c>
      <c r="G26" s="12">
        <f t="shared" si="1"/>
        <v>45</v>
      </c>
      <c r="H26" s="13"/>
      <c r="I26" s="3"/>
    </row>
    <row r="27" spans="1:9" ht="15.75" thickBot="1" x14ac:dyDescent="0.3">
      <c r="A27" s="20"/>
      <c r="B27" s="21" t="s">
        <v>24</v>
      </c>
      <c r="C27" s="15">
        <v>144</v>
      </c>
      <c r="D27" s="15">
        <v>800</v>
      </c>
      <c r="E27" s="15">
        <f>3*25</f>
        <v>75</v>
      </c>
      <c r="F27" s="16">
        <v>1</v>
      </c>
      <c r="G27" s="16">
        <f t="shared" si="1"/>
        <v>74</v>
      </c>
      <c r="H27" s="17"/>
      <c r="I27" s="3"/>
    </row>
    <row r="28" spans="1:9" ht="15.75" thickTop="1" x14ac:dyDescent="0.25">
      <c r="A28" s="18" t="s">
        <v>25</v>
      </c>
      <c r="B28" s="7" t="s">
        <v>10</v>
      </c>
      <c r="C28" s="7">
        <v>1440</v>
      </c>
      <c r="D28" s="7">
        <v>221</v>
      </c>
      <c r="E28" s="7">
        <v>50</v>
      </c>
      <c r="F28" s="8">
        <f>1+1+1+1+1</f>
        <v>5</v>
      </c>
      <c r="G28" s="8">
        <f t="shared" si="1"/>
        <v>45</v>
      </c>
      <c r="H28" s="9" t="s">
        <v>26</v>
      </c>
      <c r="I28" s="3"/>
    </row>
    <row r="29" spans="1:9" x14ac:dyDescent="0.25">
      <c r="A29" s="19"/>
      <c r="B29" s="11" t="s">
        <v>12</v>
      </c>
      <c r="C29" s="11">
        <v>1440</v>
      </c>
      <c r="D29" s="11">
        <v>259</v>
      </c>
      <c r="E29" s="11">
        <v>40</v>
      </c>
      <c r="F29" s="12">
        <f>1+1</f>
        <v>2</v>
      </c>
      <c r="G29" s="12">
        <f t="shared" si="1"/>
        <v>38</v>
      </c>
      <c r="H29" s="13"/>
      <c r="I29" s="3"/>
    </row>
    <row r="30" spans="1:9" x14ac:dyDescent="0.25">
      <c r="A30" s="19"/>
      <c r="B30" s="11" t="s">
        <v>13</v>
      </c>
      <c r="C30" s="11">
        <v>1440</v>
      </c>
      <c r="D30" s="11">
        <v>281</v>
      </c>
      <c r="E30" s="11">
        <f>15+35</f>
        <v>50</v>
      </c>
      <c r="F30" s="12">
        <v>1</v>
      </c>
      <c r="G30" s="12">
        <f t="shared" si="1"/>
        <v>49</v>
      </c>
      <c r="H30" s="13"/>
      <c r="I30" s="3"/>
    </row>
    <row r="31" spans="1:9" x14ac:dyDescent="0.25">
      <c r="A31" s="19"/>
      <c r="B31" s="11" t="s">
        <v>14</v>
      </c>
      <c r="C31" s="11">
        <v>1440</v>
      </c>
      <c r="D31" s="11">
        <v>391</v>
      </c>
      <c r="E31" s="11">
        <f>30+19</f>
        <v>49</v>
      </c>
      <c r="F31" s="12">
        <f>1+1+1+1</f>
        <v>4</v>
      </c>
      <c r="G31" s="12">
        <f t="shared" si="1"/>
        <v>45</v>
      </c>
      <c r="H31" s="13"/>
      <c r="I31" s="3"/>
    </row>
    <row r="32" spans="1:9" x14ac:dyDescent="0.25">
      <c r="A32" s="19"/>
      <c r="B32" s="11" t="s">
        <v>15</v>
      </c>
      <c r="C32" s="11">
        <v>1440</v>
      </c>
      <c r="D32" s="11">
        <v>499</v>
      </c>
      <c r="E32" s="11">
        <f>23+25</f>
        <v>48</v>
      </c>
      <c r="F32" s="12">
        <f>1+1+1+1+1+1+1+1+1+1</f>
        <v>10</v>
      </c>
      <c r="G32" s="12">
        <f t="shared" si="1"/>
        <v>38</v>
      </c>
      <c r="H32" s="13"/>
      <c r="I32" s="3"/>
    </row>
    <row r="33" spans="1:9" x14ac:dyDescent="0.25">
      <c r="A33" s="19"/>
      <c r="B33" s="11" t="s">
        <v>16</v>
      </c>
      <c r="C33" s="11">
        <v>1440</v>
      </c>
      <c r="D33" s="11">
        <v>803</v>
      </c>
      <c r="E33" s="11">
        <f>3*15</f>
        <v>45</v>
      </c>
      <c r="F33" s="12">
        <f>6+3+1+2+1</f>
        <v>13</v>
      </c>
      <c r="G33" s="12">
        <f t="shared" si="1"/>
        <v>32</v>
      </c>
      <c r="H33" s="13"/>
      <c r="I33" s="3"/>
    </row>
    <row r="34" spans="1:9" x14ac:dyDescent="0.25">
      <c r="A34" s="19"/>
      <c r="B34" s="11" t="s">
        <v>17</v>
      </c>
      <c r="C34" s="11">
        <v>288</v>
      </c>
      <c r="D34" s="11">
        <v>478</v>
      </c>
      <c r="E34" s="11">
        <f>24+25</f>
        <v>49</v>
      </c>
      <c r="F34" s="12">
        <f>1+2+1+1</f>
        <v>5</v>
      </c>
      <c r="G34" s="12">
        <f t="shared" si="1"/>
        <v>44</v>
      </c>
      <c r="H34" s="13"/>
      <c r="I34" s="3"/>
    </row>
    <row r="35" spans="1:9" ht="15.75" thickBot="1" x14ac:dyDescent="0.3">
      <c r="A35" s="20"/>
      <c r="B35" s="21" t="s">
        <v>24</v>
      </c>
      <c r="C35" s="15">
        <v>144</v>
      </c>
      <c r="D35" s="15">
        <v>800</v>
      </c>
      <c r="E35" s="15">
        <f>3*25+23</f>
        <v>98</v>
      </c>
      <c r="F35" s="16"/>
      <c r="G35" s="16">
        <f t="shared" si="1"/>
        <v>98</v>
      </c>
      <c r="H35" s="17"/>
      <c r="I35" s="3"/>
    </row>
    <row r="36" spans="1:9" ht="15.75" thickTop="1" x14ac:dyDescent="0.25">
      <c r="A36" s="18" t="s">
        <v>27</v>
      </c>
      <c r="B36" s="7" t="s">
        <v>10</v>
      </c>
      <c r="C36" s="7">
        <v>1440</v>
      </c>
      <c r="D36" s="7">
        <v>221</v>
      </c>
      <c r="E36" s="7">
        <v>48</v>
      </c>
      <c r="F36" s="8"/>
      <c r="G36" s="8">
        <f t="shared" si="1"/>
        <v>48</v>
      </c>
      <c r="H36" s="9" t="s">
        <v>28</v>
      </c>
      <c r="I36" s="3"/>
    </row>
    <row r="37" spans="1:9" x14ac:dyDescent="0.25">
      <c r="A37" s="19"/>
      <c r="B37" s="11" t="s">
        <v>12</v>
      </c>
      <c r="C37" s="11">
        <v>1440</v>
      </c>
      <c r="D37" s="11">
        <v>259</v>
      </c>
      <c r="E37" s="11">
        <v>40</v>
      </c>
      <c r="F37" s="12"/>
      <c r="G37" s="12">
        <f t="shared" si="1"/>
        <v>40</v>
      </c>
      <c r="H37" s="13"/>
      <c r="I37" s="3"/>
    </row>
    <row r="38" spans="1:9" x14ac:dyDescent="0.25">
      <c r="A38" s="19"/>
      <c r="B38" s="11" t="s">
        <v>13</v>
      </c>
      <c r="C38" s="11">
        <v>1440</v>
      </c>
      <c r="D38" s="11">
        <v>281</v>
      </c>
      <c r="E38" s="11">
        <f>14+35</f>
        <v>49</v>
      </c>
      <c r="F38" s="12"/>
      <c r="G38" s="12">
        <f t="shared" si="1"/>
        <v>49</v>
      </c>
      <c r="H38" s="13"/>
      <c r="I38" s="3"/>
    </row>
    <row r="39" spans="1:9" x14ac:dyDescent="0.25">
      <c r="A39" s="19"/>
      <c r="B39" s="11" t="s">
        <v>14</v>
      </c>
      <c r="C39" s="11">
        <v>1440</v>
      </c>
      <c r="D39" s="11">
        <v>391</v>
      </c>
      <c r="E39" s="11">
        <f>19+30</f>
        <v>49</v>
      </c>
      <c r="F39" s="12"/>
      <c r="G39" s="12">
        <f t="shared" si="1"/>
        <v>49</v>
      </c>
      <c r="H39" s="13"/>
      <c r="I39" s="3"/>
    </row>
    <row r="40" spans="1:9" x14ac:dyDescent="0.25">
      <c r="A40" s="19"/>
      <c r="B40" s="11" t="s">
        <v>15</v>
      </c>
      <c r="C40" s="11">
        <v>1440</v>
      </c>
      <c r="D40" s="11">
        <v>499</v>
      </c>
      <c r="E40" s="11">
        <f>2*25</f>
        <v>50</v>
      </c>
      <c r="F40" s="12">
        <f>1+1</f>
        <v>2</v>
      </c>
      <c r="G40" s="12">
        <f t="shared" si="1"/>
        <v>48</v>
      </c>
      <c r="H40" s="13"/>
      <c r="I40" s="3"/>
    </row>
    <row r="41" spans="1:9" x14ac:dyDescent="0.25">
      <c r="A41" s="19"/>
      <c r="B41" s="11" t="s">
        <v>16</v>
      </c>
      <c r="C41" s="11">
        <v>1440</v>
      </c>
      <c r="D41" s="11">
        <v>803</v>
      </c>
      <c r="E41" s="11">
        <f>3*15</f>
        <v>45</v>
      </c>
      <c r="F41" s="12">
        <f>1+1</f>
        <v>2</v>
      </c>
      <c r="G41" s="12">
        <f t="shared" si="1"/>
        <v>43</v>
      </c>
      <c r="H41" s="13"/>
      <c r="I41" s="3"/>
    </row>
    <row r="42" spans="1:9" ht="15.75" thickBot="1" x14ac:dyDescent="0.3">
      <c r="A42" s="20"/>
      <c r="B42" s="15" t="s">
        <v>17</v>
      </c>
      <c r="C42" s="15">
        <v>288</v>
      </c>
      <c r="D42" s="15">
        <v>478</v>
      </c>
      <c r="E42" s="15">
        <f>2*25</f>
        <v>50</v>
      </c>
      <c r="F42" s="16">
        <v>1</v>
      </c>
      <c r="G42" s="16">
        <f t="shared" si="1"/>
        <v>49</v>
      </c>
      <c r="H42" s="17"/>
      <c r="I42" s="3"/>
    </row>
    <row r="43" spans="1:9" ht="15.75" thickTop="1" x14ac:dyDescent="0.25">
      <c r="A43" s="22" t="s">
        <v>29</v>
      </c>
      <c r="B43" s="7" t="s">
        <v>10</v>
      </c>
      <c r="C43" s="7">
        <v>1440</v>
      </c>
      <c r="D43" s="7">
        <v>150</v>
      </c>
      <c r="E43" s="7">
        <v>49</v>
      </c>
      <c r="F43" s="8"/>
      <c r="G43" s="8">
        <f t="shared" si="1"/>
        <v>49</v>
      </c>
      <c r="H43" s="9" t="s">
        <v>30</v>
      </c>
      <c r="I43" s="3"/>
    </row>
    <row r="44" spans="1:9" x14ac:dyDescent="0.25">
      <c r="A44" s="23"/>
      <c r="B44" s="11" t="s">
        <v>12</v>
      </c>
      <c r="C44" s="11">
        <v>1440</v>
      </c>
      <c r="D44" s="11">
        <v>190</v>
      </c>
      <c r="E44" s="11">
        <v>40</v>
      </c>
      <c r="F44" s="12"/>
      <c r="G44" s="12">
        <f t="shared" si="1"/>
        <v>40</v>
      </c>
      <c r="H44" s="13"/>
      <c r="I44" s="3"/>
    </row>
    <row r="45" spans="1:9" x14ac:dyDescent="0.25">
      <c r="A45" s="23"/>
      <c r="B45" s="11" t="s">
        <v>13</v>
      </c>
      <c r="C45" s="11">
        <v>1440</v>
      </c>
      <c r="D45" s="11">
        <v>210</v>
      </c>
      <c r="E45" s="11">
        <v>35</v>
      </c>
      <c r="F45" s="12"/>
      <c r="G45" s="12">
        <f t="shared" si="1"/>
        <v>35</v>
      </c>
      <c r="H45" s="13"/>
      <c r="I45" s="3"/>
    </row>
    <row r="46" spans="1:9" x14ac:dyDescent="0.25">
      <c r="A46" s="23"/>
      <c r="B46" s="11" t="s">
        <v>14</v>
      </c>
      <c r="C46" s="11">
        <v>1440</v>
      </c>
      <c r="D46" s="11">
        <v>391</v>
      </c>
      <c r="E46" s="11">
        <f>10+30+6</f>
        <v>46</v>
      </c>
      <c r="F46" s="12">
        <v>1</v>
      </c>
      <c r="G46" s="12">
        <f t="shared" si="1"/>
        <v>45</v>
      </c>
      <c r="H46" s="13"/>
      <c r="I46" s="3"/>
    </row>
    <row r="47" spans="1:9" x14ac:dyDescent="0.25">
      <c r="A47" s="23"/>
      <c r="B47" s="11" t="s">
        <v>15</v>
      </c>
      <c r="C47" s="11">
        <v>1440</v>
      </c>
      <c r="D47" s="11">
        <v>415</v>
      </c>
      <c r="E47" s="11">
        <f>2*25</f>
        <v>50</v>
      </c>
      <c r="F47" s="12"/>
      <c r="G47" s="12">
        <f t="shared" si="1"/>
        <v>50</v>
      </c>
      <c r="H47" s="13"/>
      <c r="I47" s="3"/>
    </row>
    <row r="48" spans="1:9" x14ac:dyDescent="0.25">
      <c r="A48" s="23"/>
      <c r="B48" s="11" t="s">
        <v>16</v>
      </c>
      <c r="C48" s="11">
        <v>1440</v>
      </c>
      <c r="D48" s="11">
        <v>715</v>
      </c>
      <c r="E48" s="11">
        <f>3*15</f>
        <v>45</v>
      </c>
      <c r="F48" s="12"/>
      <c r="G48" s="12">
        <f t="shared" si="1"/>
        <v>45</v>
      </c>
      <c r="H48" s="13"/>
      <c r="I48" s="3"/>
    </row>
    <row r="49" spans="1:9" x14ac:dyDescent="0.25">
      <c r="A49" s="23"/>
      <c r="B49" s="11" t="s">
        <v>17</v>
      </c>
      <c r="C49" s="11">
        <v>288</v>
      </c>
      <c r="D49" s="11">
        <v>415</v>
      </c>
      <c r="E49" s="11">
        <f>22+25</f>
        <v>47</v>
      </c>
      <c r="F49" s="12"/>
      <c r="G49" s="12">
        <f t="shared" si="1"/>
        <v>47</v>
      </c>
      <c r="H49" s="13"/>
      <c r="I49" s="3"/>
    </row>
    <row r="50" spans="1:9" ht="15.75" thickBot="1" x14ac:dyDescent="0.3">
      <c r="A50" s="24"/>
      <c r="B50" s="21" t="s">
        <v>24</v>
      </c>
      <c r="C50" s="15">
        <v>144</v>
      </c>
      <c r="D50" s="15">
        <v>800</v>
      </c>
      <c r="E50" s="15">
        <f>21+3*25</f>
        <v>96</v>
      </c>
      <c r="F50" s="16"/>
      <c r="G50" s="16">
        <f t="shared" si="1"/>
        <v>96</v>
      </c>
      <c r="H50" s="17"/>
      <c r="I50" s="3"/>
    </row>
    <row r="51" spans="1:9" ht="15.75" thickTop="1" x14ac:dyDescent="0.25">
      <c r="A51" s="18" t="s">
        <v>31</v>
      </c>
      <c r="B51" s="25" t="s">
        <v>32</v>
      </c>
      <c r="C51" s="7">
        <v>1440</v>
      </c>
      <c r="D51" s="7">
        <v>210</v>
      </c>
      <c r="E51" s="7">
        <v>5</v>
      </c>
      <c r="F51" s="8"/>
      <c r="G51" s="8">
        <f t="shared" si="1"/>
        <v>5</v>
      </c>
      <c r="H51" s="9" t="s">
        <v>33</v>
      </c>
      <c r="I51" s="3"/>
    </row>
    <row r="52" spans="1:9" x14ac:dyDescent="0.25">
      <c r="A52" s="19"/>
      <c r="B52" s="26" t="s">
        <v>34</v>
      </c>
      <c r="C52" s="11">
        <v>1440</v>
      </c>
      <c r="D52" s="11">
        <v>210</v>
      </c>
      <c r="E52" s="11">
        <v>5</v>
      </c>
      <c r="F52" s="12"/>
      <c r="G52" s="12">
        <f t="shared" si="1"/>
        <v>5</v>
      </c>
      <c r="H52" s="13"/>
      <c r="I52" s="3"/>
    </row>
    <row r="53" spans="1:9" x14ac:dyDescent="0.25">
      <c r="A53" s="19"/>
      <c r="B53" s="11" t="s">
        <v>10</v>
      </c>
      <c r="C53" s="11">
        <v>1440</v>
      </c>
      <c r="D53" s="11">
        <v>221</v>
      </c>
      <c r="E53" s="11">
        <v>5</v>
      </c>
      <c r="F53" s="12">
        <v>1</v>
      </c>
      <c r="G53" s="12">
        <f t="shared" si="1"/>
        <v>4</v>
      </c>
      <c r="H53" s="13"/>
      <c r="I53" s="3"/>
    </row>
    <row r="54" spans="1:9" x14ac:dyDescent="0.25">
      <c r="A54" s="19"/>
      <c r="B54" s="11" t="s">
        <v>12</v>
      </c>
      <c r="C54" s="11">
        <v>1440</v>
      </c>
      <c r="D54" s="11">
        <v>259</v>
      </c>
      <c r="E54" s="11">
        <v>5</v>
      </c>
      <c r="F54" s="12"/>
      <c r="G54" s="12">
        <f t="shared" si="1"/>
        <v>5</v>
      </c>
      <c r="H54" s="13"/>
      <c r="I54" s="3"/>
    </row>
    <row r="55" spans="1:9" x14ac:dyDescent="0.25">
      <c r="A55" s="19"/>
      <c r="B55" s="11" t="s">
        <v>13</v>
      </c>
      <c r="C55" s="11">
        <v>1440</v>
      </c>
      <c r="D55" s="11">
        <v>281</v>
      </c>
      <c r="E55" s="11">
        <v>5</v>
      </c>
      <c r="F55" s="12">
        <v>1</v>
      </c>
      <c r="G55" s="12">
        <f t="shared" si="1"/>
        <v>4</v>
      </c>
      <c r="H55" s="13"/>
      <c r="I55" s="3"/>
    </row>
    <row r="56" spans="1:9" x14ac:dyDescent="0.25">
      <c r="A56" s="19"/>
      <c r="B56" s="11" t="s">
        <v>14</v>
      </c>
      <c r="C56" s="11">
        <v>1440</v>
      </c>
      <c r="D56" s="11">
        <v>391</v>
      </c>
      <c r="E56" s="11">
        <v>5</v>
      </c>
      <c r="F56" s="12">
        <f>1+1</f>
        <v>2</v>
      </c>
      <c r="G56" s="12">
        <f t="shared" si="1"/>
        <v>3</v>
      </c>
      <c r="H56" s="13"/>
      <c r="I56" s="3"/>
    </row>
    <row r="57" spans="1:9" x14ac:dyDescent="0.25">
      <c r="A57" s="19"/>
      <c r="B57" s="11" t="s">
        <v>15</v>
      </c>
      <c r="C57" s="11">
        <v>1440</v>
      </c>
      <c r="D57" s="11">
        <v>499</v>
      </c>
      <c r="E57" s="11">
        <v>5</v>
      </c>
      <c r="F57" s="12">
        <f>1+1+1</f>
        <v>3</v>
      </c>
      <c r="G57" s="12">
        <f t="shared" si="1"/>
        <v>2</v>
      </c>
      <c r="H57" s="13"/>
      <c r="I57" s="3"/>
    </row>
    <row r="58" spans="1:9" x14ac:dyDescent="0.25">
      <c r="A58" s="19"/>
      <c r="B58" s="11" t="s">
        <v>16</v>
      </c>
      <c r="C58" s="11">
        <v>1440</v>
      </c>
      <c r="D58" s="11">
        <v>802</v>
      </c>
      <c r="E58" s="11">
        <v>3</v>
      </c>
      <c r="F58" s="12">
        <f>1+1+1</f>
        <v>3</v>
      </c>
      <c r="G58" s="12">
        <f t="shared" si="1"/>
        <v>0</v>
      </c>
      <c r="H58" s="13"/>
      <c r="I58" s="3"/>
    </row>
    <row r="59" spans="1:9" ht="15.75" thickBot="1" x14ac:dyDescent="0.3">
      <c r="A59" s="20"/>
      <c r="B59" s="15" t="s">
        <v>17</v>
      </c>
      <c r="C59" s="15">
        <v>288</v>
      </c>
      <c r="D59" s="15">
        <v>470</v>
      </c>
      <c r="E59" s="15">
        <v>5</v>
      </c>
      <c r="F59" s="16">
        <f>3+1</f>
        <v>4</v>
      </c>
      <c r="G59" s="16">
        <f t="shared" si="1"/>
        <v>1</v>
      </c>
      <c r="H59" s="17"/>
      <c r="I59" s="3"/>
    </row>
    <row r="60" spans="1:9" ht="15.75" customHeight="1" thickTop="1" x14ac:dyDescent="0.25">
      <c r="A60" s="27" t="s">
        <v>35</v>
      </c>
      <c r="B60" s="7" t="s">
        <v>10</v>
      </c>
      <c r="C60" s="7">
        <v>1440</v>
      </c>
      <c r="D60" s="7">
        <v>221</v>
      </c>
      <c r="E60" s="7">
        <f>1+54</f>
        <v>55</v>
      </c>
      <c r="F60" s="7">
        <f>1+1</f>
        <v>2</v>
      </c>
      <c r="G60" s="7">
        <f t="shared" si="1"/>
        <v>53</v>
      </c>
      <c r="H60" s="9" t="s">
        <v>36</v>
      </c>
      <c r="I60" s="3"/>
    </row>
    <row r="61" spans="1:9" x14ac:dyDescent="0.25">
      <c r="A61" s="13"/>
      <c r="B61" s="11" t="s">
        <v>12</v>
      </c>
      <c r="C61" s="11">
        <v>1440</v>
      </c>
      <c r="D61" s="11">
        <v>259</v>
      </c>
      <c r="E61" s="11">
        <f>1+45</f>
        <v>46</v>
      </c>
      <c r="F61" s="11"/>
      <c r="G61" s="11">
        <f t="shared" si="1"/>
        <v>46</v>
      </c>
      <c r="H61" s="13"/>
      <c r="I61" s="3"/>
    </row>
    <row r="62" spans="1:9" x14ac:dyDescent="0.25">
      <c r="A62" s="13"/>
      <c r="B62" s="11" t="s">
        <v>13</v>
      </c>
      <c r="C62" s="11">
        <v>1440</v>
      </c>
      <c r="D62" s="11">
        <v>281</v>
      </c>
      <c r="E62" s="11">
        <f>52+2</f>
        <v>54</v>
      </c>
      <c r="F62" s="11"/>
      <c r="G62" s="11">
        <f t="shared" si="1"/>
        <v>54</v>
      </c>
      <c r="H62" s="13"/>
      <c r="I62" s="3"/>
    </row>
    <row r="63" spans="1:9" x14ac:dyDescent="0.25">
      <c r="A63" s="13"/>
      <c r="B63" s="11" t="s">
        <v>14</v>
      </c>
      <c r="C63" s="11">
        <v>1440</v>
      </c>
      <c r="D63" s="11">
        <v>391</v>
      </c>
      <c r="E63" s="11">
        <f>50+2</f>
        <v>52</v>
      </c>
      <c r="F63" s="11">
        <v>1</v>
      </c>
      <c r="G63" s="11">
        <f t="shared" si="1"/>
        <v>51</v>
      </c>
      <c r="H63" s="13"/>
      <c r="I63" s="3"/>
    </row>
    <row r="64" spans="1:9" x14ac:dyDescent="0.25">
      <c r="A64" s="13"/>
      <c r="B64" s="11" t="s">
        <v>15</v>
      </c>
      <c r="C64" s="11">
        <v>1440</v>
      </c>
      <c r="D64" s="11">
        <v>499</v>
      </c>
      <c r="E64" s="11">
        <f>25+23+1</f>
        <v>49</v>
      </c>
      <c r="F64" s="28">
        <f>1+1</f>
        <v>2</v>
      </c>
      <c r="G64" s="11">
        <f t="shared" si="1"/>
        <v>47</v>
      </c>
      <c r="H64" s="13"/>
      <c r="I64" s="3"/>
    </row>
    <row r="65" spans="1:9" x14ac:dyDescent="0.25">
      <c r="A65" s="13"/>
      <c r="B65" s="11" t="s">
        <v>16</v>
      </c>
      <c r="C65" s="11">
        <v>1440</v>
      </c>
      <c r="D65" s="11">
        <v>802</v>
      </c>
      <c r="E65" s="11">
        <f>3*15+2</f>
        <v>47</v>
      </c>
      <c r="F65" s="28">
        <f>1+1+1+1</f>
        <v>4</v>
      </c>
      <c r="G65" s="11">
        <f t="shared" si="1"/>
        <v>43</v>
      </c>
      <c r="H65" s="13"/>
      <c r="I65" s="3"/>
    </row>
    <row r="66" spans="1:9" ht="15.75" thickBot="1" x14ac:dyDescent="0.3">
      <c r="A66" s="29"/>
      <c r="B66" s="15" t="s">
        <v>17</v>
      </c>
      <c r="C66" s="15">
        <v>288</v>
      </c>
      <c r="D66" s="15">
        <v>470</v>
      </c>
      <c r="E66" s="15">
        <f>1+50</f>
        <v>51</v>
      </c>
      <c r="F66" s="15">
        <f>1+1</f>
        <v>2</v>
      </c>
      <c r="G66" s="15">
        <f t="shared" si="1"/>
        <v>49</v>
      </c>
      <c r="H66" s="13"/>
      <c r="I66" s="3"/>
    </row>
    <row r="67" spans="1:9" ht="15.75" thickTop="1" x14ac:dyDescent="0.25">
      <c r="A67" s="18" t="s">
        <v>37</v>
      </c>
      <c r="B67" s="7" t="s">
        <v>32</v>
      </c>
      <c r="C67" s="7">
        <v>1440</v>
      </c>
      <c r="D67" s="7">
        <v>258</v>
      </c>
      <c r="E67" s="7">
        <v>5</v>
      </c>
      <c r="F67" s="7"/>
      <c r="G67" s="7">
        <f t="shared" si="1"/>
        <v>5</v>
      </c>
      <c r="H67" s="9" t="s">
        <v>38</v>
      </c>
      <c r="I67" s="3"/>
    </row>
    <row r="68" spans="1:9" x14ac:dyDescent="0.25">
      <c r="A68" s="19"/>
      <c r="B68" s="11" t="s">
        <v>34</v>
      </c>
      <c r="C68" s="11">
        <v>1440</v>
      </c>
      <c r="D68" s="11">
        <v>258</v>
      </c>
      <c r="E68" s="11">
        <f>1+4</f>
        <v>5</v>
      </c>
      <c r="F68" s="11">
        <v>1</v>
      </c>
      <c r="G68" s="11">
        <f t="shared" si="1"/>
        <v>4</v>
      </c>
      <c r="H68" s="13"/>
      <c r="I68" s="3"/>
    </row>
    <row r="69" spans="1:9" x14ac:dyDescent="0.25">
      <c r="A69" s="19"/>
      <c r="B69" s="11" t="s">
        <v>10</v>
      </c>
      <c r="C69" s="11">
        <v>1440</v>
      </c>
      <c r="D69" s="11">
        <v>281</v>
      </c>
      <c r="E69" s="11">
        <f>1+4</f>
        <v>5</v>
      </c>
      <c r="F69" s="11"/>
      <c r="G69" s="11">
        <f t="shared" si="1"/>
        <v>5</v>
      </c>
      <c r="H69" s="13"/>
      <c r="I69" s="3"/>
    </row>
    <row r="70" spans="1:9" x14ac:dyDescent="0.25">
      <c r="A70" s="19"/>
      <c r="B70" s="11" t="s">
        <v>12</v>
      </c>
      <c r="C70" s="11">
        <v>1440</v>
      </c>
      <c r="D70" s="11">
        <v>325</v>
      </c>
      <c r="E70" s="11">
        <f>1+4</f>
        <v>5</v>
      </c>
      <c r="F70" s="11">
        <v>1</v>
      </c>
      <c r="G70" s="11">
        <f t="shared" si="1"/>
        <v>4</v>
      </c>
      <c r="H70" s="13"/>
      <c r="I70" s="3"/>
    </row>
    <row r="71" spans="1:9" x14ac:dyDescent="0.25">
      <c r="A71" s="19"/>
      <c r="B71" s="11" t="s">
        <v>13</v>
      </c>
      <c r="C71" s="11">
        <v>1440</v>
      </c>
      <c r="D71" s="11">
        <v>359</v>
      </c>
      <c r="E71" s="11">
        <f>1+7</f>
        <v>8</v>
      </c>
      <c r="F71" s="11"/>
      <c r="G71" s="11">
        <f t="shared" si="1"/>
        <v>8</v>
      </c>
      <c r="H71" s="13"/>
      <c r="I71" s="3"/>
    </row>
    <row r="72" spans="1:9" x14ac:dyDescent="0.25">
      <c r="A72" s="19"/>
      <c r="B72" s="11" t="s">
        <v>14</v>
      </c>
      <c r="C72" s="11">
        <v>1440</v>
      </c>
      <c r="D72" s="11">
        <v>513</v>
      </c>
      <c r="E72" s="11">
        <f>1+7</f>
        <v>8</v>
      </c>
      <c r="F72" s="11">
        <f>1+1</f>
        <v>2</v>
      </c>
      <c r="G72" s="11">
        <f t="shared" si="1"/>
        <v>6</v>
      </c>
      <c r="H72" s="13"/>
      <c r="I72" s="3"/>
    </row>
    <row r="73" spans="1:9" x14ac:dyDescent="0.25">
      <c r="A73" s="19"/>
      <c r="B73" s="11" t="s">
        <v>15</v>
      </c>
      <c r="C73" s="11">
        <v>1440</v>
      </c>
      <c r="D73" s="11">
        <v>720</v>
      </c>
      <c r="E73" s="11">
        <f>1+4</f>
        <v>5</v>
      </c>
      <c r="F73" s="11">
        <f>1+1</f>
        <v>2</v>
      </c>
      <c r="G73" s="11">
        <f t="shared" si="1"/>
        <v>3</v>
      </c>
      <c r="H73" s="13"/>
      <c r="I73" s="3"/>
    </row>
    <row r="74" spans="1:9" x14ac:dyDescent="0.25">
      <c r="A74" s="19"/>
      <c r="B74" s="11" t="s">
        <v>16</v>
      </c>
      <c r="C74" s="11">
        <v>1440</v>
      </c>
      <c r="D74" s="11">
        <v>1051</v>
      </c>
      <c r="E74" s="11">
        <v>1</v>
      </c>
      <c r="F74" s="11">
        <v>1</v>
      </c>
      <c r="G74" s="11">
        <f t="shared" si="1"/>
        <v>0</v>
      </c>
      <c r="H74" s="13"/>
      <c r="I74" s="3"/>
    </row>
    <row r="75" spans="1:9" ht="15.75" thickBot="1" x14ac:dyDescent="0.3">
      <c r="A75" s="20"/>
      <c r="B75" s="15" t="s">
        <v>17</v>
      </c>
      <c r="C75" s="15">
        <v>288</v>
      </c>
      <c r="D75" s="15">
        <v>691</v>
      </c>
      <c r="E75" s="15">
        <v>1</v>
      </c>
      <c r="F75" s="15">
        <v>1</v>
      </c>
      <c r="G75" s="15">
        <f t="shared" si="1"/>
        <v>0</v>
      </c>
      <c r="H75" s="17"/>
      <c r="I75" s="3"/>
    </row>
    <row r="76" spans="1:9" ht="15.75" thickTop="1" x14ac:dyDescent="0.25">
      <c r="A76" s="18" t="s">
        <v>39</v>
      </c>
      <c r="B76" s="7" t="s">
        <v>12</v>
      </c>
      <c r="C76" s="7">
        <v>1440</v>
      </c>
      <c r="D76" s="7">
        <v>286</v>
      </c>
      <c r="E76" s="7">
        <f>40+10</f>
        <v>50</v>
      </c>
      <c r="F76" s="7"/>
      <c r="G76" s="7">
        <f t="shared" si="1"/>
        <v>50</v>
      </c>
      <c r="H76" s="9" t="s">
        <v>40</v>
      </c>
      <c r="I76" s="3"/>
    </row>
    <row r="77" spans="1:9" x14ac:dyDescent="0.25">
      <c r="A77" s="19"/>
      <c r="B77" s="11" t="s">
        <v>14</v>
      </c>
      <c r="C77" s="11">
        <v>1440</v>
      </c>
      <c r="D77" s="11">
        <v>455</v>
      </c>
      <c r="E77" s="11">
        <f>20+30</f>
        <v>50</v>
      </c>
      <c r="F77" s="11"/>
      <c r="G77" s="11">
        <f t="shared" si="1"/>
        <v>50</v>
      </c>
      <c r="H77" s="13"/>
      <c r="I77" s="3"/>
    </row>
    <row r="78" spans="1:9" x14ac:dyDescent="0.25">
      <c r="A78" s="19"/>
      <c r="B78" s="11" t="s">
        <v>15</v>
      </c>
      <c r="C78" s="11">
        <v>1440</v>
      </c>
      <c r="D78" s="11">
        <v>565</v>
      </c>
      <c r="E78" s="11">
        <f>2*25</f>
        <v>50</v>
      </c>
      <c r="F78" s="11">
        <f>2+2+1+1</f>
        <v>6</v>
      </c>
      <c r="G78" s="11">
        <f t="shared" ref="G78:G140" si="2">E78-F78</f>
        <v>44</v>
      </c>
      <c r="H78" s="13"/>
      <c r="I78" s="3"/>
    </row>
    <row r="79" spans="1:9" x14ac:dyDescent="0.25">
      <c r="A79" s="19"/>
      <c r="B79" s="11" t="s">
        <v>16</v>
      </c>
      <c r="C79" s="11">
        <v>1440</v>
      </c>
      <c r="D79" s="11">
        <v>893</v>
      </c>
      <c r="E79" s="11">
        <f>3*15+5</f>
        <v>50</v>
      </c>
      <c r="F79" s="11">
        <f>6+2+1</f>
        <v>9</v>
      </c>
      <c r="G79" s="11">
        <f t="shared" si="2"/>
        <v>41</v>
      </c>
      <c r="H79" s="13"/>
      <c r="I79" s="3"/>
    </row>
    <row r="80" spans="1:9" ht="15.75" thickBot="1" x14ac:dyDescent="0.3">
      <c r="A80" s="20"/>
      <c r="B80" s="15" t="s">
        <v>17</v>
      </c>
      <c r="C80" s="15">
        <v>288</v>
      </c>
      <c r="D80" s="15">
        <v>610</v>
      </c>
      <c r="E80" s="15">
        <f>23+25</f>
        <v>48</v>
      </c>
      <c r="F80" s="15">
        <f>1+1</f>
        <v>2</v>
      </c>
      <c r="G80" s="15">
        <f t="shared" si="2"/>
        <v>46</v>
      </c>
      <c r="H80" s="17"/>
      <c r="I80" s="3"/>
    </row>
    <row r="81" spans="1:9" ht="15.75" thickTop="1" x14ac:dyDescent="0.25">
      <c r="A81" s="18" t="s">
        <v>41</v>
      </c>
      <c r="B81" s="7" t="s">
        <v>10</v>
      </c>
      <c r="C81" s="7">
        <v>1440</v>
      </c>
      <c r="D81" s="7">
        <v>246</v>
      </c>
      <c r="E81" s="7">
        <f>50+5</f>
        <v>55</v>
      </c>
      <c r="F81" s="7">
        <v>1</v>
      </c>
      <c r="G81" s="7">
        <f t="shared" si="2"/>
        <v>54</v>
      </c>
      <c r="H81" s="9" t="s">
        <v>42</v>
      </c>
      <c r="I81" s="3"/>
    </row>
    <row r="82" spans="1:9" x14ac:dyDescent="0.25">
      <c r="A82" s="19"/>
      <c r="B82" s="11" t="s">
        <v>12</v>
      </c>
      <c r="C82" s="11">
        <v>1440</v>
      </c>
      <c r="D82" s="11">
        <v>286</v>
      </c>
      <c r="E82" s="11">
        <f>40+5</f>
        <v>45</v>
      </c>
      <c r="F82" s="11"/>
      <c r="G82" s="11">
        <f t="shared" si="2"/>
        <v>45</v>
      </c>
      <c r="H82" s="13"/>
      <c r="I82" s="3"/>
    </row>
    <row r="83" spans="1:9" x14ac:dyDescent="0.25">
      <c r="A83" s="19"/>
      <c r="B83" s="11" t="s">
        <v>13</v>
      </c>
      <c r="C83" s="11">
        <v>1440</v>
      </c>
      <c r="D83" s="11">
        <v>315</v>
      </c>
      <c r="E83" s="11">
        <f>50+5</f>
        <v>55</v>
      </c>
      <c r="F83" s="11"/>
      <c r="G83" s="11">
        <f t="shared" si="2"/>
        <v>55</v>
      </c>
      <c r="H83" s="13"/>
      <c r="I83" s="3"/>
    </row>
    <row r="84" spans="1:9" x14ac:dyDescent="0.25">
      <c r="A84" s="19"/>
      <c r="B84" s="11" t="s">
        <v>14</v>
      </c>
      <c r="C84" s="11">
        <v>1440</v>
      </c>
      <c r="D84" s="11">
        <v>455</v>
      </c>
      <c r="E84" s="11">
        <f>50+5</f>
        <v>55</v>
      </c>
      <c r="F84" s="11"/>
      <c r="G84" s="11">
        <f t="shared" si="2"/>
        <v>55</v>
      </c>
      <c r="H84" s="13"/>
      <c r="I84" s="3"/>
    </row>
    <row r="85" spans="1:9" x14ac:dyDescent="0.25">
      <c r="A85" s="19"/>
      <c r="B85" s="11" t="s">
        <v>15</v>
      </c>
      <c r="C85" s="11">
        <v>1440</v>
      </c>
      <c r="D85" s="11">
        <v>565</v>
      </c>
      <c r="E85" s="11">
        <f>49+5</f>
        <v>54</v>
      </c>
      <c r="F85" s="11">
        <f>2+1+1</f>
        <v>4</v>
      </c>
      <c r="G85" s="11">
        <f t="shared" si="2"/>
        <v>50</v>
      </c>
      <c r="H85" s="13"/>
      <c r="I85" s="3"/>
    </row>
    <row r="86" spans="1:9" x14ac:dyDescent="0.25">
      <c r="A86" s="19"/>
      <c r="B86" s="11" t="s">
        <v>16</v>
      </c>
      <c r="C86" s="11">
        <v>1440</v>
      </c>
      <c r="D86" s="11">
        <v>893</v>
      </c>
      <c r="E86" s="11">
        <f>50+4</f>
        <v>54</v>
      </c>
      <c r="F86" s="11">
        <f>1+1+3+1+1</f>
        <v>7</v>
      </c>
      <c r="G86" s="11">
        <f t="shared" si="2"/>
        <v>47</v>
      </c>
      <c r="H86" s="13"/>
      <c r="I86" s="3"/>
    </row>
    <row r="87" spans="1:9" ht="15.75" thickBot="1" x14ac:dyDescent="0.3">
      <c r="A87" s="20"/>
      <c r="B87" s="15" t="s">
        <v>17</v>
      </c>
      <c r="C87" s="15">
        <v>288</v>
      </c>
      <c r="D87" s="15">
        <v>610</v>
      </c>
      <c r="E87" s="15">
        <f>49+1</f>
        <v>50</v>
      </c>
      <c r="F87" s="15">
        <f>2+1+1+1</f>
        <v>5</v>
      </c>
      <c r="G87" s="15">
        <f t="shared" si="2"/>
        <v>45</v>
      </c>
      <c r="H87" s="17"/>
      <c r="I87" s="3"/>
    </row>
    <row r="88" spans="1:9" ht="15.75" thickTop="1" x14ac:dyDescent="0.25">
      <c r="A88" s="18" t="s">
        <v>43</v>
      </c>
      <c r="B88" s="30" t="s">
        <v>10</v>
      </c>
      <c r="C88" s="7">
        <v>1440</v>
      </c>
      <c r="D88" s="7">
        <v>385</v>
      </c>
      <c r="E88" s="7">
        <v>50</v>
      </c>
      <c r="F88" s="7">
        <f>1+1</f>
        <v>2</v>
      </c>
      <c r="G88" s="7">
        <f t="shared" si="2"/>
        <v>48</v>
      </c>
      <c r="H88" s="9" t="s">
        <v>44</v>
      </c>
      <c r="I88" s="3"/>
    </row>
    <row r="89" spans="1:9" x14ac:dyDescent="0.25">
      <c r="A89" s="19"/>
      <c r="B89" s="11" t="s">
        <v>12</v>
      </c>
      <c r="C89" s="11">
        <v>1440</v>
      </c>
      <c r="D89" s="11">
        <v>501</v>
      </c>
      <c r="E89" s="11">
        <f>50+3</f>
        <v>53</v>
      </c>
      <c r="F89" s="11">
        <v>1</v>
      </c>
      <c r="G89" s="11">
        <f t="shared" si="2"/>
        <v>52</v>
      </c>
      <c r="H89" s="13"/>
      <c r="I89" s="3"/>
    </row>
    <row r="90" spans="1:9" x14ac:dyDescent="0.25">
      <c r="A90" s="19"/>
      <c r="B90" s="11" t="s">
        <v>13</v>
      </c>
      <c r="C90" s="11">
        <v>1440</v>
      </c>
      <c r="D90" s="11">
        <v>613</v>
      </c>
      <c r="E90" s="11">
        <f>50+1</f>
        <v>51</v>
      </c>
      <c r="F90" s="11">
        <f>1+1</f>
        <v>2</v>
      </c>
      <c r="G90" s="11">
        <f t="shared" si="2"/>
        <v>49</v>
      </c>
      <c r="H90" s="13"/>
      <c r="I90" s="3"/>
    </row>
    <row r="91" spans="1:9" x14ac:dyDescent="0.25">
      <c r="A91" s="19"/>
      <c r="B91" s="11" t="s">
        <v>14</v>
      </c>
      <c r="C91" s="11">
        <v>1440</v>
      </c>
      <c r="D91" s="11">
        <v>712</v>
      </c>
      <c r="E91" s="26">
        <f>30+20</f>
        <v>50</v>
      </c>
      <c r="F91" s="11">
        <f>1+1+1</f>
        <v>3</v>
      </c>
      <c r="G91" s="11">
        <f t="shared" si="2"/>
        <v>47</v>
      </c>
      <c r="H91" s="13"/>
      <c r="I91" s="3"/>
    </row>
    <row r="92" spans="1:9" x14ac:dyDescent="0.25">
      <c r="A92" s="19"/>
      <c r="B92" s="11" t="s">
        <v>15</v>
      </c>
      <c r="C92" s="11">
        <v>1440</v>
      </c>
      <c r="D92" s="11">
        <v>1238</v>
      </c>
      <c r="E92" s="11">
        <f>20+3</f>
        <v>23</v>
      </c>
      <c r="F92" s="11">
        <v>2</v>
      </c>
      <c r="G92" s="11">
        <f t="shared" si="2"/>
        <v>21</v>
      </c>
      <c r="H92" s="13"/>
      <c r="I92" s="3"/>
    </row>
    <row r="93" spans="1:9" x14ac:dyDescent="0.25">
      <c r="A93" s="19"/>
      <c r="B93" s="11" t="s">
        <v>16</v>
      </c>
      <c r="C93" s="11">
        <v>1440</v>
      </c>
      <c r="D93" s="11">
        <v>2000</v>
      </c>
      <c r="E93" s="11">
        <v>2</v>
      </c>
      <c r="F93" s="11">
        <f>1+1</f>
        <v>2</v>
      </c>
      <c r="G93" s="11">
        <f t="shared" si="2"/>
        <v>0</v>
      </c>
      <c r="H93" s="13"/>
      <c r="I93" s="3"/>
    </row>
    <row r="94" spans="1:9" ht="15.75" thickBot="1" x14ac:dyDescent="0.3">
      <c r="A94" s="20"/>
      <c r="B94" s="15" t="s">
        <v>17</v>
      </c>
      <c r="C94" s="15">
        <v>288</v>
      </c>
      <c r="D94" s="15">
        <v>1207</v>
      </c>
      <c r="E94" s="15">
        <f>49+4+20</f>
        <v>73</v>
      </c>
      <c r="F94" s="15">
        <v>2</v>
      </c>
      <c r="G94" s="15">
        <f t="shared" si="2"/>
        <v>71</v>
      </c>
      <c r="H94" s="17"/>
      <c r="I94" s="3"/>
    </row>
    <row r="95" spans="1:9" ht="15.75" thickTop="1" x14ac:dyDescent="0.25">
      <c r="A95" s="18" t="s">
        <v>45</v>
      </c>
      <c r="B95" s="25" t="s">
        <v>32</v>
      </c>
      <c r="C95" s="7">
        <v>1440</v>
      </c>
      <c r="D95" s="7">
        <v>237</v>
      </c>
      <c r="E95" s="7">
        <v>5</v>
      </c>
      <c r="F95" s="7"/>
      <c r="G95" s="7">
        <f t="shared" si="2"/>
        <v>5</v>
      </c>
      <c r="H95" s="31" t="s">
        <v>46</v>
      </c>
      <c r="I95" s="3"/>
    </row>
    <row r="96" spans="1:9" x14ac:dyDescent="0.25">
      <c r="A96" s="19"/>
      <c r="B96" s="26" t="s">
        <v>34</v>
      </c>
      <c r="C96" s="11">
        <v>1440</v>
      </c>
      <c r="D96" s="11">
        <v>237</v>
      </c>
      <c r="E96" s="11">
        <v>5</v>
      </c>
      <c r="F96" s="11"/>
      <c r="G96" s="11">
        <f t="shared" si="2"/>
        <v>5</v>
      </c>
      <c r="H96" s="32"/>
      <c r="I96" s="3"/>
    </row>
    <row r="97" spans="1:9" x14ac:dyDescent="0.25">
      <c r="A97" s="19"/>
      <c r="B97" s="11" t="s">
        <v>10</v>
      </c>
      <c r="C97" s="11">
        <v>1440</v>
      </c>
      <c r="D97" s="11">
        <v>246</v>
      </c>
      <c r="E97" s="11">
        <v>5</v>
      </c>
      <c r="F97" s="11"/>
      <c r="G97" s="11">
        <f t="shared" si="2"/>
        <v>5</v>
      </c>
      <c r="H97" s="32"/>
      <c r="I97" s="3"/>
    </row>
    <row r="98" spans="1:9" x14ac:dyDescent="0.25">
      <c r="A98" s="19"/>
      <c r="B98" s="11" t="s">
        <v>12</v>
      </c>
      <c r="C98" s="11">
        <v>1440</v>
      </c>
      <c r="D98" s="11">
        <v>286</v>
      </c>
      <c r="E98" s="11">
        <v>5</v>
      </c>
      <c r="F98" s="11"/>
      <c r="G98" s="11">
        <f t="shared" si="2"/>
        <v>5</v>
      </c>
      <c r="H98" s="32"/>
      <c r="I98" s="3"/>
    </row>
    <row r="99" spans="1:9" x14ac:dyDescent="0.25">
      <c r="A99" s="19"/>
      <c r="B99" s="11" t="s">
        <v>13</v>
      </c>
      <c r="C99" s="11">
        <v>1440</v>
      </c>
      <c r="D99" s="11">
        <v>315</v>
      </c>
      <c r="E99" s="11">
        <v>5</v>
      </c>
      <c r="F99" s="11">
        <v>1</v>
      </c>
      <c r="G99" s="11">
        <f t="shared" si="2"/>
        <v>4</v>
      </c>
      <c r="H99" s="32"/>
      <c r="I99" s="3"/>
    </row>
    <row r="100" spans="1:9" x14ac:dyDescent="0.25">
      <c r="A100" s="19"/>
      <c r="B100" s="11" t="s">
        <v>14</v>
      </c>
      <c r="C100" s="11">
        <v>1440</v>
      </c>
      <c r="D100" s="11">
        <v>455</v>
      </c>
      <c r="E100" s="11">
        <v>5</v>
      </c>
      <c r="F100" s="11"/>
      <c r="G100" s="11">
        <f t="shared" si="2"/>
        <v>5</v>
      </c>
      <c r="H100" s="32"/>
      <c r="I100" s="3"/>
    </row>
    <row r="101" spans="1:9" x14ac:dyDescent="0.25">
      <c r="A101" s="19"/>
      <c r="B101" s="11" t="s">
        <v>15</v>
      </c>
      <c r="C101" s="11">
        <v>1440</v>
      </c>
      <c r="D101" s="11">
        <v>565</v>
      </c>
      <c r="E101" s="11">
        <v>5</v>
      </c>
      <c r="F101" s="11">
        <f>1+1+1+1</f>
        <v>4</v>
      </c>
      <c r="G101" s="11">
        <f t="shared" si="2"/>
        <v>1</v>
      </c>
      <c r="H101" s="32"/>
      <c r="I101" s="3"/>
    </row>
    <row r="102" spans="1:9" x14ac:dyDescent="0.25">
      <c r="A102" s="19"/>
      <c r="B102" s="11" t="s">
        <v>16</v>
      </c>
      <c r="C102" s="11">
        <v>1440</v>
      </c>
      <c r="D102" s="11">
        <v>893</v>
      </c>
      <c r="E102" s="11">
        <f>2+5</f>
        <v>7</v>
      </c>
      <c r="F102" s="11">
        <f>4+1+1</f>
        <v>6</v>
      </c>
      <c r="G102" s="11">
        <f t="shared" si="2"/>
        <v>1</v>
      </c>
      <c r="H102" s="32"/>
      <c r="I102" s="3"/>
    </row>
    <row r="103" spans="1:9" ht="15.75" thickBot="1" x14ac:dyDescent="0.3">
      <c r="A103" s="9"/>
      <c r="B103" s="28" t="s">
        <v>17</v>
      </c>
      <c r="C103" s="28">
        <v>288</v>
      </c>
      <c r="D103" s="28">
        <v>610</v>
      </c>
      <c r="E103" s="28">
        <v>5</v>
      </c>
      <c r="F103" s="28">
        <v>1</v>
      </c>
      <c r="G103" s="28">
        <f t="shared" si="2"/>
        <v>4</v>
      </c>
      <c r="H103" s="33"/>
      <c r="I103" s="3"/>
    </row>
    <row r="104" spans="1:9" ht="15.75" thickTop="1" x14ac:dyDescent="0.25">
      <c r="A104" s="18" t="s">
        <v>47</v>
      </c>
      <c r="B104" s="7" t="s">
        <v>10</v>
      </c>
      <c r="C104" s="7">
        <v>1440</v>
      </c>
      <c r="D104" s="7">
        <v>246</v>
      </c>
      <c r="E104" s="7">
        <v>50</v>
      </c>
      <c r="F104" s="7"/>
      <c r="G104" s="7">
        <f t="shared" si="2"/>
        <v>50</v>
      </c>
      <c r="H104" s="31"/>
      <c r="I104" s="3"/>
    </row>
    <row r="105" spans="1:9" x14ac:dyDescent="0.25">
      <c r="A105" s="19"/>
      <c r="B105" s="11" t="s">
        <v>12</v>
      </c>
      <c r="C105" s="11">
        <v>1440</v>
      </c>
      <c r="D105" s="11">
        <v>286</v>
      </c>
      <c r="E105" s="11">
        <f>40+10</f>
        <v>50</v>
      </c>
      <c r="F105" s="11"/>
      <c r="G105" s="11">
        <f t="shared" si="2"/>
        <v>50</v>
      </c>
      <c r="H105" s="32"/>
      <c r="I105" s="3"/>
    </row>
    <row r="106" spans="1:9" x14ac:dyDescent="0.25">
      <c r="A106" s="19"/>
      <c r="B106" s="11" t="s">
        <v>14</v>
      </c>
      <c r="C106" s="11">
        <v>1440</v>
      </c>
      <c r="D106" s="11">
        <v>455</v>
      </c>
      <c r="E106" s="11">
        <f>20+30</f>
        <v>50</v>
      </c>
      <c r="F106" s="11"/>
      <c r="G106" s="11">
        <f t="shared" si="2"/>
        <v>50</v>
      </c>
      <c r="H106" s="32"/>
      <c r="I106" s="3"/>
    </row>
    <row r="107" spans="1:9" x14ac:dyDescent="0.25">
      <c r="A107" s="19"/>
      <c r="B107" s="11" t="s">
        <v>15</v>
      </c>
      <c r="C107" s="11">
        <v>1440</v>
      </c>
      <c r="D107" s="11">
        <v>565</v>
      </c>
      <c r="E107" s="11">
        <f>2*25</f>
        <v>50</v>
      </c>
      <c r="F107" s="11"/>
      <c r="G107" s="11">
        <f t="shared" si="2"/>
        <v>50</v>
      </c>
      <c r="H107" s="32"/>
      <c r="I107" s="3"/>
    </row>
    <row r="108" spans="1:9" ht="15.75" thickBot="1" x14ac:dyDescent="0.3">
      <c r="A108" s="20"/>
      <c r="B108" s="15" t="s">
        <v>16</v>
      </c>
      <c r="C108" s="15">
        <v>1440</v>
      </c>
      <c r="D108" s="15">
        <v>893</v>
      </c>
      <c r="E108" s="15">
        <f>3*15</f>
        <v>45</v>
      </c>
      <c r="F108" s="15"/>
      <c r="G108" s="15">
        <f t="shared" si="2"/>
        <v>45</v>
      </c>
      <c r="H108" s="33"/>
      <c r="I108" s="3"/>
    </row>
    <row r="109" spans="1:9" ht="15.75" thickTop="1" x14ac:dyDescent="0.25">
      <c r="A109" s="13" t="s">
        <v>48</v>
      </c>
      <c r="B109" s="34" t="s">
        <v>10</v>
      </c>
      <c r="C109" s="34">
        <v>1440</v>
      </c>
      <c r="D109" s="34">
        <v>246</v>
      </c>
      <c r="E109" s="34">
        <v>5</v>
      </c>
      <c r="F109" s="34"/>
      <c r="G109" s="34">
        <f t="shared" si="2"/>
        <v>5</v>
      </c>
      <c r="H109" s="31" t="s">
        <v>49</v>
      </c>
      <c r="I109" s="3"/>
    </row>
    <row r="110" spans="1:9" x14ac:dyDescent="0.25">
      <c r="A110" s="13"/>
      <c r="B110" s="11" t="s">
        <v>12</v>
      </c>
      <c r="C110" s="11">
        <v>1440</v>
      </c>
      <c r="D110" s="11">
        <v>286</v>
      </c>
      <c r="E110" s="11">
        <v>5</v>
      </c>
      <c r="F110" s="11">
        <v>1</v>
      </c>
      <c r="G110" s="11">
        <f t="shared" si="2"/>
        <v>4</v>
      </c>
      <c r="H110" s="32"/>
      <c r="I110" s="3"/>
    </row>
    <row r="111" spans="1:9" x14ac:dyDescent="0.25">
      <c r="A111" s="13"/>
      <c r="B111" s="11" t="s">
        <v>13</v>
      </c>
      <c r="C111" s="11">
        <v>1440</v>
      </c>
      <c r="D111" s="11">
        <v>315</v>
      </c>
      <c r="E111" s="11">
        <v>5</v>
      </c>
      <c r="F111" s="11"/>
      <c r="G111" s="11">
        <f t="shared" si="2"/>
        <v>5</v>
      </c>
      <c r="H111" s="32"/>
      <c r="I111" s="3"/>
    </row>
    <row r="112" spans="1:9" x14ac:dyDescent="0.25">
      <c r="A112" s="13"/>
      <c r="B112" s="11" t="s">
        <v>14</v>
      </c>
      <c r="C112" s="11">
        <v>1440</v>
      </c>
      <c r="D112" s="11">
        <v>455</v>
      </c>
      <c r="E112" s="11">
        <v>5</v>
      </c>
      <c r="F112" s="11">
        <v>1</v>
      </c>
      <c r="G112" s="11">
        <f t="shared" si="2"/>
        <v>4</v>
      </c>
      <c r="H112" s="32"/>
      <c r="I112" s="3"/>
    </row>
    <row r="113" spans="1:9" x14ac:dyDescent="0.25">
      <c r="A113" s="13"/>
      <c r="B113" s="11" t="s">
        <v>15</v>
      </c>
      <c r="C113" s="11">
        <v>1440</v>
      </c>
      <c r="D113" s="11">
        <v>565</v>
      </c>
      <c r="E113" s="11">
        <v>5</v>
      </c>
      <c r="F113" s="11"/>
      <c r="G113" s="11">
        <f t="shared" si="2"/>
        <v>5</v>
      </c>
      <c r="H113" s="32"/>
      <c r="I113" s="3"/>
    </row>
    <row r="114" spans="1:9" x14ac:dyDescent="0.25">
      <c r="A114" s="13"/>
      <c r="B114" s="11" t="s">
        <v>16</v>
      </c>
      <c r="C114" s="11">
        <v>1440</v>
      </c>
      <c r="D114" s="11">
        <v>893</v>
      </c>
      <c r="E114" s="11">
        <v>4</v>
      </c>
      <c r="F114" s="11">
        <v>1</v>
      </c>
      <c r="G114" s="11">
        <f t="shared" si="2"/>
        <v>3</v>
      </c>
      <c r="H114" s="32"/>
      <c r="I114" s="3"/>
    </row>
    <row r="115" spans="1:9" ht="15.75" thickBot="1" x14ac:dyDescent="0.3">
      <c r="A115" s="17"/>
      <c r="B115" s="11" t="s">
        <v>17</v>
      </c>
      <c r="C115" s="11">
        <v>288</v>
      </c>
      <c r="D115" s="11">
        <v>610</v>
      </c>
      <c r="E115" s="11">
        <v>4</v>
      </c>
      <c r="F115" s="15"/>
      <c r="G115" s="15">
        <f t="shared" si="2"/>
        <v>4</v>
      </c>
      <c r="H115" s="33"/>
      <c r="I115" s="3"/>
    </row>
    <row r="116" spans="1:9" ht="15.75" thickTop="1" x14ac:dyDescent="0.25">
      <c r="A116" s="27" t="s">
        <v>50</v>
      </c>
      <c r="B116" s="7" t="s">
        <v>10</v>
      </c>
      <c r="C116" s="7">
        <v>1440</v>
      </c>
      <c r="D116" s="7">
        <v>369</v>
      </c>
      <c r="E116" s="7">
        <f>2+3</f>
        <v>5</v>
      </c>
      <c r="F116" s="7"/>
      <c r="G116" s="7">
        <f t="shared" si="2"/>
        <v>5</v>
      </c>
      <c r="H116" s="31" t="s">
        <v>51</v>
      </c>
      <c r="I116" s="3"/>
    </row>
    <row r="117" spans="1:9" x14ac:dyDescent="0.25">
      <c r="A117" s="13"/>
      <c r="B117" s="11" t="s">
        <v>12</v>
      </c>
      <c r="C117" s="11">
        <v>1440</v>
      </c>
      <c r="D117" s="11">
        <v>490</v>
      </c>
      <c r="E117" s="11">
        <f>2+3</f>
        <v>5</v>
      </c>
      <c r="F117" s="11"/>
      <c r="G117" s="11">
        <f t="shared" si="2"/>
        <v>5</v>
      </c>
      <c r="H117" s="32"/>
      <c r="I117" s="3"/>
    </row>
    <row r="118" spans="1:9" x14ac:dyDescent="0.25">
      <c r="A118" s="13"/>
      <c r="B118" s="11" t="s">
        <v>13</v>
      </c>
      <c r="C118" s="11">
        <v>1440</v>
      </c>
      <c r="D118" s="11">
        <v>545</v>
      </c>
      <c r="E118" s="11">
        <f>2+3</f>
        <v>5</v>
      </c>
      <c r="F118" s="11">
        <v>1</v>
      </c>
      <c r="G118" s="11">
        <f t="shared" si="2"/>
        <v>4</v>
      </c>
      <c r="H118" s="32"/>
      <c r="I118" s="3"/>
    </row>
    <row r="119" spans="1:9" x14ac:dyDescent="0.25">
      <c r="A119" s="13"/>
      <c r="B119" s="11" t="s">
        <v>14</v>
      </c>
      <c r="C119" s="11">
        <v>1440</v>
      </c>
      <c r="D119" s="11">
        <v>749</v>
      </c>
      <c r="E119" s="11">
        <f>2+3</f>
        <v>5</v>
      </c>
      <c r="F119" s="11">
        <v>1</v>
      </c>
      <c r="G119" s="11">
        <f t="shared" si="2"/>
        <v>4</v>
      </c>
      <c r="H119" s="32"/>
      <c r="I119" s="3"/>
    </row>
    <row r="120" spans="1:9" x14ac:dyDescent="0.25">
      <c r="A120" s="13"/>
      <c r="B120" s="11" t="s">
        <v>15</v>
      </c>
      <c r="C120" s="11">
        <v>1440</v>
      </c>
      <c r="D120" s="11">
        <v>1013</v>
      </c>
      <c r="E120" s="11">
        <f>2+3</f>
        <v>5</v>
      </c>
      <c r="F120" s="11">
        <v>1</v>
      </c>
      <c r="G120" s="11">
        <f t="shared" si="2"/>
        <v>4</v>
      </c>
      <c r="H120" s="32"/>
      <c r="I120" s="3"/>
    </row>
    <row r="121" spans="1:9" ht="15.75" thickBot="1" x14ac:dyDescent="0.3">
      <c r="A121" s="13"/>
      <c r="B121" s="11" t="s">
        <v>16</v>
      </c>
      <c r="C121" s="11">
        <v>1440</v>
      </c>
      <c r="D121" s="11">
        <v>1513</v>
      </c>
      <c r="E121" s="11">
        <v>2</v>
      </c>
      <c r="F121" s="11">
        <f>1+1</f>
        <v>2</v>
      </c>
      <c r="G121" s="11">
        <f t="shared" si="2"/>
        <v>0</v>
      </c>
      <c r="H121" s="32"/>
      <c r="I121" s="3"/>
    </row>
    <row r="122" spans="1:9" ht="16.5" thickTop="1" thickBot="1" x14ac:dyDescent="0.3">
      <c r="A122" s="35" t="s">
        <v>52</v>
      </c>
      <c r="B122" s="35" t="s">
        <v>10</v>
      </c>
      <c r="C122" s="35">
        <v>1440</v>
      </c>
      <c r="D122" s="35">
        <v>319</v>
      </c>
      <c r="E122" s="35">
        <f>10+20</f>
        <v>30</v>
      </c>
      <c r="F122" s="35">
        <f>1+1</f>
        <v>2</v>
      </c>
      <c r="G122" s="35">
        <f t="shared" si="2"/>
        <v>28</v>
      </c>
      <c r="H122" s="35" t="s">
        <v>53</v>
      </c>
      <c r="I122" s="3"/>
    </row>
    <row r="123" spans="1:9" ht="15.75" thickTop="1" x14ac:dyDescent="0.25"/>
  </sheetData>
  <mergeCells count="35">
    <mergeCell ref="A109:A115"/>
    <mergeCell ref="H109:H115"/>
    <mergeCell ref="A116:A121"/>
    <mergeCell ref="H116:H121"/>
    <mergeCell ref="A88:A94"/>
    <mergeCell ref="H88:H94"/>
    <mergeCell ref="A95:A103"/>
    <mergeCell ref="H95:H103"/>
    <mergeCell ref="A104:A108"/>
    <mergeCell ref="H104:H108"/>
    <mergeCell ref="A67:A75"/>
    <mergeCell ref="H67:H75"/>
    <mergeCell ref="A76:A80"/>
    <mergeCell ref="H76:H80"/>
    <mergeCell ref="A81:A87"/>
    <mergeCell ref="H81:H87"/>
    <mergeCell ref="A43:A50"/>
    <mergeCell ref="H43:H50"/>
    <mergeCell ref="A51:A59"/>
    <mergeCell ref="H51:H59"/>
    <mergeCell ref="A60:A66"/>
    <mergeCell ref="H60:H66"/>
    <mergeCell ref="A20:A27"/>
    <mergeCell ref="H20:H27"/>
    <mergeCell ref="A28:A35"/>
    <mergeCell ref="H28:H35"/>
    <mergeCell ref="A36:A42"/>
    <mergeCell ref="H36:H42"/>
    <mergeCell ref="A1:D1"/>
    <mergeCell ref="A3:A9"/>
    <mergeCell ref="H3:H9"/>
    <mergeCell ref="A10:A12"/>
    <mergeCell ref="H10:H12"/>
    <mergeCell ref="A13:A19"/>
    <mergeCell ref="H13:H19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12 граней холод АВ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2026-07-01T11:27:44Z</dcterms:created>
  <dcterms:modified xsi:type="dcterms:W3CDTF">2026-07-01T11:27:55Z</dcterms:modified>
</cp:coreProperties>
</file>