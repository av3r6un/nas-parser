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8" activeTab="0" autoFilterDateGrouping="1"/>
  </bookViews>
  <sheets>
    <sheet name="16 граней горячие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&quot;р.&quot;"/>
  </numFmts>
  <fonts count="13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6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1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3"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6" fillId="0" borderId="0"/>
  </cellStyleXfs>
  <cellXfs count="4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7" applyAlignment="1" pivotButton="0" quotePrefix="0" xfId="12">
      <alignment horizontal="center" vertical="center"/>
    </xf>
    <xf numFmtId="0" fontId="4" fillId="0" borderId="1" applyAlignment="1" pivotButton="0" quotePrefix="0" xfId="12">
      <alignment horizontal="center" vertical="center"/>
    </xf>
    <xf numFmtId="0" fontId="4" fillId="0" borderId="6" applyAlignment="1" pivotButton="0" quotePrefix="0" xfId="12">
      <alignment horizontal="center" vertical="center"/>
    </xf>
    <xf numFmtId="0" fontId="4" fillId="0" borderId="6" applyAlignment="1" pivotButton="0" quotePrefix="0" xfId="19">
      <alignment horizontal="center" vertical="center"/>
    </xf>
    <xf numFmtId="0" fontId="4" fillId="0" borderId="4" applyAlignment="1" pivotButton="0" quotePrefix="0" xfId="20">
      <alignment horizontal="center" vertical="center"/>
    </xf>
    <xf numFmtId="0" fontId="4" fillId="0" borderId="2" applyAlignment="1" pivotButton="0" quotePrefix="0" xfId="20">
      <alignment horizontal="center" vertical="center"/>
    </xf>
    <xf numFmtId="0" fontId="4" fillId="0" borderId="5" applyAlignment="1" pivotButton="0" quotePrefix="0" xfId="22">
      <alignment horizontal="center" vertical="center"/>
    </xf>
    <xf numFmtId="0" fontId="4" fillId="0" borderId="2" applyAlignment="1" pivotButton="0" quotePrefix="0" xfId="22">
      <alignment horizontal="center" vertical="center"/>
    </xf>
    <xf numFmtId="0" fontId="4" fillId="0" borderId="4" applyAlignment="1" pivotButton="0" quotePrefix="0" xfId="35">
      <alignment horizontal="center" vertical="center"/>
    </xf>
    <xf numFmtId="0" fontId="4" fillId="0" borderId="2" applyAlignment="1" pivotButton="0" quotePrefix="0" xfId="35">
      <alignment horizontal="center" vertical="center"/>
    </xf>
    <xf numFmtId="0" fontId="4" fillId="0" borderId="5" applyAlignment="1" pivotButton="0" quotePrefix="0" xfId="26">
      <alignment horizontal="center" vertical="center"/>
    </xf>
    <xf numFmtId="0" fontId="4" fillId="0" borderId="6" applyAlignment="1" pivotButton="0" quotePrefix="0" xfId="26">
      <alignment horizontal="center" vertical="center"/>
    </xf>
    <xf numFmtId="0" fontId="4" fillId="0" borderId="4" applyAlignment="1" pivotButton="0" quotePrefix="0" xfId="27">
      <alignment horizontal="center" vertical="center"/>
    </xf>
    <xf numFmtId="0" fontId="4" fillId="0" borderId="2" applyAlignment="1" pivotButton="0" quotePrefix="0" xfId="29">
      <alignment horizontal="center" vertical="center"/>
    </xf>
    <xf numFmtId="0" fontId="4" fillId="0" borderId="6" applyAlignment="1" pivotButton="0" quotePrefix="0" xfId="34">
      <alignment horizontal="center" vertical="center"/>
    </xf>
    <xf numFmtId="0" fontId="4" fillId="0" borderId="4" applyAlignment="1" pivotButton="0" quotePrefix="0" xfId="16">
      <alignment horizontal="center" vertical="center"/>
    </xf>
    <xf numFmtId="0" fontId="4" fillId="2" borderId="6" applyAlignment="1" pivotButton="0" quotePrefix="0" xfId="15">
      <alignment horizontal="center" vertical="center"/>
    </xf>
    <xf numFmtId="0" fontId="4" fillId="0" borderId="4" applyAlignment="1" pivotButton="0" quotePrefix="0" xfId="30">
      <alignment horizontal="center" vertical="center"/>
    </xf>
    <xf numFmtId="0" fontId="4" fillId="0" borderId="5" applyAlignment="1" pivotButton="0" quotePrefix="0" xfId="29">
      <alignment horizontal="center" vertical="center"/>
    </xf>
    <xf numFmtId="0" fontId="4" fillId="0" borderId="6" applyAlignment="1" pivotButton="0" quotePrefix="0" xfId="29">
      <alignment horizontal="center" vertical="center"/>
    </xf>
    <xf numFmtId="0" fontId="4" fillId="0" borderId="6" applyAlignment="1" pivotButton="0" quotePrefix="0" xfId="41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" fontId="3" fillId="0" borderId="6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6" pivotButton="0" quotePrefix="0" xfId="0"/>
    <xf numFmtId="0" fontId="3" fillId="0" borderId="1" pivotButton="0" quotePrefix="0" xfId="0"/>
    <xf numFmtId="0" fontId="3" fillId="0" borderId="7" pivotButton="0" quotePrefix="0" xfId="0"/>
    <xf numFmtId="0" fontId="3" fillId="0" borderId="7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12">
      <alignment horizontal="center" vertical="center"/>
    </xf>
    <xf numFmtId="0" fontId="4" fillId="0" borderId="2" applyAlignment="1" pivotButton="0" quotePrefix="0" xfId="41">
      <alignment horizontal="center" vertical="center"/>
    </xf>
    <xf numFmtId="0" fontId="0" fillId="0" borderId="1" applyAlignment="1" pivotButton="0" quotePrefix="0" xfId="0">
      <alignment wrapText="1"/>
    </xf>
    <xf numFmtId="0" fontId="3" fillId="0" borderId="4" pivotButton="0" quotePrefix="0" xfId="0"/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29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7" fontId="3" fillId="0" borderId="1" applyAlignment="1" pivotButton="0" quotePrefix="0" xfId="0">
      <alignment horizontal="center" vertical="center"/>
    </xf>
    <xf numFmtId="0" fontId="4" fillId="0" borderId="5" applyAlignment="1" pivotButton="0" quotePrefix="0" xfId="9">
      <alignment horizontal="center" vertical="center"/>
    </xf>
    <xf numFmtId="0" fontId="4" fillId="0" borderId="1" applyAlignment="1" pivotButton="0" quotePrefix="0" xfId="10">
      <alignment horizontal="center" vertical="center"/>
    </xf>
    <xf numFmtId="0" fontId="4" fillId="0" borderId="1" applyAlignment="1" pivotButton="0" quotePrefix="0" xfId="9">
      <alignment horizontal="center" vertical="center"/>
    </xf>
    <xf numFmtId="0" fontId="4" fillId="0" borderId="1" applyAlignment="1" pivotButton="0" quotePrefix="0" xfId="13">
      <alignment horizontal="center" vertical="center"/>
    </xf>
    <xf numFmtId="0" fontId="4" fillId="0" borderId="2" applyAlignment="1" pivotButton="0" quotePrefix="0" xfId="9">
      <alignment horizontal="center" vertical="center"/>
    </xf>
    <xf numFmtId="0" fontId="4" fillId="0" borderId="7" applyAlignment="1" pivotButton="0" quotePrefix="0" xfId="8">
      <alignment horizontal="center" vertical="center" wrapText="1"/>
    </xf>
    <xf numFmtId="0" fontId="4" fillId="0" borderId="7" applyAlignment="1" pivotButton="0" quotePrefix="0" xfId="9">
      <alignment horizontal="center" vertical="center"/>
    </xf>
    <xf numFmtId="0" fontId="4" fillId="0" borderId="6" applyAlignment="1" pivotButton="0" quotePrefix="0" xfId="9">
      <alignment horizontal="center" vertical="center"/>
    </xf>
    <xf numFmtId="0" fontId="4" fillId="2" borderId="4" applyAlignment="1" pivotButton="0" quotePrefix="0" xfId="15">
      <alignment horizontal="center" vertical="center"/>
    </xf>
    <xf numFmtId="0" fontId="4" fillId="0" borderId="4" applyAlignment="1" pivotButton="0" quotePrefix="0" xfId="9">
      <alignment horizontal="center" vertical="center"/>
    </xf>
    <xf numFmtId="0" fontId="4" fillId="2" borderId="2" applyAlignment="1" pivotButton="0" quotePrefix="0" xfId="15">
      <alignment horizontal="center" vertical="center"/>
    </xf>
    <xf numFmtId="0" fontId="4" fillId="2" borderId="1" applyAlignment="1" pivotButton="0" quotePrefix="0" xfId="15">
      <alignment horizontal="center" vertical="center"/>
    </xf>
    <xf numFmtId="0" fontId="4" fillId="0" borderId="1" applyAlignment="1" pivotButton="0" quotePrefix="0" xfId="17">
      <alignment horizontal="center" vertical="center"/>
    </xf>
    <xf numFmtId="0" fontId="4" fillId="0" borderId="1" applyAlignment="1" pivotButton="0" quotePrefix="0" xfId="20">
      <alignment horizontal="center" vertical="center"/>
    </xf>
    <xf numFmtId="0" fontId="4" fillId="0" borderId="1" applyAlignment="1" pivotButton="0" quotePrefix="0" xfId="28">
      <alignment horizontal="center" vertical="center"/>
    </xf>
    <xf numFmtId="0" fontId="4" fillId="0" borderId="1" applyAlignment="1" pivotButton="0" quotePrefix="0" xfId="24">
      <alignment horizontal="center" vertical="center"/>
    </xf>
    <xf numFmtId="0" fontId="4" fillId="0" borderId="1" applyAlignment="1" pivotButton="0" quotePrefix="0" xfId="35">
      <alignment horizontal="center" vertical="center"/>
    </xf>
    <xf numFmtId="0" fontId="4" fillId="0" borderId="1" applyAlignment="1" pivotButton="0" quotePrefix="0" xfId="26">
      <alignment horizontal="center" vertical="center"/>
    </xf>
    <xf numFmtId="0" fontId="4" fillId="0" borderId="1" applyAlignment="1" pivotButton="0" quotePrefix="0" xfId="27">
      <alignment horizontal="center" vertical="center"/>
    </xf>
    <xf numFmtId="0" fontId="4" fillId="0" borderId="1" applyAlignment="1" pivotButton="0" quotePrefix="0" xfId="32">
      <alignment horizontal="center" vertical="center"/>
    </xf>
    <xf numFmtId="0" fontId="4" fillId="2" borderId="4" applyAlignment="1" pivotButton="0" quotePrefix="0" xfId="38">
      <alignment horizontal="center" vertical="center"/>
    </xf>
    <xf numFmtId="0" fontId="4" fillId="2" borderId="1" applyAlignment="1" pivotButton="0" quotePrefix="0" xfId="39">
      <alignment horizontal="center" vertical="center"/>
    </xf>
    <xf numFmtId="0" fontId="4" fillId="2" borderId="2" applyAlignment="1" pivotButton="0" quotePrefix="0" xfId="40">
      <alignment horizontal="center" vertical="center"/>
    </xf>
    <xf numFmtId="0" fontId="4" fillId="2" borderId="5" applyAlignment="1" pivotButton="0" quotePrefix="0" xfId="40">
      <alignment horizontal="center" vertical="center"/>
    </xf>
    <xf numFmtId="0" fontId="4" fillId="0" borderId="5" applyAlignment="1" pivotButton="0" quotePrefix="0" xfId="42">
      <alignment horizontal="center" vertical="center"/>
    </xf>
    <xf numFmtId="0" fontId="4" fillId="0" borderId="1" applyAlignment="1" pivotButton="0" quotePrefix="0" xfId="43">
      <alignment horizontal="center" vertical="center"/>
    </xf>
    <xf numFmtId="0" fontId="4" fillId="0" borderId="6" applyAlignment="1" pivotButton="0" quotePrefix="0" xfId="44">
      <alignment horizontal="center" vertical="center"/>
    </xf>
    <xf numFmtId="0" fontId="4" fillId="0" borderId="5" applyAlignment="1" pivotButton="0" quotePrefix="0" xfId="44">
      <alignment horizontal="center" vertical="center"/>
    </xf>
    <xf numFmtId="0" fontId="4" fillId="0" borderId="1" applyAlignment="1" pivotButton="0" quotePrefix="0" xfId="44">
      <alignment horizontal="center" vertical="center"/>
    </xf>
    <xf numFmtId="0" fontId="4" fillId="0" borderId="4" applyAlignment="1" pivotButton="0" quotePrefix="0" xfId="46">
      <alignment horizontal="center" vertical="center"/>
    </xf>
    <xf numFmtId="0" fontId="4" fillId="0" borderId="1" applyAlignment="1" pivotButton="0" quotePrefix="0" xfId="47">
      <alignment horizontal="center" vertical="center"/>
    </xf>
    <xf numFmtId="0" fontId="4" fillId="0" borderId="2" applyAlignment="1" pivotButton="0" quotePrefix="0" xfId="48">
      <alignment horizontal="center" vertical="center"/>
    </xf>
    <xf numFmtId="0" fontId="4" fillId="0" borderId="5" applyAlignment="1" pivotButton="0" quotePrefix="0" xfId="48">
      <alignment horizontal="center" vertical="center"/>
    </xf>
    <xf numFmtId="0" fontId="4" fillId="0" borderId="1" applyAlignment="1" pivotButton="0" quotePrefix="0" xfId="48">
      <alignment horizontal="center" vertical="center"/>
    </xf>
    <xf numFmtId="0" fontId="4" fillId="0" borderId="6" applyAlignment="1" pivotButton="0" quotePrefix="0" xfId="48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5" applyAlignment="1" pivotButton="0" quotePrefix="0" xfId="50">
      <alignment horizontal="center" vertical="center"/>
    </xf>
    <xf numFmtId="0" fontId="4" fillId="0" borderId="1" applyAlignment="1" pivotButton="0" quotePrefix="0" xfId="50">
      <alignment horizontal="center" vertical="center"/>
    </xf>
    <xf numFmtId="0" fontId="4" fillId="0" borderId="2" applyAlignment="1" pivotButton="0" quotePrefix="0" xfId="50">
      <alignment horizontal="center" vertical="center"/>
    </xf>
    <xf numFmtId="0" fontId="4" fillId="0" borderId="6" applyAlignment="1" pivotButton="0" quotePrefix="0" xfId="50">
      <alignment horizontal="center" vertical="center"/>
    </xf>
    <xf numFmtId="0" fontId="4" fillId="0" borderId="4" applyAlignment="1" pivotButton="0" quotePrefix="0" xfId="51">
      <alignment horizontal="center" vertical="center"/>
    </xf>
    <xf numFmtId="0" fontId="4" fillId="0" borderId="1" applyAlignment="1" pivotButton="0" quotePrefix="0" xfId="51">
      <alignment horizontal="center" vertical="center"/>
    </xf>
    <xf numFmtId="0" fontId="4" fillId="0" borderId="2" applyAlignment="1" pivotButton="0" quotePrefix="0" xfId="51">
      <alignment horizontal="center" vertical="center"/>
    </xf>
    <xf numFmtId="0" fontId="4" fillId="0" borderId="1" applyAlignment="1" pivotButton="0" quotePrefix="0" xfId="53">
      <alignment horizontal="center" vertical="center"/>
    </xf>
    <xf numFmtId="0" fontId="4" fillId="0" borderId="6" applyAlignment="1" pivotButton="0" quotePrefix="0" xfId="55">
      <alignment horizontal="center" vertical="center"/>
    </xf>
    <xf numFmtId="0" fontId="4" fillId="0" borderId="4" applyAlignment="1" pivotButton="0" quotePrefix="0" xfId="56">
      <alignment horizontal="center" vertical="center"/>
    </xf>
    <xf numFmtId="0" fontId="4" fillId="0" borderId="1" applyAlignment="1" pivotButton="0" quotePrefix="0" xfId="56">
      <alignment horizontal="center" vertical="center"/>
    </xf>
    <xf numFmtId="0" fontId="4" fillId="0" borderId="2" applyAlignment="1" pivotButton="0" quotePrefix="0" xfId="56">
      <alignment horizontal="center" vertical="center"/>
    </xf>
    <xf numFmtId="0" fontId="4" fillId="0" borderId="5" applyAlignment="1" pivotButton="0" quotePrefix="0" xfId="56">
      <alignment horizontal="center" vertical="center"/>
    </xf>
    <xf numFmtId="0" fontId="4" fillId="0" borderId="6" applyAlignment="1" pivotButton="0" quotePrefix="0" xfId="56">
      <alignment horizontal="center" vertical="center"/>
    </xf>
    <xf numFmtId="0" fontId="4" fillId="0" borderId="4" applyAlignment="1" pivotButton="0" quotePrefix="0" xfId="58">
      <alignment horizontal="center" vertical="center"/>
    </xf>
    <xf numFmtId="0" fontId="4" fillId="0" borderId="3" applyAlignment="1" pivotButton="0" quotePrefix="0" xfId="58">
      <alignment horizontal="center" vertical="center"/>
    </xf>
    <xf numFmtId="0" fontId="4" fillId="0" borderId="1" applyAlignment="1" pivotButton="0" quotePrefix="0" xfId="61">
      <alignment horizontal="center" vertical="center"/>
    </xf>
    <xf numFmtId="0" fontId="4" fillId="0" borderId="6" applyAlignment="1" pivotButton="0" quotePrefix="0" xfId="61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62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164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1" fontId="3" fillId="0" borderId="5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 wrapText="1"/>
    </xf>
    <xf numFmtId="1" fontId="3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" fontId="3" fillId="0" borderId="2" applyAlignment="1" pivotButton="0" quotePrefix="0" xfId="0">
      <alignment horizontal="center" vertical="center" wrapText="1"/>
    </xf>
    <xf numFmtId="1" fontId="3" fillId="0" borderId="10" applyAlignment="1" pivotButton="0" quotePrefix="0" xfId="0">
      <alignment horizontal="center" vertical="center"/>
    </xf>
    <xf numFmtId="0" fontId="4" fillId="0" borderId="4" applyAlignment="1" pivotButton="0" quotePrefix="0" xfId="50">
      <alignment horizontal="center" vertical="center"/>
    </xf>
    <xf numFmtId="0" fontId="4" fillId="0" borderId="3" applyAlignment="1" pivotButton="0" quotePrefix="0" xfId="50">
      <alignment horizontal="center" vertical="center"/>
    </xf>
    <xf numFmtId="1" fontId="3" fillId="0" borderId="3" applyAlignment="1" pivotButton="0" quotePrefix="0" xfId="0">
      <alignment horizontal="center" vertical="center"/>
    </xf>
    <xf numFmtId="0" fontId="4" fillId="0" borderId="4" applyAlignment="1" pivotButton="0" quotePrefix="0" xfId="52">
      <alignment horizontal="center" vertical="center"/>
    </xf>
    <xf numFmtId="0" fontId="4" fillId="0" borderId="4" applyAlignment="1" pivotButton="0" quotePrefix="0" xfId="61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5" applyAlignment="1" pivotButton="0" quotePrefix="0" xfId="23">
      <alignment horizontal="center" vertical="center"/>
    </xf>
    <xf numFmtId="0" fontId="4" fillId="0" borderId="6" applyAlignment="1" pivotButton="0" quotePrefix="0" xfId="23">
      <alignment horizontal="center" vertical="center"/>
    </xf>
    <xf numFmtId="0" fontId="4" fillId="0" borderId="5" applyAlignment="1" pivotButton="0" quotePrefix="0" xfId="36">
      <alignment horizontal="center" vertical="center"/>
    </xf>
    <xf numFmtId="0" fontId="4" fillId="0" borderId="1" applyAlignment="1" pivotButton="0" quotePrefix="0" xfId="36">
      <alignment horizontal="center" vertical="center"/>
    </xf>
    <xf numFmtId="0" fontId="4" fillId="0" borderId="6" applyAlignment="1" pivotButton="0" quotePrefix="0" xfId="36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1" applyAlignment="1" pivotButton="0" quotePrefix="0" xfId="0">
      <alignment vertical="center"/>
    </xf>
    <xf numFmtId="0" fontId="4" fillId="0" borderId="5" applyAlignment="1" pivotButton="0" quotePrefix="0" xfId="20">
      <alignment horizontal="center" vertical="center"/>
    </xf>
    <xf numFmtId="0" fontId="4" fillId="0" borderId="6" applyAlignment="1" pivotButton="0" quotePrefix="0" xfId="20">
      <alignment horizontal="center" vertical="center"/>
    </xf>
    <xf numFmtId="0" fontId="4" fillId="0" borderId="5" applyAlignment="1" pivotButton="0" quotePrefix="0" xfId="27">
      <alignment horizontal="center" vertical="center"/>
    </xf>
    <xf numFmtId="0" fontId="4" fillId="0" borderId="5" applyAlignment="1" pivotButton="0" quotePrefix="0" xfId="46">
      <alignment horizontal="center" vertical="center"/>
    </xf>
    <xf numFmtId="0" fontId="5" fillId="0" borderId="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10" fillId="0" borderId="11" applyAlignment="1" pivotButton="0" quotePrefix="0" xfId="0">
      <alignment vertical="center"/>
    </xf>
    <xf numFmtId="0" fontId="10" fillId="0" borderId="1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5" applyAlignment="1" pivotButton="0" quotePrefix="0" xfId="62">
      <alignment horizontal="center" vertical="center" wrapText="1"/>
    </xf>
    <xf numFmtId="0" fontId="4" fillId="0" borderId="4" applyAlignment="1" pivotButton="0" quotePrefix="0" xfId="62">
      <alignment horizontal="center" vertical="center" wrapText="1"/>
    </xf>
    <xf numFmtId="0" fontId="4" fillId="0" borderId="2" applyAlignment="1" pivotButton="0" quotePrefix="0" xfId="62">
      <alignment horizontal="center" vertical="center" wrapText="1"/>
    </xf>
    <xf numFmtId="0" fontId="4" fillId="0" borderId="6" applyAlignment="1" pivotButton="0" quotePrefix="0" xfId="62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18">
      <alignment horizontal="center" vertical="center"/>
    </xf>
    <xf numFmtId="164" fontId="4" fillId="0" borderId="5" applyAlignment="1" pivotButton="0" quotePrefix="0" xfId="22">
      <alignment horizontal="center" vertical="center"/>
    </xf>
    <xf numFmtId="0" fontId="3" fillId="0" borderId="5" applyAlignment="1" pivotButton="0" quotePrefix="0" xfId="19">
      <alignment horizontal="center" vertical="center"/>
    </xf>
    <xf numFmtId="0" fontId="3" fillId="0" borderId="1" applyAlignment="1" pivotButton="0" quotePrefix="0" xfId="18">
      <alignment horizontal="center" vertical="center"/>
    </xf>
    <xf numFmtId="164" fontId="4" fillId="0" borderId="1" applyAlignment="1" pivotButton="0" quotePrefix="0" xfId="22">
      <alignment horizontal="center" vertical="center"/>
    </xf>
    <xf numFmtId="0" fontId="3" fillId="0" borderId="1" applyAlignment="1" pivotButton="0" quotePrefix="0" xfId="19">
      <alignment horizontal="center" vertical="center"/>
    </xf>
    <xf numFmtId="0" fontId="3" fillId="0" borderId="6" applyAlignment="1" pivotButton="0" quotePrefix="0" xfId="18">
      <alignment horizontal="center" vertical="center"/>
    </xf>
    <xf numFmtId="164" fontId="4" fillId="0" borderId="6" applyAlignment="1" pivotButton="0" quotePrefix="0" xfId="22">
      <alignment horizontal="center" vertical="center"/>
    </xf>
    <xf numFmtId="0" fontId="3" fillId="0" borderId="6" applyAlignment="1" pivotButton="0" quotePrefix="0" xfId="19">
      <alignment horizontal="center" vertical="center"/>
    </xf>
    <xf numFmtId="0" fontId="3" fillId="0" borderId="4" applyAlignment="1" pivotButton="0" quotePrefix="0" xfId="23">
      <alignment horizontal="center" vertical="center"/>
    </xf>
    <xf numFmtId="164" fontId="3" fillId="0" borderId="4" applyAlignment="1" pivotButton="0" quotePrefix="0" xfId="25">
      <alignment horizontal="center" vertical="center"/>
    </xf>
    <xf numFmtId="0" fontId="3" fillId="0" borderId="1" applyAlignment="1" pivotButton="0" quotePrefix="0" xfId="23">
      <alignment horizontal="center" vertical="center"/>
    </xf>
    <xf numFmtId="164" fontId="3" fillId="0" borderId="1" applyAlignment="1" pivotButton="0" quotePrefix="0" xfId="25">
      <alignment horizontal="center" vertical="center"/>
    </xf>
    <xf numFmtId="0" fontId="3" fillId="0" borderId="2" applyAlignment="1" pivotButton="0" quotePrefix="0" xfId="23">
      <alignment horizontal="center" vertical="center"/>
    </xf>
    <xf numFmtId="164" fontId="3" fillId="0" borderId="2" applyAlignment="1" pivotButton="0" quotePrefix="0" xfId="25">
      <alignment horizontal="center" vertical="center"/>
    </xf>
    <xf numFmtId="0" fontId="3" fillId="0" borderId="5" applyAlignment="1" pivotButton="0" quotePrefix="0" xfId="30">
      <alignment horizontal="center" vertical="center"/>
    </xf>
    <xf numFmtId="164" fontId="3" fillId="0" borderId="5" applyAlignment="1" pivotButton="0" quotePrefix="0" xfId="33">
      <alignment horizontal="center" vertical="center"/>
    </xf>
    <xf numFmtId="0" fontId="3" fillId="0" borderId="1" applyAlignment="1" pivotButton="0" quotePrefix="0" xfId="30">
      <alignment horizontal="center" vertical="center"/>
    </xf>
    <xf numFmtId="164" fontId="3" fillId="0" borderId="1" applyAlignment="1" pivotButton="0" quotePrefix="0" xfId="33">
      <alignment horizontal="center" vertical="center"/>
    </xf>
    <xf numFmtId="0" fontId="3" fillId="0" borderId="6" applyAlignment="1" pivotButton="0" quotePrefix="0" xfId="30">
      <alignment horizontal="center" vertical="center"/>
    </xf>
    <xf numFmtId="164" fontId="3" fillId="0" borderId="6" applyAlignment="1" pivotButton="0" quotePrefix="0" xfId="33">
      <alignment horizontal="center" vertical="center"/>
    </xf>
    <xf numFmtId="0" fontId="3" fillId="0" borderId="5" applyAlignment="1" pivotButton="0" quotePrefix="0" xfId="36">
      <alignment horizontal="center" vertical="center"/>
    </xf>
    <xf numFmtId="164" fontId="3" fillId="0" borderId="5" applyAlignment="1" pivotButton="0" quotePrefix="0" xfId="37">
      <alignment horizontal="center" vertical="center"/>
    </xf>
    <xf numFmtId="0" fontId="3" fillId="0" borderId="1" applyAlignment="1" pivotButton="0" quotePrefix="0" xfId="36">
      <alignment horizontal="center" vertical="center"/>
    </xf>
    <xf numFmtId="164" fontId="3" fillId="0" borderId="1" applyAlignment="1" pivotButton="0" quotePrefix="0" xfId="37">
      <alignment horizontal="center" vertical="center"/>
    </xf>
    <xf numFmtId="0" fontId="3" fillId="0" borderId="6" applyAlignment="1" pivotButton="0" quotePrefix="0" xfId="36">
      <alignment horizontal="center" vertical="center"/>
    </xf>
    <xf numFmtId="164" fontId="3" fillId="0" borderId="6" applyAlignment="1" pivotButton="0" quotePrefix="0" xfId="37">
      <alignment horizontal="center" vertical="center"/>
    </xf>
    <xf numFmtId="0" fontId="3" fillId="0" borderId="4" applyAlignment="1" pivotButton="0" quotePrefix="0" xfId="36">
      <alignment horizontal="center" vertical="center"/>
    </xf>
    <xf numFmtId="164" fontId="3" fillId="0" borderId="4" applyAlignment="1" pivotButton="0" quotePrefix="0" xfId="37">
      <alignment horizontal="center" vertical="center"/>
    </xf>
    <xf numFmtId="0" fontId="3" fillId="0" borderId="2" applyAlignment="1" pivotButton="0" quotePrefix="0" xfId="36">
      <alignment horizontal="center" vertical="center"/>
    </xf>
    <xf numFmtId="164" fontId="3" fillId="0" borderId="2" applyAlignment="1" pivotButton="0" quotePrefix="0" xfId="37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4" fillId="0" borderId="1" pivotButton="0" quotePrefix="0" xfId="0"/>
    <xf numFmtId="3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0" fontId="3" fillId="0" borderId="12" applyAlignment="1" pivotButton="0" quotePrefix="0" xfId="0">
      <alignment horizontal="center" vertical="center"/>
    </xf>
    <xf numFmtId="0" fontId="3" fillId="0" borderId="12" pivotButton="0" quotePrefix="0" xfId="0"/>
    <xf numFmtId="0" fontId="4" fillId="0" borderId="1" applyAlignment="1" pivotButton="0" quotePrefix="0" xfId="19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3" fillId="0" borderId="7" applyAlignment="1" pivotButton="0" quotePrefix="0" xfId="36">
      <alignment horizontal="center" vertical="center"/>
    </xf>
    <xf numFmtId="164" fontId="3" fillId="0" borderId="7" applyAlignment="1" pivotButton="0" quotePrefix="0" xfId="37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49" fontId="3" fillId="0" borderId="25" applyAlignment="1" pivotButton="0" quotePrefix="0" xfId="0">
      <alignment horizontal="center" vertical="center"/>
    </xf>
    <xf numFmtId="49" fontId="3" fillId="0" borderId="26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6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49" fontId="3" fillId="0" borderId="37" applyAlignment="1" pivotButton="0" quotePrefix="0" xfId="0">
      <alignment horizontal="center" vertical="center"/>
    </xf>
    <xf numFmtId="0" fontId="0" fillId="0" borderId="22" pivotButton="0" quotePrefix="0" xfId="0"/>
    <xf numFmtId="0" fontId="3" fillId="0" borderId="19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4" fillId="0" borderId="16" applyAlignment="1" pivotButton="0" quotePrefix="0" xfId="9">
      <alignment horizontal="center" vertical="center"/>
    </xf>
    <xf numFmtId="0" fontId="4" fillId="0" borderId="19" applyAlignment="1" pivotButton="0" quotePrefix="0" xfId="9">
      <alignment horizontal="center" vertical="center"/>
    </xf>
    <xf numFmtId="0" fontId="4" fillId="0" borderId="18" applyAlignment="1" pivotButton="0" quotePrefix="0" xfId="9">
      <alignment horizontal="center" vertical="center"/>
    </xf>
    <xf numFmtId="0" fontId="4" fillId="0" borderId="15" applyAlignment="1" pivotButton="0" quotePrefix="0" xfId="9">
      <alignment horizontal="center" vertical="center"/>
    </xf>
    <xf numFmtId="0" fontId="4" fillId="0" borderId="20" applyAlignment="1" pivotButton="0" quotePrefix="0" xfId="9">
      <alignment horizontal="center" vertical="center"/>
    </xf>
    <xf numFmtId="0" fontId="4" fillId="0" borderId="21" applyAlignment="1" pivotButton="0" quotePrefix="0" xfId="9">
      <alignment horizontal="center" vertical="center"/>
    </xf>
    <xf numFmtId="0" fontId="0" fillId="0" borderId="45" pivotButton="0" quotePrefix="0" xfId="0"/>
    <xf numFmtId="0" fontId="0" fillId="0" borderId="44" pivotButton="0" quotePrefix="0" xfId="0"/>
    <xf numFmtId="0" fontId="0" fillId="0" borderId="34" pivotButton="0" quotePrefix="0" xfId="0"/>
    <xf numFmtId="0" fontId="3" fillId="0" borderId="4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2" pivotButton="0" quotePrefix="0" xfId="0"/>
    <xf numFmtId="0" fontId="0" fillId="0" borderId="34" applyAlignment="1" pivotButton="0" quotePrefix="0" xfId="0">
      <alignment horizontal="center"/>
    </xf>
    <xf numFmtId="0" fontId="0" fillId="0" borderId="4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 wrapText="1"/>
    </xf>
    <xf numFmtId="0" fontId="0" fillId="0" borderId="22" applyAlignment="1" pivotButton="0" quotePrefix="0" xfId="0">
      <alignment horizontal="right" vertical="center"/>
    </xf>
    <xf numFmtId="0" fontId="0" fillId="0" borderId="23" applyAlignment="1" pivotButton="0" quotePrefix="0" xfId="0">
      <alignment horizontal="right" vertical="center"/>
    </xf>
    <xf numFmtId="0" fontId="0" fillId="0" borderId="45" applyAlignment="1" pivotButton="0" quotePrefix="0" xfId="0">
      <alignment horizontal="right" vertical="center"/>
    </xf>
    <xf numFmtId="0" fontId="0" fillId="0" borderId="24" applyAlignment="1" pivotButton="0" quotePrefix="0" xfId="0">
      <alignment horizontal="right" vertical="center"/>
    </xf>
    <xf numFmtId="0" fontId="0" fillId="0" borderId="34" applyAlignment="1" pivotButton="0" quotePrefix="0" xfId="0">
      <alignment horizontal="right" vertical="center"/>
    </xf>
    <xf numFmtId="0" fontId="0" fillId="0" borderId="44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/>
    </xf>
    <xf numFmtId="0" fontId="0" fillId="0" borderId="23" applyAlignment="1" pivotButton="0" quotePrefix="0" xfId="0">
      <alignment horizontal="right"/>
    </xf>
    <xf numFmtId="0" fontId="0" fillId="0" borderId="45" applyAlignment="1" pivotButton="0" quotePrefix="0" xfId="0">
      <alignment horizontal="right"/>
    </xf>
    <xf numFmtId="0" fontId="0" fillId="0" borderId="42" applyAlignment="1" pivotButton="0" quotePrefix="0" xfId="0">
      <alignment horizontal="right"/>
    </xf>
    <xf numFmtId="0" fontId="0" fillId="0" borderId="24" applyAlignment="1" pivotButton="0" quotePrefix="0" xfId="0">
      <alignment horizontal="right"/>
    </xf>
    <xf numFmtId="0" fontId="0" fillId="0" borderId="3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49" fontId="3" fillId="0" borderId="46" applyAlignment="1" pivotButton="0" quotePrefix="0" xfId="0">
      <alignment horizontal="center" vertical="center"/>
    </xf>
    <xf numFmtId="49" fontId="3" fillId="0" borderId="25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4" fillId="0" borderId="5" applyAlignment="1" pivotButton="0" quotePrefix="0" xfId="23">
      <alignment horizontal="center" vertical="center"/>
    </xf>
    <xf numFmtId="0" fontId="4" fillId="0" borderId="1" applyAlignment="1" pivotButton="0" quotePrefix="0" xfId="23">
      <alignment horizontal="center" vertical="center"/>
    </xf>
    <xf numFmtId="0" fontId="4" fillId="0" borderId="6" applyAlignment="1" pivotButton="0" quotePrefix="0" xfId="23">
      <alignment horizontal="center" vertical="center"/>
    </xf>
    <xf numFmtId="0" fontId="4" fillId="0" borderId="4" applyAlignment="1" pivotButton="0" quotePrefix="0" xfId="23">
      <alignment horizontal="center" vertical="center"/>
    </xf>
    <xf numFmtId="0" fontId="4" fillId="0" borderId="2" applyAlignment="1" pivotButton="0" quotePrefix="0" xfId="23">
      <alignment horizontal="center" vertical="center"/>
    </xf>
    <xf numFmtId="0" fontId="4" fillId="0" borderId="10" applyAlignment="1" pivotButton="0" quotePrefix="0" xfId="36">
      <alignment horizontal="center" vertical="center"/>
    </xf>
    <xf numFmtId="0" fontId="4" fillId="0" borderId="3" applyAlignment="1" pivotButton="0" quotePrefix="0" xfId="36">
      <alignment horizontal="center" vertical="center"/>
    </xf>
    <xf numFmtId="0" fontId="4" fillId="0" borderId="8" applyAlignment="1" pivotButton="0" quotePrefix="0" xfId="36">
      <alignment horizontal="center" vertical="center"/>
    </xf>
    <xf numFmtId="0" fontId="4" fillId="0" borderId="5" applyAlignment="1" pivotButton="0" quotePrefix="0" xfId="25">
      <alignment horizontal="center" vertical="center"/>
    </xf>
    <xf numFmtId="0" fontId="4" fillId="0" borderId="1" applyAlignment="1" pivotButton="0" quotePrefix="0" xfId="25">
      <alignment horizontal="center" vertical="center"/>
    </xf>
    <xf numFmtId="0" fontId="4" fillId="0" borderId="6" applyAlignment="1" pivotButton="0" quotePrefix="0" xfId="25">
      <alignment horizontal="center" vertical="center"/>
    </xf>
    <xf numFmtId="0" fontId="4" fillId="0" borderId="5" applyAlignment="1" pivotButton="0" quotePrefix="0" xfId="36">
      <alignment horizontal="center" vertical="center"/>
    </xf>
    <xf numFmtId="0" fontId="4" fillId="0" borderId="1" applyAlignment="1" pivotButton="0" quotePrefix="0" xfId="36">
      <alignment horizontal="center" vertical="center"/>
    </xf>
    <xf numFmtId="0" fontId="4" fillId="0" borderId="6" applyAlignment="1" pivotButton="0" quotePrefix="0" xfId="36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0" applyAlignment="1" pivotButton="0" quotePrefix="0" xfId="8">
      <alignment horizontal="center" vertical="center"/>
    </xf>
    <xf numFmtId="0" fontId="4" fillId="0" borderId="3" applyAlignment="1" pivotButton="0" quotePrefix="0" xfId="8">
      <alignment horizontal="center" vertical="center"/>
    </xf>
    <xf numFmtId="0" fontId="4" fillId="0" borderId="8" applyAlignment="1" pivotButton="0" quotePrefix="0" xfId="8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0" borderId="10" applyAlignment="1" pivotButton="0" quotePrefix="0" xfId="8">
      <alignment horizontal="center" vertical="center" wrapText="1"/>
    </xf>
    <xf numFmtId="0" fontId="4" fillId="0" borderId="3" applyAlignment="1" pivotButton="0" quotePrefix="0" xfId="8">
      <alignment horizontal="center" vertical="center" wrapText="1"/>
    </xf>
    <xf numFmtId="0" fontId="4" fillId="0" borderId="8" applyAlignment="1" pivotButton="0" quotePrefix="0" xfId="8">
      <alignment horizontal="center" vertical="center" wrapText="1"/>
    </xf>
    <xf numFmtId="49" fontId="3" fillId="0" borderId="26" applyAlignment="1" pivotButton="0" quotePrefix="0" xfId="0">
      <alignment horizontal="center" vertical="center"/>
    </xf>
    <xf numFmtId="0" fontId="4" fillId="0" borderId="10" applyAlignment="1" pivotButton="0" quotePrefix="0" xfId="56">
      <alignment horizontal="center" vertical="center"/>
    </xf>
    <xf numFmtId="0" fontId="4" fillId="0" borderId="3" applyAlignment="1" pivotButton="0" quotePrefix="0" xfId="56">
      <alignment horizontal="center" vertical="center"/>
    </xf>
    <xf numFmtId="0" fontId="4" fillId="0" borderId="8" applyAlignment="1" pivotButton="0" quotePrefix="0" xfId="56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3" applyAlignment="1" pivotButton="0" quotePrefix="0" xfId="57">
      <alignment horizontal="center" vertical="center"/>
    </xf>
    <xf numFmtId="0" fontId="3" fillId="0" borderId="27" applyAlignment="1" pivotButton="0" quotePrefix="0" xfId="0">
      <alignment horizontal="center" vertical="center"/>
    </xf>
    <xf numFmtId="49" fontId="3" fillId="0" borderId="3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49" fontId="3" fillId="0" borderId="27" applyAlignment="1" pivotButton="0" quotePrefix="0" xfId="0">
      <alignment horizontal="center" vertical="center" wrapText="1"/>
    </xf>
    <xf numFmtId="49" fontId="3" fillId="0" borderId="38" applyAlignment="1" pivotButton="0" quotePrefix="0" xfId="0">
      <alignment horizontal="center" vertical="center"/>
    </xf>
    <xf numFmtId="49" fontId="3" fillId="0" borderId="39" applyAlignment="1" pivotButton="0" quotePrefix="0" xfId="0">
      <alignment horizontal="center" vertical="center"/>
    </xf>
    <xf numFmtId="49" fontId="3" fillId="0" borderId="40" applyAlignment="1" pivotButton="0" quotePrefix="0" xfId="0">
      <alignment horizontal="center" vertical="center"/>
    </xf>
    <xf numFmtId="49" fontId="3" fillId="0" borderId="37" applyAlignment="1" pivotButton="0" quotePrefix="0" xfId="0">
      <alignment horizontal="center" vertical="center"/>
    </xf>
    <xf numFmtId="49" fontId="3" fillId="0" borderId="41" applyAlignment="1" pivotButton="0" quotePrefix="0" xfId="0">
      <alignment horizontal="center" vertical="center"/>
    </xf>
    <xf numFmtId="49" fontId="3" fillId="0" borderId="36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49" fontId="3" fillId="0" borderId="45" applyAlignment="1" pivotButton="0" quotePrefix="0" xfId="0">
      <alignment horizontal="center" vertical="center"/>
    </xf>
    <xf numFmtId="49" fontId="3" fillId="0" borderId="43" applyAlignment="1" pivotButton="0" quotePrefix="0" xfId="0">
      <alignment horizontal="center" vertical="center"/>
    </xf>
    <xf numFmtId="49" fontId="3" fillId="0" borderId="44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1" applyAlignment="1" pivotButton="0" quotePrefix="0" xfId="36">
      <alignment horizontal="center" vertical="center"/>
    </xf>
    <xf numFmtId="0" fontId="3" fillId="0" borderId="6" applyAlignment="1" pivotButton="0" quotePrefix="0" xfId="36">
      <alignment horizontal="center" vertical="center"/>
    </xf>
    <xf numFmtId="0" fontId="3" fillId="0" borderId="5" applyAlignment="1" pivotButton="0" quotePrefix="0" xfId="18">
      <alignment horizontal="center" vertical="center"/>
    </xf>
    <xf numFmtId="0" fontId="3" fillId="0" borderId="1" applyAlignment="1" pivotButton="0" quotePrefix="0" xfId="18">
      <alignment horizontal="center" vertical="center"/>
    </xf>
    <xf numFmtId="0" fontId="3" fillId="0" borderId="1" applyAlignment="1" pivotButton="0" quotePrefix="0" xfId="23">
      <alignment horizontal="center" vertical="center"/>
    </xf>
    <xf numFmtId="0" fontId="3" fillId="0" borderId="2" applyAlignment="1" pivotButton="0" quotePrefix="0" xfId="23">
      <alignment horizontal="center" vertical="center"/>
    </xf>
    <xf numFmtId="0" fontId="3" fillId="0" borderId="1" applyAlignment="1" pivotButton="0" quotePrefix="0" xfId="30">
      <alignment horizontal="center" vertical="center"/>
    </xf>
    <xf numFmtId="0" fontId="3" fillId="0" borderId="6" applyAlignment="1" pivotButton="0" quotePrefix="0" xfId="30">
      <alignment horizontal="center" vertical="center"/>
    </xf>
    <xf numFmtId="0" fontId="4" fillId="0" borderId="5" applyAlignment="1" pivotButton="0" quotePrefix="0" xfId="40">
      <alignment horizontal="center" vertical="center"/>
    </xf>
    <xf numFmtId="0" fontId="4" fillId="0" borderId="1" applyAlignment="1" pivotButton="0" quotePrefix="0" xfId="40">
      <alignment horizontal="center" vertical="center"/>
    </xf>
    <xf numFmtId="0" fontId="4" fillId="0" borderId="6" applyAlignment="1" pivotButton="0" quotePrefix="0" xfId="40">
      <alignment horizontal="center" vertical="center"/>
    </xf>
    <xf numFmtId="0" fontId="5" fillId="0" borderId="0" applyAlignment="1" pivotButton="0" quotePrefix="0" xfId="0">
      <alignment horizontal="center"/>
    </xf>
    <xf numFmtId="0" fontId="4" fillId="0" borderId="5" applyAlignment="1" pivotButton="0" quotePrefix="0" xfId="39">
      <alignment horizontal="center" vertical="center"/>
    </xf>
    <xf numFmtId="0" fontId="4" fillId="0" borderId="1" applyAlignment="1" pivotButton="0" quotePrefix="0" xfId="39">
      <alignment horizontal="center" vertical="center"/>
    </xf>
    <xf numFmtId="0" fontId="4" fillId="0" borderId="6" applyAlignment="1" pivotButton="0" quotePrefix="0" xfId="39">
      <alignment horizontal="center" vertical="center"/>
    </xf>
    <xf numFmtId="0" fontId="3" fillId="0" borderId="5" applyAlignment="1" pivotButton="0" quotePrefix="0" xfId="36">
      <alignment horizontal="center" vertical="center"/>
    </xf>
    <xf numFmtId="0" fontId="3" fillId="0" borderId="5" applyAlignment="1" pivotButton="0" quotePrefix="0" xfId="30">
      <alignment horizontal="center" vertical="center"/>
    </xf>
    <xf numFmtId="0" fontId="3" fillId="0" borderId="6" applyAlignment="1" pivotButton="0" quotePrefix="0" xfId="18">
      <alignment horizontal="center" vertical="center"/>
    </xf>
    <xf numFmtId="0" fontId="3" fillId="0" borderId="4" applyAlignment="1" pivotButton="0" quotePrefix="0" xfId="23">
      <alignment horizontal="center" vertical="center"/>
    </xf>
    <xf numFmtId="0" fontId="4" fillId="0" borderId="10" applyAlignment="1" pivotButton="0" quotePrefix="0" xfId="40">
      <alignment horizontal="center" vertical="center"/>
    </xf>
    <xf numFmtId="0" fontId="4" fillId="0" borderId="3" applyAlignment="1" pivotButton="0" quotePrefix="0" xfId="40">
      <alignment horizontal="center" vertical="center"/>
    </xf>
    <xf numFmtId="0" fontId="4" fillId="0" borderId="8" applyAlignment="1" pivotButton="0" quotePrefix="0" xfId="40">
      <alignment horizontal="center" vertical="center"/>
    </xf>
    <xf numFmtId="0" fontId="4" fillId="0" borderId="4" applyAlignment="1" pivotButton="0" quotePrefix="0" xfId="40">
      <alignment horizontal="center" vertical="center"/>
    </xf>
    <xf numFmtId="0" fontId="4" fillId="0" borderId="2" applyAlignment="1" pivotButton="0" quotePrefix="0" xfId="40">
      <alignment horizontal="center" vertical="center"/>
    </xf>
    <xf numFmtId="0" fontId="4" fillId="0" borderId="4" applyAlignment="1" pivotButton="0" quotePrefix="0" xfId="39">
      <alignment horizontal="center" vertical="center"/>
    </xf>
    <xf numFmtId="0" fontId="4" fillId="0" borderId="2" applyAlignment="1" pivotButton="0" quotePrefix="0" xfId="39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11" pivotButton="0" quotePrefix="0" xfId="0"/>
    <xf numFmtId="0" fontId="0" fillId="0" borderId="3" pivotButton="0" quotePrefix="0" xfId="0"/>
    <xf numFmtId="0" fontId="0" fillId="0" borderId="43" pivotButton="0" quotePrefix="0" xfId="0"/>
    <xf numFmtId="0" fontId="0" fillId="0" borderId="8" pivotButton="0" quotePrefix="0" xfId="0"/>
    <xf numFmtId="0" fontId="0" fillId="0" borderId="33" pivotButton="0" quotePrefix="0" xfId="0"/>
    <xf numFmtId="0" fontId="0" fillId="0" borderId="4" pivotButton="0" quotePrefix="0" xfId="0"/>
  </cellXfs>
  <cellStyles count="63">
    <cellStyle name="Обычный" xfId="0" builtinId="0"/>
    <cellStyle name="Обычный 2" xfId="1"/>
    <cellStyle name="Обычный 3" xfId="2"/>
    <cellStyle name="Обычный 4" xfId="3"/>
    <cellStyle name="Обычный 5" xfId="4"/>
    <cellStyle name="Обычный 6" xfId="5"/>
    <cellStyle name="Обычный 7" xfId="6"/>
    <cellStyle name="Обычный 8" xfId="7"/>
    <cellStyle name="Обычный 9" xfId="8"/>
    <cellStyle name="Обычный 10" xfId="9"/>
    <cellStyle name="Обычный 11" xfId="10"/>
    <cellStyle name="Обычный 12" xfId="11"/>
    <cellStyle name="Обычный 13" xfId="12"/>
    <cellStyle name="Обычный 14" xfId="13"/>
    <cellStyle name="Обычный 15" xfId="14"/>
    <cellStyle name="Обычный 16" xfId="15"/>
    <cellStyle name="Обычный 17" xfId="16"/>
    <cellStyle name="Обычный 18" xfId="17"/>
    <cellStyle name="Обычный 19" xfId="18"/>
    <cellStyle name="Обычный 20" xfId="19"/>
    <cellStyle name="Обычный 21" xfId="20"/>
    <cellStyle name="Обычный 22" xfId="21"/>
    <cellStyle name="Обычный 23" xfId="22"/>
    <cellStyle name="Обычный 24" xfId="23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0" xfId="59"/>
    <cellStyle name="Обычный 61" xfId="60"/>
    <cellStyle name="Обычный 62" xfId="61"/>
    <cellStyle name="Обычный 63" xfId="6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63"/>
  <sheetViews>
    <sheetView topLeftCell="A2" workbookViewId="0">
      <selection activeCell="H21" sqref="H21"/>
    </sheetView>
  </sheetViews>
  <sheetFormatPr baseColWidth="8" defaultRowHeight="15"/>
  <cols>
    <col width="22.85546875" customWidth="1" min="1" max="1"/>
    <col width="10.140625" customWidth="1" min="3" max="3"/>
    <col width="35" customWidth="1" style="282" min="8" max="8"/>
  </cols>
  <sheetData>
    <row r="1" hidden="1" ht="21" customHeight="1"/>
    <row r="2" ht="21" customHeight="1">
      <c r="A2" s="307" t="inlineStr">
        <is>
          <t>16 граней горячая фиксация</t>
        </is>
      </c>
      <c r="B2" s="427" t="n"/>
      <c r="C2" s="427" t="n"/>
      <c r="D2" s="427" t="n"/>
      <c r="E2" s="162" t="n"/>
      <c r="F2" s="162" t="n"/>
      <c r="G2" s="162" t="n"/>
      <c r="I2" s="161" t="n"/>
    </row>
    <row r="3" ht="43.5" customHeight="1" thickBot="1">
      <c r="A3" s="25" t="inlineStr">
        <is>
          <t>цвет</t>
        </is>
      </c>
      <c r="B3" s="25" t="inlineStr">
        <is>
          <t>размер</t>
        </is>
      </c>
      <c r="C3" s="25" t="inlineStr">
        <is>
          <t>штук в пачке</t>
        </is>
      </c>
      <c r="D3" s="25" t="inlineStr">
        <is>
          <t>цена продажи в руб</t>
        </is>
      </c>
      <c r="E3" s="25" t="inlineStr">
        <is>
          <t>всего шт пришло</t>
        </is>
      </c>
      <c r="F3" s="25" t="inlineStr">
        <is>
          <t>продано</t>
        </is>
      </c>
      <c r="G3" s="25" t="inlineStr">
        <is>
          <t>остаток на складе</t>
        </is>
      </c>
      <c r="H3" s="283" t="inlineStr">
        <is>
          <t>артикул</t>
        </is>
      </c>
      <c r="I3" s="25" t="inlineStr">
        <is>
          <t>код цвета</t>
        </is>
      </c>
    </row>
    <row r="4" ht="16.5" customHeight="1" thickBot="1" thickTop="1">
      <c r="A4" s="36" t="inlineStr">
        <is>
          <t>CRYSTAL</t>
        </is>
      </c>
      <c r="B4" s="303" t="inlineStr">
        <is>
          <t>SS6</t>
        </is>
      </c>
      <c r="C4" s="311" t="n">
        <v>1440</v>
      </c>
      <c r="D4" s="133" t="n">
        <v>590</v>
      </c>
      <c r="E4" s="311">
        <f>50+8</f>
        <v/>
      </c>
      <c r="F4" s="311">
        <f>5+3+3</f>
        <v/>
      </c>
      <c r="G4" s="263">
        <f>E4-F4</f>
        <v/>
      </c>
      <c r="H4" s="284" t="inlineStr">
        <is>
          <t>16cut/Crystal/SS6/Hot/001</t>
        </is>
      </c>
      <c r="I4" s="314" t="inlineStr">
        <is>
          <t>001</t>
        </is>
      </c>
    </row>
    <row r="5" ht="16.5" customHeight="1" thickBot="1" thickTop="1">
      <c r="A5" s="428" t="n"/>
      <c r="B5" s="301" t="inlineStr">
        <is>
          <t>SS8</t>
        </is>
      </c>
      <c r="C5" s="301" t="n">
        <v>1440</v>
      </c>
      <c r="D5" s="134" t="n">
        <v>701</v>
      </c>
      <c r="E5" s="301" t="n">
        <v>31</v>
      </c>
      <c r="F5" s="301">
        <f>4+1</f>
        <v/>
      </c>
      <c r="G5" s="245">
        <f>E5-F5</f>
        <v/>
      </c>
      <c r="H5" s="285" t="inlineStr">
        <is>
          <t>16cut/Crystal/SS8/Hot/001</t>
        </is>
      </c>
      <c r="I5" s="429" t="n"/>
    </row>
    <row r="6" ht="16.5" customHeight="1" thickBot="1" thickTop="1">
      <c r="A6" s="428" t="n"/>
      <c r="B6" s="301" t="inlineStr">
        <is>
          <t>SS10</t>
        </is>
      </c>
      <c r="C6" s="301" t="n">
        <v>1440</v>
      </c>
      <c r="D6" s="134" t="n">
        <v>755</v>
      </c>
      <c r="E6" s="301" t="n">
        <v>18</v>
      </c>
      <c r="F6" s="301" t="n">
        <v>1</v>
      </c>
      <c r="G6" s="245">
        <f>E6-F6</f>
        <v/>
      </c>
      <c r="H6" s="285" t="inlineStr">
        <is>
          <t>16cut/Crystal/SS10/Hot/001</t>
        </is>
      </c>
      <c r="I6" s="429" t="n"/>
    </row>
    <row r="7" ht="16.5" customHeight="1" thickBot="1" thickTop="1">
      <c r="A7" s="428" t="n"/>
      <c r="B7" s="318" t="inlineStr">
        <is>
          <t>SS12</t>
        </is>
      </c>
      <c r="C7" s="318" t="n">
        <v>1440</v>
      </c>
      <c r="D7" s="138" t="n">
        <v>866</v>
      </c>
      <c r="E7" s="318" t="n">
        <v>32</v>
      </c>
      <c r="F7" s="318">
        <f>1+1+1</f>
        <v/>
      </c>
      <c r="G7" s="247">
        <f>E7-F7</f>
        <v/>
      </c>
      <c r="H7" s="285" t="inlineStr">
        <is>
          <t>16cut/Crystal/SS12/Hot/001</t>
        </is>
      </c>
      <c r="I7" s="429" t="n"/>
    </row>
    <row r="8" ht="16.5" customHeight="1" thickBot="1" thickTop="1">
      <c r="A8" s="428" t="n"/>
      <c r="B8" s="50" t="inlineStr">
        <is>
          <t>SS16</t>
        </is>
      </c>
      <c r="C8" s="50" t="n">
        <v>1440</v>
      </c>
      <c r="D8" s="134" t="n">
        <v>866.1875</v>
      </c>
      <c r="E8" s="312" t="n">
        <v>55</v>
      </c>
      <c r="F8" s="312">
        <f>1+1</f>
        <v/>
      </c>
      <c r="G8" s="264">
        <f>E8-F8</f>
        <v/>
      </c>
      <c r="H8" s="285" t="inlineStr">
        <is>
          <t>16cut/Crystal/SS16/Hot/001</t>
        </is>
      </c>
      <c r="I8" s="429" t="n"/>
    </row>
    <row r="9" ht="16.5" customHeight="1" thickBot="1" thickTop="1">
      <c r="A9" s="428" t="n"/>
      <c r="B9" s="49" t="inlineStr">
        <is>
          <t>SS20</t>
        </is>
      </c>
      <c r="C9" s="49" t="n">
        <v>1440</v>
      </c>
      <c r="D9" s="134" t="n">
        <v>1417.625</v>
      </c>
      <c r="E9" s="312" t="n">
        <v>76</v>
      </c>
      <c r="F9" s="312" t="n">
        <v>1</v>
      </c>
      <c r="G9" s="264">
        <f>E9-F9</f>
        <v/>
      </c>
      <c r="H9" s="285" t="inlineStr">
        <is>
          <t>16cut/Crystal/SS20/Hot/001</t>
        </is>
      </c>
      <c r="I9" s="429" t="n"/>
    </row>
    <row r="10" ht="16.5" customHeight="1" thickBot="1" thickTop="1">
      <c r="A10" s="428" t="n"/>
      <c r="B10" s="51" t="inlineStr">
        <is>
          <t>SS30</t>
        </is>
      </c>
      <c r="C10" s="51" t="n">
        <v>288</v>
      </c>
      <c r="D10" s="134" t="n">
        <v>866.1875</v>
      </c>
      <c r="E10" s="312" t="n">
        <v>58</v>
      </c>
      <c r="F10" s="312" t="n"/>
      <c r="G10" s="264">
        <f>E10-F10</f>
        <v/>
      </c>
      <c r="H10" s="285" t="inlineStr">
        <is>
          <t>16cut/Crystal/SS30/Hot/001</t>
        </is>
      </c>
      <c r="I10" s="429" t="n"/>
    </row>
    <row r="11" ht="16.5" customHeight="1" thickBot="1" thickTop="1">
      <c r="A11" s="430" t="n"/>
      <c r="B11" s="6" t="inlineStr">
        <is>
          <t>SS34</t>
        </is>
      </c>
      <c r="C11" s="6" t="n">
        <v>144</v>
      </c>
      <c r="D11" s="135" t="n">
        <v>1528.125</v>
      </c>
      <c r="E11" s="313" t="n">
        <v>60</v>
      </c>
      <c r="F11" s="313" t="n">
        <v>1</v>
      </c>
      <c r="G11" s="265">
        <f>E11-F11</f>
        <v/>
      </c>
      <c r="H11" s="286" t="inlineStr">
        <is>
          <t>16cut/Crystal/SS34/Hot/001</t>
        </is>
      </c>
      <c r="I11" s="431" t="n"/>
    </row>
    <row r="12" ht="17.25" customHeight="1" thickBot="1" thickTop="1">
      <c r="A12" s="311" t="inlineStr">
        <is>
          <t>Crystal AB</t>
        </is>
      </c>
      <c r="B12" s="303" t="inlineStr">
        <is>
          <t>SS12</t>
        </is>
      </c>
      <c r="C12" s="303" t="n">
        <v>1440</v>
      </c>
      <c r="D12" s="133" t="n">
        <v>857</v>
      </c>
      <c r="E12" s="303" t="n">
        <v>2</v>
      </c>
      <c r="F12" s="303" t="n"/>
      <c r="G12" s="243">
        <f>E12-F12</f>
        <v/>
      </c>
      <c r="H12" s="284" t="inlineStr">
        <is>
          <t>16cut/Сrystal AB/SS12/Hot/001+</t>
        </is>
      </c>
      <c r="I12" s="315" t="inlineStr">
        <is>
          <t>001+</t>
        </is>
      </c>
    </row>
    <row r="13" ht="16.5" customHeight="1" thickBot="1" thickTop="1">
      <c r="A13" s="428" t="n"/>
      <c r="B13" s="301" t="inlineStr">
        <is>
          <t>SS16</t>
        </is>
      </c>
      <c r="C13" s="301" t="n">
        <v>1440</v>
      </c>
      <c r="D13" s="134" t="n">
        <v>845</v>
      </c>
      <c r="E13" s="301" t="n">
        <v>16</v>
      </c>
      <c r="F13" s="301" t="n"/>
      <c r="G13" s="245">
        <f>E13-F13</f>
        <v/>
      </c>
      <c r="H13" s="285" t="inlineStr">
        <is>
          <t>16cut/Сrystal AB/SS16/Hot/001+</t>
        </is>
      </c>
      <c r="I13" s="429" t="n"/>
    </row>
    <row r="14" ht="16.5" customHeight="1" thickBot="1" thickTop="1">
      <c r="A14" s="428" t="n"/>
      <c r="B14" s="301" t="inlineStr">
        <is>
          <t>SS20</t>
        </is>
      </c>
      <c r="C14" s="301" t="n">
        <v>1440</v>
      </c>
      <c r="D14" s="134" t="n">
        <v>1113</v>
      </c>
      <c r="E14" s="301" t="n">
        <v>11</v>
      </c>
      <c r="F14" s="301" t="n"/>
      <c r="G14" s="245">
        <f>E14-F14</f>
        <v/>
      </c>
      <c r="H14" s="285" t="inlineStr">
        <is>
          <t>16cut/Сrystal AB/SS20/Hot/001+</t>
        </is>
      </c>
      <c r="I14" s="429" t="n"/>
    </row>
    <row r="15" ht="16.5" customHeight="1" thickBot="1" thickTop="1">
      <c r="A15" s="432" t="n"/>
      <c r="B15" s="302" t="inlineStr">
        <is>
          <t>SS30</t>
        </is>
      </c>
      <c r="C15" s="302" t="n">
        <v>288</v>
      </c>
      <c r="D15" s="135" t="n">
        <v>845</v>
      </c>
      <c r="E15" s="302" t="n">
        <v>4</v>
      </c>
      <c r="F15" s="302" t="n"/>
      <c r="G15" s="246">
        <f>E15-F15</f>
        <v/>
      </c>
      <c r="H15" s="287" t="inlineStr">
        <is>
          <t>16cut/Сrystal AB/SS30/Hot/001+</t>
        </is>
      </c>
      <c r="I15" s="431" t="n"/>
    </row>
    <row r="16" ht="16.5" customHeight="1" thickBot="1" thickTop="1">
      <c r="A16" s="36" t="inlineStr">
        <is>
          <t>NEW AB</t>
        </is>
      </c>
      <c r="B16" s="303" t="inlineStr">
        <is>
          <t>SS6</t>
        </is>
      </c>
      <c r="C16" s="303" t="n">
        <v>1440</v>
      </c>
      <c r="D16" s="133" t="n">
        <v>855</v>
      </c>
      <c r="E16" s="303" t="n">
        <v>110</v>
      </c>
      <c r="F16" s="303">
        <f>1+3+1+2</f>
        <v/>
      </c>
      <c r="G16" s="243">
        <f>E16-F16</f>
        <v/>
      </c>
      <c r="H16" s="284" t="inlineStr">
        <is>
          <t>16cut/New AB/SS6/Hot/112</t>
        </is>
      </c>
      <c r="I16" s="315" t="inlineStr">
        <is>
          <t>112</t>
        </is>
      </c>
    </row>
    <row r="17" ht="16.5" customHeight="1" thickBot="1" thickTop="1">
      <c r="A17" s="428" t="n"/>
      <c r="B17" s="301" t="inlineStr">
        <is>
          <t>SS8</t>
        </is>
      </c>
      <c r="C17" s="301" t="n">
        <v>1440</v>
      </c>
      <c r="D17" s="134" t="n">
        <v>1076</v>
      </c>
      <c r="E17" s="301" t="n">
        <v>117</v>
      </c>
      <c r="F17" s="301">
        <f>1+1</f>
        <v/>
      </c>
      <c r="G17" s="245">
        <f>E17-F17</f>
        <v/>
      </c>
      <c r="H17" s="285" t="inlineStr">
        <is>
          <t>16cut/New AB/SS8/Hot/112</t>
        </is>
      </c>
      <c r="I17" s="429" t="n"/>
    </row>
    <row r="18" ht="16.5" customHeight="1" thickBot="1" thickTop="1">
      <c r="A18" s="428" t="n"/>
      <c r="B18" s="301" t="inlineStr">
        <is>
          <t>SS10</t>
        </is>
      </c>
      <c r="C18" s="301" t="n">
        <v>1440</v>
      </c>
      <c r="D18" s="134" t="n">
        <v>1076</v>
      </c>
      <c r="E18" s="301" t="n">
        <v>105</v>
      </c>
      <c r="F18" s="301">
        <f>1+1+1</f>
        <v/>
      </c>
      <c r="G18" s="245">
        <f>E18-F18</f>
        <v/>
      </c>
      <c r="H18" s="285" t="inlineStr">
        <is>
          <t>16cut/New AB/SS10/Hot/112</t>
        </is>
      </c>
      <c r="I18" s="429" t="n"/>
    </row>
    <row r="19" ht="16.5" customHeight="1" thickBot="1" thickTop="1">
      <c r="A19" s="428" t="n"/>
      <c r="B19" s="336" t="inlineStr">
        <is>
          <t>SS12</t>
        </is>
      </c>
      <c r="C19" s="301" t="n">
        <v>1440</v>
      </c>
      <c r="D19" s="134" t="n">
        <v>1296</v>
      </c>
      <c r="E19" s="301" t="n">
        <v>204</v>
      </c>
      <c r="F19" s="301">
        <f>1+1+1</f>
        <v/>
      </c>
      <c r="G19" s="245">
        <f>E19-F19</f>
        <v/>
      </c>
      <c r="H19" s="285" t="inlineStr">
        <is>
          <t>16cut/New AB/SS12/Hot/112</t>
        </is>
      </c>
      <c r="I19" s="429" t="n"/>
    </row>
    <row r="20" ht="16.5" customHeight="1" thickBot="1" thickTop="1">
      <c r="A20" s="428" t="n"/>
      <c r="B20" s="336" t="inlineStr">
        <is>
          <t>SS16</t>
        </is>
      </c>
      <c r="C20" s="301" t="n">
        <v>1440</v>
      </c>
      <c r="D20" s="134" t="n">
        <v>1241</v>
      </c>
      <c r="E20" s="301" t="n">
        <v>196</v>
      </c>
      <c r="F20" s="301">
        <f>1+1+1+1+1+1</f>
        <v/>
      </c>
      <c r="G20" s="245">
        <f>E20-F20</f>
        <v/>
      </c>
      <c r="H20" s="285" t="inlineStr">
        <is>
          <t>16cut/New AB/SS16/Hot/112</t>
        </is>
      </c>
      <c r="I20" s="429" t="n"/>
    </row>
    <row r="21" ht="16.5" customHeight="1" thickBot="1" thickTop="1">
      <c r="A21" s="428" t="n"/>
      <c r="B21" s="336" t="inlineStr">
        <is>
          <t>SS20</t>
        </is>
      </c>
      <c r="C21" s="301" t="n">
        <v>1440</v>
      </c>
      <c r="D21" s="134" t="n">
        <v>1793</v>
      </c>
      <c r="E21" s="301" t="n">
        <v>197</v>
      </c>
      <c r="F21" s="301">
        <f>1+1+1+1+1+1</f>
        <v/>
      </c>
      <c r="G21" s="245">
        <f>E21-F21</f>
        <v/>
      </c>
      <c r="H21" s="285" t="inlineStr">
        <is>
          <t>16cut/New AB/SS20/Hot/112</t>
        </is>
      </c>
      <c r="I21" s="429" t="n"/>
    </row>
    <row r="22" ht="16.5" customHeight="1" thickBot="1" thickTop="1">
      <c r="A22" s="428" t="n"/>
      <c r="B22" s="336" t="inlineStr">
        <is>
          <t>SS30</t>
        </is>
      </c>
      <c r="C22" s="301" t="n">
        <v>288</v>
      </c>
      <c r="D22" s="134" t="n">
        <v>1241</v>
      </c>
      <c r="E22" s="301" t="n">
        <v>174</v>
      </c>
      <c r="F22" s="301">
        <f>5+1+1</f>
        <v/>
      </c>
      <c r="G22" s="245">
        <f>E22-F22</f>
        <v/>
      </c>
      <c r="H22" s="285" t="inlineStr">
        <is>
          <t>16cut/New AB/SS30/Hot/112</t>
        </is>
      </c>
      <c r="I22" s="429" t="n"/>
    </row>
    <row r="23" ht="16.5" customHeight="1" thickBot="1" thickTop="1">
      <c r="A23" s="428" t="n"/>
      <c r="B23" s="336" t="inlineStr">
        <is>
          <t>SS34</t>
        </is>
      </c>
      <c r="C23" s="301" t="n">
        <v>144</v>
      </c>
      <c r="D23" s="134" t="n">
        <v>1572</v>
      </c>
      <c r="E23" s="301" t="n">
        <v>128</v>
      </c>
      <c r="F23" s="301" t="n"/>
      <c r="G23" s="245">
        <f>E23-F23</f>
        <v/>
      </c>
      <c r="H23" s="285" t="inlineStr">
        <is>
          <t>16cut/New AB/SS34/Hot/112</t>
        </is>
      </c>
      <c r="I23" s="429" t="n"/>
    </row>
    <row r="24" ht="16.5" customHeight="1" thickBot="1" thickTop="1">
      <c r="A24" s="430" t="n"/>
      <c r="B24" s="339" t="inlineStr">
        <is>
          <t>SS40</t>
        </is>
      </c>
      <c r="C24" s="302" t="n">
        <v>144</v>
      </c>
      <c r="D24" s="135" t="n">
        <v>1572</v>
      </c>
      <c r="E24" s="302" t="n">
        <v>97</v>
      </c>
      <c r="F24" s="302" t="n">
        <v>5</v>
      </c>
      <c r="G24" s="246">
        <f>E24-F24</f>
        <v/>
      </c>
      <c r="H24" s="287" t="inlineStr">
        <is>
          <t>16cut/New AB/SS40/Hot/112</t>
        </is>
      </c>
      <c r="I24" s="431" t="n"/>
    </row>
    <row r="25" ht="16.5" customHeight="1" thickBot="1" thickTop="1">
      <c r="A25" s="303" t="inlineStr">
        <is>
          <t>JET BLACK</t>
        </is>
      </c>
      <c r="B25" s="303" t="inlineStr">
        <is>
          <t>SS16</t>
        </is>
      </c>
      <c r="C25" s="303" t="n">
        <v>1440</v>
      </c>
      <c r="D25" s="133" t="n">
        <v>1113.75</v>
      </c>
      <c r="E25" s="303" t="n">
        <v>59</v>
      </c>
      <c r="F25" s="303" t="n">
        <v>2</v>
      </c>
      <c r="G25" s="243">
        <f>E25-F25</f>
        <v/>
      </c>
      <c r="H25" s="284" t="inlineStr">
        <is>
          <t>16cut/Jet Black/SS16/Hot/002</t>
        </is>
      </c>
      <c r="I25" s="315" t="inlineStr">
        <is>
          <t>002</t>
        </is>
      </c>
    </row>
    <row r="26" ht="16.5" customHeight="1" thickBot="1" thickTop="1">
      <c r="A26" s="428" t="n"/>
      <c r="B26" s="301" t="inlineStr">
        <is>
          <t>SS20</t>
        </is>
      </c>
      <c r="C26" s="301" t="n">
        <v>1440</v>
      </c>
      <c r="D26" s="134" t="n">
        <v>1638.625</v>
      </c>
      <c r="E26" s="301" t="n">
        <v>59</v>
      </c>
      <c r="F26" s="301" t="n"/>
      <c r="G26" s="245">
        <f>E26-F26</f>
        <v/>
      </c>
      <c r="H26" s="285" t="inlineStr">
        <is>
          <t>16cut/Jet Black/SS20/Hot/002</t>
        </is>
      </c>
      <c r="I26" s="429" t="n"/>
    </row>
    <row r="27" ht="16.5" customHeight="1" thickBot="1" thickTop="1">
      <c r="A27" s="432" t="n"/>
      <c r="B27" s="302" t="inlineStr">
        <is>
          <t>SS30</t>
        </is>
      </c>
      <c r="C27" s="302" t="n">
        <v>288</v>
      </c>
      <c r="D27" s="135" t="n">
        <v>1113.75</v>
      </c>
      <c r="E27" s="302" t="n">
        <v>60</v>
      </c>
      <c r="F27" s="302" t="n"/>
      <c r="G27" s="246">
        <f>E27-F27</f>
        <v/>
      </c>
      <c r="H27" s="287" t="inlineStr">
        <is>
          <t>16cut/Jet Black/SS30/Hot/002</t>
        </is>
      </c>
      <c r="I27" s="431" t="n"/>
    </row>
    <row r="28" ht="16.5" customHeight="1" thickBot="1" thickTop="1">
      <c r="A28" s="31" t="inlineStr">
        <is>
          <t>Lt. Colorado Topaz</t>
        </is>
      </c>
      <c r="B28" s="303" t="inlineStr">
        <is>
          <t>SS16</t>
        </is>
      </c>
      <c r="C28" s="303" t="n">
        <v>1440</v>
      </c>
      <c r="D28" s="133" t="n">
        <v>1169</v>
      </c>
      <c r="E28" s="303" t="n">
        <v>20</v>
      </c>
      <c r="F28" s="303" t="n"/>
      <c r="G28" s="243">
        <f>E28-F28</f>
        <v/>
      </c>
      <c r="H28" s="284" t="inlineStr">
        <is>
          <t>16cut/Lt.Colorado Topaz/SS16/Hot/010</t>
        </is>
      </c>
      <c r="I28" s="315" t="inlineStr">
        <is>
          <t>010</t>
        </is>
      </c>
    </row>
    <row r="29" ht="16.5" customHeight="1" thickBot="1" thickTop="1">
      <c r="A29" s="428" t="n"/>
      <c r="B29" s="301" t="inlineStr">
        <is>
          <t>SS20</t>
        </is>
      </c>
      <c r="C29" s="301" t="n">
        <v>1440</v>
      </c>
      <c r="D29" s="134" t="n">
        <v>1749</v>
      </c>
      <c r="E29" s="301" t="n">
        <v>20</v>
      </c>
      <c r="F29" s="301" t="n"/>
      <c r="G29" s="245">
        <f>E29-F29</f>
        <v/>
      </c>
      <c r="H29" s="285" t="inlineStr">
        <is>
          <t>16cut/Lt.Colorado Topaz/SS20/Hot/010</t>
        </is>
      </c>
      <c r="I29" s="429" t="n"/>
    </row>
    <row r="30" ht="16.5" customHeight="1" thickBot="1" thickTop="1">
      <c r="A30" s="430" t="n"/>
      <c r="B30" s="302" t="inlineStr">
        <is>
          <t>SS30</t>
        </is>
      </c>
      <c r="C30" s="302" t="n">
        <v>288</v>
      </c>
      <c r="D30" s="135" t="n">
        <v>1169</v>
      </c>
      <c r="E30" s="302" t="n">
        <v>20</v>
      </c>
      <c r="F30" s="302" t="n"/>
      <c r="G30" s="246">
        <f>E30-F30</f>
        <v/>
      </c>
      <c r="H30" s="287" t="inlineStr">
        <is>
          <t>16cut/Lt.Colorado Topaz/SS30/Hot/010</t>
        </is>
      </c>
      <c r="I30" s="431" t="n"/>
    </row>
    <row r="31" ht="16.5" customHeight="1" thickBot="1" thickTop="1">
      <c r="A31" s="31" t="inlineStr">
        <is>
          <t>Lt. Sapphire</t>
        </is>
      </c>
      <c r="B31" s="163" t="inlineStr">
        <is>
          <t>SS16</t>
        </is>
      </c>
      <c r="C31" s="163" t="n">
        <v>1440</v>
      </c>
      <c r="D31" s="133" t="n">
        <v>1169</v>
      </c>
      <c r="E31" s="303" t="n">
        <v>20</v>
      </c>
      <c r="F31" s="303">
        <f>2+2</f>
        <v/>
      </c>
      <c r="G31" s="243">
        <f>E31-F31</f>
        <v/>
      </c>
      <c r="H31" s="284" t="inlineStr">
        <is>
          <t>16cut/Lt.Sapphire/SS16/Hot/011</t>
        </is>
      </c>
      <c r="I31" s="315" t="inlineStr">
        <is>
          <t>011</t>
        </is>
      </c>
    </row>
    <row r="32" ht="16.5" customHeight="1" thickBot="1" thickTop="1">
      <c r="A32" s="428" t="n"/>
      <c r="B32" s="61" t="inlineStr">
        <is>
          <t>SS20</t>
        </is>
      </c>
      <c r="C32" s="61" t="n">
        <v>1440</v>
      </c>
      <c r="D32" s="134" t="n">
        <v>1749.125</v>
      </c>
      <c r="E32" s="301" t="n">
        <v>20</v>
      </c>
      <c r="F32" s="301" t="n">
        <v>2</v>
      </c>
      <c r="G32" s="245">
        <f>E32-F32</f>
        <v/>
      </c>
      <c r="H32" s="285" t="inlineStr">
        <is>
          <t>16cut/Lt.Sapphire/SS20/Hot/011</t>
        </is>
      </c>
      <c r="I32" s="429" t="n"/>
    </row>
    <row r="33" ht="16.5" customHeight="1" thickBot="1" thickTop="1">
      <c r="A33" s="430" t="n"/>
      <c r="B33" s="164" t="inlineStr">
        <is>
          <t>SS30</t>
        </is>
      </c>
      <c r="C33" s="164" t="n">
        <v>288</v>
      </c>
      <c r="D33" s="135" t="n">
        <v>1169</v>
      </c>
      <c r="E33" s="302" t="n">
        <v>20</v>
      </c>
      <c r="F33" s="302" t="n">
        <v>2</v>
      </c>
      <c r="G33" s="246">
        <f>E33-F33</f>
        <v/>
      </c>
      <c r="H33" s="287" t="inlineStr">
        <is>
          <t>16cut/Lt.Sapphire/SS30/Hot/011</t>
        </is>
      </c>
      <c r="I33" s="431" t="n"/>
    </row>
    <row r="34" ht="16.5" customHeight="1" thickBot="1" thickTop="1">
      <c r="A34" s="304" t="inlineStr">
        <is>
          <t>SAPPHIRE</t>
        </is>
      </c>
      <c r="B34" s="301" t="inlineStr">
        <is>
          <t>SS20</t>
        </is>
      </c>
      <c r="C34" s="301" t="n">
        <v>1440</v>
      </c>
      <c r="D34" s="134" t="n">
        <v>1749.125</v>
      </c>
      <c r="E34" s="301" t="n">
        <v>5</v>
      </c>
      <c r="F34" s="301">
        <f>1+2</f>
        <v/>
      </c>
      <c r="G34" s="245">
        <f>E34-F34</f>
        <v/>
      </c>
      <c r="H34" s="288" t="inlineStr">
        <is>
          <t>16cut/Sapphire/SS20/Hot/013</t>
        </is>
      </c>
      <c r="I34" s="315" t="inlineStr">
        <is>
          <t>013</t>
        </is>
      </c>
    </row>
    <row r="35" ht="16.5" customHeight="1" thickBot="1" thickTop="1">
      <c r="A35" s="31" t="inlineStr">
        <is>
          <t>AQUAMARINE</t>
        </is>
      </c>
      <c r="B35" s="165" t="inlineStr">
        <is>
          <t>SS16</t>
        </is>
      </c>
      <c r="C35" s="165" t="n">
        <v>1440</v>
      </c>
      <c r="D35" s="133" t="n">
        <v>1169</v>
      </c>
      <c r="E35" s="303" t="n">
        <v>20</v>
      </c>
      <c r="F35" s="303" t="n">
        <v>2</v>
      </c>
      <c r="G35" s="243">
        <f>E35-F35</f>
        <v/>
      </c>
      <c r="H35" s="284" t="inlineStr">
        <is>
          <t>16cut/Aquamarine/SS16/Hot/016</t>
        </is>
      </c>
      <c r="I35" s="315" t="inlineStr">
        <is>
          <t>016</t>
        </is>
      </c>
    </row>
    <row r="36" ht="16.5" customHeight="1" thickBot="1" thickTop="1">
      <c r="A36" s="428" t="n"/>
      <c r="B36" s="66" t="inlineStr">
        <is>
          <t>SS20</t>
        </is>
      </c>
      <c r="C36" s="66" t="n">
        <v>1440</v>
      </c>
      <c r="D36" s="134" t="n">
        <v>1749.125</v>
      </c>
      <c r="E36" s="301" t="n">
        <v>20</v>
      </c>
      <c r="F36" s="301" t="n">
        <v>2</v>
      </c>
      <c r="G36" s="245">
        <f>E36-F36</f>
        <v/>
      </c>
      <c r="H36" s="285" t="inlineStr">
        <is>
          <t>16cut/Aquamarine/SS20/Hot/016</t>
        </is>
      </c>
      <c r="I36" s="429" t="n"/>
    </row>
    <row r="37" ht="16.5" customHeight="1" thickBot="1" thickTop="1">
      <c r="A37" s="430" t="n"/>
      <c r="B37" s="23" t="inlineStr">
        <is>
          <t>SS30</t>
        </is>
      </c>
      <c r="C37" s="23" t="n">
        <v>288</v>
      </c>
      <c r="D37" s="135" t="n">
        <v>1169</v>
      </c>
      <c r="E37" s="302" t="n">
        <v>20</v>
      </c>
      <c r="F37" s="302" t="n">
        <v>2</v>
      </c>
      <c r="G37" s="246">
        <f>E37-F37</f>
        <v/>
      </c>
      <c r="H37" s="287" t="inlineStr">
        <is>
          <t>16cut/Aquamarine/SS30/Hot/016</t>
        </is>
      </c>
      <c r="I37" s="431" t="n"/>
    </row>
    <row r="38" ht="16.5" customHeight="1" thickBot="1" thickTop="1">
      <c r="A38" s="31" t="inlineStr">
        <is>
          <t>INDICOLITE</t>
        </is>
      </c>
      <c r="B38" s="14" t="inlineStr">
        <is>
          <t>SS16</t>
        </is>
      </c>
      <c r="C38" s="14" t="n">
        <v>1440</v>
      </c>
      <c r="D38" s="133" t="n">
        <v>1169</v>
      </c>
      <c r="E38" s="303" t="n">
        <v>20</v>
      </c>
      <c r="F38" s="303" t="n"/>
      <c r="G38" s="243">
        <f>E38-F38</f>
        <v/>
      </c>
      <c r="H38" s="284" t="inlineStr">
        <is>
          <t>16cut/Indicolite/SS16/Hot/014</t>
        </is>
      </c>
      <c r="I38" s="315" t="inlineStr">
        <is>
          <t>014</t>
        </is>
      </c>
    </row>
    <row r="39" ht="16.5" customHeight="1" thickBot="1" thickTop="1">
      <c r="A39" s="428" t="n"/>
      <c r="B39" s="65" t="inlineStr">
        <is>
          <t>SS20</t>
        </is>
      </c>
      <c r="C39" s="65" t="n">
        <v>1440</v>
      </c>
      <c r="D39" s="134" t="n">
        <v>1749.125</v>
      </c>
      <c r="E39" s="301" t="n">
        <v>20</v>
      </c>
      <c r="F39" s="301" t="n"/>
      <c r="G39" s="245">
        <f>E39-F39</f>
        <v/>
      </c>
      <c r="H39" s="285" t="inlineStr">
        <is>
          <t>16cut/Indicolite/SS20/Hot/014</t>
        </is>
      </c>
      <c r="I39" s="429" t="n"/>
    </row>
    <row r="40" ht="16.5" customHeight="1" thickBot="1" thickTop="1">
      <c r="A40" s="430" t="n"/>
      <c r="B40" s="15" t="inlineStr">
        <is>
          <t>SS30</t>
        </is>
      </c>
      <c r="C40" s="15" t="n">
        <v>288</v>
      </c>
      <c r="D40" s="135" t="n">
        <v>1169</v>
      </c>
      <c r="E40" s="302" t="n">
        <v>20</v>
      </c>
      <c r="F40" s="302" t="n"/>
      <c r="G40" s="246">
        <f>E40-F40</f>
        <v/>
      </c>
      <c r="H40" s="287" t="inlineStr">
        <is>
          <t>16cut/Indicolite/SS30/Hot/014</t>
        </is>
      </c>
      <c r="I40" s="431" t="n"/>
    </row>
    <row r="41" ht="16.5" customHeight="1" thickBot="1" thickTop="1">
      <c r="A41" s="31" t="inlineStr">
        <is>
          <t>CAPRI BLUE</t>
        </is>
      </c>
      <c r="B41" s="303" t="inlineStr">
        <is>
          <t>SS16</t>
        </is>
      </c>
      <c r="C41" s="303" t="n">
        <v>1440</v>
      </c>
      <c r="D41" s="133" t="n">
        <v>1169</v>
      </c>
      <c r="E41" s="303" t="n">
        <v>20</v>
      </c>
      <c r="F41" s="303" t="n"/>
      <c r="G41" s="243">
        <f>E41-F41</f>
        <v/>
      </c>
      <c r="H41" s="284" t="inlineStr">
        <is>
          <t>16cut/Capri Blue/SS16/Hot/017</t>
        </is>
      </c>
      <c r="I41" s="315" t="inlineStr">
        <is>
          <t>017</t>
        </is>
      </c>
    </row>
    <row r="42" ht="16.5" customHeight="1" thickBot="1" thickTop="1">
      <c r="A42" s="428" t="n"/>
      <c r="B42" s="301" t="inlineStr">
        <is>
          <t>SS20</t>
        </is>
      </c>
      <c r="C42" s="301" t="n">
        <v>1440</v>
      </c>
      <c r="D42" s="134" t="n">
        <v>1749.125</v>
      </c>
      <c r="E42" s="301" t="n">
        <v>20</v>
      </c>
      <c r="F42" s="301" t="n"/>
      <c r="G42" s="245">
        <f>E42-F42</f>
        <v/>
      </c>
      <c r="H42" s="285" t="inlineStr">
        <is>
          <t>16cut/Capri Blue/SS20/Hot/017</t>
        </is>
      </c>
      <c r="I42" s="429" t="n"/>
    </row>
    <row r="43" ht="16.5" customHeight="1" thickBot="1" thickTop="1">
      <c r="A43" s="430" t="n"/>
      <c r="B43" s="302" t="inlineStr">
        <is>
          <t>SS30</t>
        </is>
      </c>
      <c r="C43" s="302" t="n">
        <v>288</v>
      </c>
      <c r="D43" s="135" t="n">
        <v>1169</v>
      </c>
      <c r="E43" s="302" t="n">
        <v>20</v>
      </c>
      <c r="F43" s="302" t="n"/>
      <c r="G43" s="246">
        <f>E43-F43</f>
        <v/>
      </c>
      <c r="H43" s="287" t="inlineStr">
        <is>
          <t>16cut/Capri Blue/SS30/Hot/017</t>
        </is>
      </c>
      <c r="I43" s="431" t="n"/>
    </row>
    <row r="44" ht="16.5" customHeight="1" thickBot="1" thickTop="1">
      <c r="A44" s="303" t="inlineStr">
        <is>
          <t>MONTANA</t>
        </is>
      </c>
      <c r="B44" s="303" t="inlineStr">
        <is>
          <t>SS16</t>
        </is>
      </c>
      <c r="C44" s="303" t="n">
        <v>1440</v>
      </c>
      <c r="D44" s="133" t="n">
        <v>1169</v>
      </c>
      <c r="E44" s="303" t="n">
        <v>20</v>
      </c>
      <c r="F44" s="303">
        <f>2+2</f>
        <v/>
      </c>
      <c r="G44" s="243">
        <f>E44-F44</f>
        <v/>
      </c>
      <c r="H44" s="284" t="inlineStr">
        <is>
          <t>16cut/Montana/SS16/Hot/018</t>
        </is>
      </c>
      <c r="I44" s="315" t="inlineStr">
        <is>
          <t>018</t>
        </is>
      </c>
    </row>
    <row r="45" ht="16.5" customHeight="1" thickBot="1" thickTop="1">
      <c r="A45" s="428" t="n"/>
      <c r="B45" s="301" t="inlineStr">
        <is>
          <t>SS20</t>
        </is>
      </c>
      <c r="C45" s="301" t="n">
        <v>1440</v>
      </c>
      <c r="D45" s="134" t="n">
        <v>1749.125</v>
      </c>
      <c r="E45" s="301" t="n">
        <v>20</v>
      </c>
      <c r="F45" s="301" t="n">
        <v>2</v>
      </c>
      <c r="G45" s="245">
        <f>E45-F45</f>
        <v/>
      </c>
      <c r="H45" s="285" t="inlineStr">
        <is>
          <t>16cut/Montana/SS20/Hot/018</t>
        </is>
      </c>
      <c r="I45" s="429" t="n"/>
    </row>
    <row r="46" ht="17.25" customHeight="1" thickBot="1" thickTop="1">
      <c r="A46" s="432" t="n"/>
      <c r="B46" s="302" t="inlineStr">
        <is>
          <t>SS30</t>
        </is>
      </c>
      <c r="C46" s="302" t="n">
        <v>288</v>
      </c>
      <c r="D46" s="135" t="n">
        <v>1169</v>
      </c>
      <c r="E46" s="302" t="n">
        <v>20</v>
      </c>
      <c r="F46" s="302" t="n">
        <v>2</v>
      </c>
      <c r="G46" s="246">
        <f>E46-F46</f>
        <v/>
      </c>
      <c r="H46" s="287" t="inlineStr">
        <is>
          <t>16cut/Montana/SS30/Hot/018</t>
        </is>
      </c>
      <c r="I46" s="431" t="n"/>
    </row>
    <row r="47" ht="16.5" customHeight="1" thickBot="1" thickTop="1">
      <c r="A47" s="303" t="inlineStr">
        <is>
          <t>Lt. Peridot</t>
        </is>
      </c>
      <c r="B47" s="303" t="inlineStr">
        <is>
          <t>SS16</t>
        </is>
      </c>
      <c r="C47" s="303" t="n">
        <v>1440</v>
      </c>
      <c r="D47" s="133" t="n">
        <v>1169</v>
      </c>
      <c r="E47" s="303" t="n">
        <v>20</v>
      </c>
      <c r="F47" s="303" t="n"/>
      <c r="G47" s="242">
        <f>E47-F47</f>
        <v/>
      </c>
      <c r="H47" s="284" t="inlineStr">
        <is>
          <t>16cut/Lt. Peridot/SS16/Hot/024</t>
        </is>
      </c>
      <c r="I47" s="315" t="inlineStr">
        <is>
          <t>024</t>
        </is>
      </c>
    </row>
    <row r="48" ht="16.5" customHeight="1" thickBot="1" thickTop="1">
      <c r="A48" s="428" t="n"/>
      <c r="B48" s="301" t="inlineStr">
        <is>
          <t>SS20</t>
        </is>
      </c>
      <c r="C48" s="301" t="n">
        <v>1440</v>
      </c>
      <c r="D48" s="134" t="n">
        <v>1749</v>
      </c>
      <c r="E48" s="301" t="n">
        <v>20</v>
      </c>
      <c r="F48" s="301" t="n"/>
      <c r="G48" s="247">
        <f>E48-F48</f>
        <v/>
      </c>
      <c r="H48" s="285" t="inlineStr">
        <is>
          <t>16cut/Lt. Peridot/SS20/Hot/024</t>
        </is>
      </c>
      <c r="I48" s="429" t="n"/>
    </row>
    <row r="49" ht="16.5" customHeight="1" thickBot="1" thickTop="1">
      <c r="A49" s="432" t="n"/>
      <c r="B49" s="302" t="inlineStr">
        <is>
          <t>SS30</t>
        </is>
      </c>
      <c r="C49" s="302" t="n">
        <v>288</v>
      </c>
      <c r="D49" s="135" t="n">
        <v>1169</v>
      </c>
      <c r="E49" s="302" t="n">
        <v>20</v>
      </c>
      <c r="F49" s="302" t="n"/>
      <c r="G49" s="247">
        <f>E49-F49</f>
        <v/>
      </c>
      <c r="H49" s="287" t="inlineStr">
        <is>
          <t>16cut/Lt. Peridot/SS30/Hot/024</t>
        </is>
      </c>
      <c r="I49" s="431" t="n"/>
    </row>
    <row r="50" ht="16.5" customHeight="1" thickBot="1" thickTop="1">
      <c r="A50" s="301" t="inlineStr">
        <is>
          <t>OLIVINE</t>
        </is>
      </c>
      <c r="B50" s="333" t="inlineStr">
        <is>
          <t>SS20</t>
        </is>
      </c>
      <c r="C50" s="333" t="n">
        <v>1440</v>
      </c>
      <c r="D50" s="134" t="n">
        <v>1749.125</v>
      </c>
      <c r="E50" s="301" t="n">
        <v>20</v>
      </c>
      <c r="F50" s="301" t="n"/>
      <c r="G50" s="256">
        <f>E50-F50</f>
        <v/>
      </c>
      <c r="H50" s="288" t="inlineStr">
        <is>
          <t>16cut/Olivine/SS20/Hot/027</t>
        </is>
      </c>
      <c r="I50" s="315" t="inlineStr">
        <is>
          <t>027</t>
        </is>
      </c>
    </row>
    <row r="51" ht="16.5" customHeight="1" thickBot="1" thickTop="1">
      <c r="A51" s="31" t="inlineStr">
        <is>
          <t>HYACINTH</t>
        </is>
      </c>
      <c r="B51" s="303" t="inlineStr">
        <is>
          <t>SS16</t>
        </is>
      </c>
      <c r="C51" s="303" t="n">
        <v>1440</v>
      </c>
      <c r="D51" s="133" t="n">
        <v>1224</v>
      </c>
      <c r="E51" s="303" t="n">
        <v>20</v>
      </c>
      <c r="F51" s="303" t="n"/>
      <c r="G51" s="243">
        <f>E51-F51</f>
        <v/>
      </c>
      <c r="H51" s="284" t="inlineStr">
        <is>
          <t>16cut/Hyacinth/SS16/Hot/031</t>
        </is>
      </c>
      <c r="I51" s="315" t="inlineStr">
        <is>
          <t>031</t>
        </is>
      </c>
    </row>
    <row r="52" ht="16.5" customHeight="1" thickBot="1" thickTop="1">
      <c r="A52" s="428" t="n"/>
      <c r="B52" s="301" t="inlineStr">
        <is>
          <t>SS20</t>
        </is>
      </c>
      <c r="C52" s="301" t="n">
        <v>1440</v>
      </c>
      <c r="D52" s="134" t="n">
        <v>1803</v>
      </c>
      <c r="E52" s="301" t="n">
        <v>20</v>
      </c>
      <c r="F52" s="301" t="n"/>
      <c r="G52" s="245">
        <f>E52-F52</f>
        <v/>
      </c>
      <c r="H52" s="285" t="inlineStr">
        <is>
          <t>16cut/Hyacinth/SS20/Hot/031</t>
        </is>
      </c>
      <c r="I52" s="429" t="n"/>
    </row>
    <row r="53" ht="16.5" customHeight="1" thickBot="1" thickTop="1">
      <c r="A53" s="430" t="n"/>
      <c r="B53" s="302" t="inlineStr">
        <is>
          <t>SS30</t>
        </is>
      </c>
      <c r="C53" s="302" t="n">
        <v>288</v>
      </c>
      <c r="D53" s="135" t="n">
        <v>1224</v>
      </c>
      <c r="E53" s="302" t="n">
        <v>20</v>
      </c>
      <c r="F53" s="302" t="n"/>
      <c r="G53" s="245">
        <f>E53-F53</f>
        <v/>
      </c>
      <c r="H53" s="287" t="inlineStr">
        <is>
          <t>16cut/Hyacinth/SS30/Hot/031</t>
        </is>
      </c>
      <c r="I53" s="431" t="n"/>
    </row>
    <row r="54" ht="16.5" customHeight="1" thickBot="1" thickTop="1">
      <c r="A54" s="303" t="inlineStr">
        <is>
          <t>Lt. Siam</t>
        </is>
      </c>
      <c r="B54" s="303" t="inlineStr">
        <is>
          <t>SS16</t>
        </is>
      </c>
      <c r="C54" s="303" t="n">
        <v>1440</v>
      </c>
      <c r="D54" s="133" t="n">
        <v>1224.25</v>
      </c>
      <c r="E54" s="303" t="n">
        <v>39</v>
      </c>
      <c r="F54" s="32" t="n">
        <v>2</v>
      </c>
      <c r="G54" s="243">
        <f>E54-F54</f>
        <v/>
      </c>
      <c r="H54" s="284" t="inlineStr">
        <is>
          <t>16cut/Lt.Siam/SS16/Hot/033</t>
        </is>
      </c>
      <c r="I54" s="315" t="inlineStr">
        <is>
          <t>033</t>
        </is>
      </c>
    </row>
    <row r="55" ht="16.5" customHeight="1" thickBot="1" thickTop="1">
      <c r="A55" s="428" t="n"/>
      <c r="B55" s="318" t="inlineStr">
        <is>
          <t>SS20</t>
        </is>
      </c>
      <c r="C55" s="318" t="n">
        <v>1440</v>
      </c>
      <c r="D55" s="138" t="n">
        <v>1803.3125</v>
      </c>
      <c r="E55" s="318" t="n">
        <v>39</v>
      </c>
      <c r="F55" s="84" t="n"/>
      <c r="G55" s="247">
        <f>E55-F55</f>
        <v/>
      </c>
      <c r="H55" s="285" t="inlineStr">
        <is>
          <t>16cut/Lt.Siam/SS20/Hot/033</t>
        </is>
      </c>
      <c r="I55" s="429" t="n"/>
    </row>
    <row r="56" ht="16.5" customHeight="1" thickBot="1" thickTop="1">
      <c r="A56" s="432" t="n"/>
      <c r="B56" s="302" t="inlineStr">
        <is>
          <t>SS30</t>
        </is>
      </c>
      <c r="C56" s="302" t="n">
        <v>288</v>
      </c>
      <c r="D56" s="135" t="n">
        <v>1224</v>
      </c>
      <c r="E56" s="302" t="n">
        <v>40</v>
      </c>
      <c r="F56" s="33" t="n"/>
      <c r="G56" s="246">
        <f>E56-F56</f>
        <v/>
      </c>
      <c r="H56" s="287" t="inlineStr">
        <is>
          <t>16cut/Lt.Siam/SS30/Hot/033</t>
        </is>
      </c>
      <c r="I56" s="431" t="n"/>
    </row>
    <row r="57" ht="16.5" customHeight="1" thickBot="1" thickTop="1">
      <c r="A57" s="31" t="inlineStr">
        <is>
          <t>GARNET</t>
        </is>
      </c>
      <c r="B57" s="166" t="inlineStr">
        <is>
          <t>SS16</t>
        </is>
      </c>
      <c r="C57" s="166" t="n">
        <v>1440</v>
      </c>
      <c r="D57" s="133" t="n">
        <v>1224.25</v>
      </c>
      <c r="E57" s="303" t="n">
        <v>20</v>
      </c>
      <c r="F57" s="32" t="n">
        <v>2</v>
      </c>
      <c r="G57" s="243">
        <f>E57-F57</f>
        <v/>
      </c>
      <c r="H57" s="284" t="inlineStr">
        <is>
          <t>16cut/Garnet/SS16/Hot/034</t>
        </is>
      </c>
      <c r="I57" s="315" t="inlineStr">
        <is>
          <t>034</t>
        </is>
      </c>
    </row>
    <row r="58" ht="16.5" customHeight="1" thickBot="1" thickTop="1">
      <c r="A58" s="428" t="n"/>
      <c r="B58" s="78" t="inlineStr">
        <is>
          <t>SS20</t>
        </is>
      </c>
      <c r="C58" s="78" t="n">
        <v>1440</v>
      </c>
      <c r="D58" s="134" t="n">
        <v>1803.3125</v>
      </c>
      <c r="E58" s="301" t="n">
        <v>20</v>
      </c>
      <c r="F58" s="34" t="n"/>
      <c r="G58" s="245">
        <f>E58-F58</f>
        <v/>
      </c>
      <c r="H58" s="285" t="inlineStr">
        <is>
          <t>16cut/Garnet/SS20/Hot/034</t>
        </is>
      </c>
      <c r="I58" s="429" t="n"/>
    </row>
    <row r="59" ht="16.5" customHeight="1" thickBot="1" thickTop="1">
      <c r="A59" s="430" t="n"/>
      <c r="B59" s="82" t="inlineStr">
        <is>
          <t>SS30</t>
        </is>
      </c>
      <c r="C59" s="82" t="n">
        <v>288</v>
      </c>
      <c r="D59" s="135" t="n">
        <v>1224.25</v>
      </c>
      <c r="E59" s="302" t="n">
        <v>20</v>
      </c>
      <c r="F59" s="33" t="n"/>
      <c r="G59" s="246">
        <f>E59-F59</f>
        <v/>
      </c>
      <c r="H59" s="287" t="inlineStr">
        <is>
          <t>16cut/Garnet/SS30/Hot/034</t>
        </is>
      </c>
      <c r="I59" s="431" t="n"/>
    </row>
    <row r="60" ht="16.5" customHeight="1" thickBot="1" thickTop="1">
      <c r="A60" s="301" t="inlineStr">
        <is>
          <t>CITRINE</t>
        </is>
      </c>
      <c r="B60" s="301" t="inlineStr">
        <is>
          <t>SS20</t>
        </is>
      </c>
      <c r="C60" s="301" t="n">
        <v>1440</v>
      </c>
      <c r="D60" s="134" t="n">
        <v>1803.3125</v>
      </c>
      <c r="E60" s="301" t="n">
        <v>20</v>
      </c>
      <c r="F60" s="34" t="n"/>
      <c r="G60" s="245">
        <f>E60-F60</f>
        <v/>
      </c>
      <c r="H60" s="284" t="inlineStr">
        <is>
          <t>16cut/Citrine/SS20/Hot/035</t>
        </is>
      </c>
      <c r="I60" s="315" t="inlineStr">
        <is>
          <t>035</t>
        </is>
      </c>
    </row>
    <row r="61" ht="16.5" customHeight="1" thickBot="1" thickTop="1">
      <c r="A61" s="432" t="n"/>
      <c r="B61" s="302" t="inlineStr">
        <is>
          <t>SS30</t>
        </is>
      </c>
      <c r="C61" s="302" t="n">
        <v>288</v>
      </c>
      <c r="D61" s="135" t="n">
        <v>1224.25</v>
      </c>
      <c r="E61" s="302" t="n">
        <v>20</v>
      </c>
      <c r="F61" s="33" t="n"/>
      <c r="G61" s="246">
        <f>E61-F61</f>
        <v/>
      </c>
      <c r="H61" s="287" t="inlineStr">
        <is>
          <t>16cut/Citrine/SS30/Hot/035</t>
        </is>
      </c>
      <c r="I61" s="431" t="n"/>
    </row>
    <row r="62" ht="16.5" customHeight="1" thickBot="1" thickTop="1">
      <c r="A62" s="31" t="inlineStr">
        <is>
          <t>GOLDEN SHADOW</t>
        </is>
      </c>
      <c r="B62" s="31" t="inlineStr">
        <is>
          <t>SS20</t>
        </is>
      </c>
      <c r="C62" s="31" t="n">
        <v>1440</v>
      </c>
      <c r="D62" s="136" t="n">
        <v>1638</v>
      </c>
      <c r="E62" s="31" t="n">
        <v>5</v>
      </c>
      <c r="F62" s="31" t="n"/>
      <c r="G62" s="256">
        <f>E62-F62</f>
        <v/>
      </c>
      <c r="H62" s="288" t="inlineStr">
        <is>
          <t>16cut/Golden Shadow/SS20/Hot/052</t>
        </is>
      </c>
      <c r="I62" s="347" t="inlineStr">
        <is>
          <t>052</t>
        </is>
      </c>
    </row>
    <row r="63" ht="15.75" customHeight="1" thickTop="1">
      <c r="A63" s="161" t="n"/>
      <c r="B63" s="161" t="n"/>
      <c r="C63" s="161" t="n"/>
      <c r="D63" s="161" t="n"/>
      <c r="E63" s="161" t="n"/>
      <c r="F63" s="161" t="n"/>
      <c r="G63" s="161" t="n"/>
      <c r="I63" s="161" t="n"/>
    </row>
  </sheetData>
  <mergeCells count="31">
    <mergeCell ref="I4:I11"/>
    <mergeCell ref="A4:A11"/>
    <mergeCell ref="A57:A59"/>
    <mergeCell ref="A60:A61"/>
    <mergeCell ref="I51:I53"/>
    <mergeCell ref="I38:I40"/>
    <mergeCell ref="A47:A49"/>
    <mergeCell ref="A38:A40"/>
    <mergeCell ref="I35:I37"/>
    <mergeCell ref="A44:A46"/>
    <mergeCell ref="A35:A37"/>
    <mergeCell ref="I44:I46"/>
    <mergeCell ref="I31:I33"/>
    <mergeCell ref="A28:A30"/>
    <mergeCell ref="A12:A15"/>
    <mergeCell ref="I12:I15"/>
    <mergeCell ref="A31:A33"/>
    <mergeCell ref="I54:I56"/>
    <mergeCell ref="A51:A53"/>
    <mergeCell ref="I57:I59"/>
    <mergeCell ref="I60:I61"/>
    <mergeCell ref="I47:I49"/>
    <mergeCell ref="A41:A43"/>
    <mergeCell ref="A54:A56"/>
    <mergeCell ref="I41:I43"/>
    <mergeCell ref="I25:I27"/>
    <mergeCell ref="A25:A27"/>
    <mergeCell ref="I28:I30"/>
    <mergeCell ref="I16:I24"/>
    <mergeCell ref="A2:D2"/>
    <mergeCell ref="A16:A24"/>
  </mergeCells>
  <pageMargins left="0.7086614173228347" right="0.7086614173228347" top="0.7480314960629921" bottom="0.7480314960629921" header="0.3149606299212598" footer="0.3149606299212598"/>
  <pageSetup orientation="portrait" paperSize="9" scale="96" fitToHeight="2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Lenok</dc:creator>
  <dcterms:created xsi:type="dcterms:W3CDTF">2026-01-31T06:38:18Z</dcterms:created>
  <dcterms:modified xsi:type="dcterms:W3CDTF">2026-07-07T02:53:25Z</dcterms:modified>
  <cp:lastModifiedBy>Alexandr</cp:lastModifiedBy>
  <cp:lastPrinted>2026-04-22T12:43:34Z</cp:lastPrinted>
</cp:coreProperties>
</file>