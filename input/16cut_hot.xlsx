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nas_parser\input\"/>
    </mc:Choice>
  </mc:AlternateContent>
  <xr:revisionPtr revIDLastSave="0" documentId="8_{0D21662D-3A79-4446-BFF5-7D881C0D24B5}" xr6:coauthVersionLast="45" xr6:coauthVersionMax="45" xr10:uidLastSave="{00000000-0000-0000-0000-000000000000}"/>
  <bookViews>
    <workbookView xWindow="-120" yWindow="-120" windowWidth="29040" windowHeight="15720" xr2:uid="{6A8D7636-5D9C-4666-9EBC-585E2E8C9CB4}"/>
  </bookViews>
  <sheets>
    <sheet name="16 граней горячие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2" i="1" l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F44" i="1"/>
  <c r="G44" i="1" s="1"/>
  <c r="G43" i="1"/>
  <c r="G42" i="1"/>
  <c r="G41" i="1"/>
  <c r="G40" i="1"/>
  <c r="G39" i="1"/>
  <c r="G38" i="1"/>
  <c r="G37" i="1"/>
  <c r="G36" i="1"/>
  <c r="G35" i="1"/>
  <c r="F34" i="1"/>
  <c r="G34" i="1" s="1"/>
  <c r="G33" i="1"/>
  <c r="G32" i="1"/>
  <c r="F31" i="1"/>
  <c r="G31" i="1" s="1"/>
  <c r="G30" i="1"/>
  <c r="G29" i="1"/>
  <c r="G28" i="1"/>
  <c r="G27" i="1"/>
  <c r="G26" i="1"/>
  <c r="G25" i="1"/>
  <c r="G24" i="1"/>
  <c r="G23" i="1"/>
  <c r="F22" i="1"/>
  <c r="G22" i="1" s="1"/>
  <c r="F21" i="1"/>
  <c r="G21" i="1" s="1"/>
  <c r="F20" i="1"/>
  <c r="G20" i="1" s="1"/>
  <c r="G19" i="1"/>
  <c r="F19" i="1"/>
  <c r="F18" i="1"/>
  <c r="G18" i="1" s="1"/>
  <c r="F17" i="1"/>
  <c r="G17" i="1" s="1"/>
  <c r="F16" i="1"/>
  <c r="G16" i="1" s="1"/>
  <c r="G15" i="1"/>
  <c r="G14" i="1"/>
  <c r="G13" i="1"/>
  <c r="G12" i="1"/>
  <c r="G11" i="1"/>
  <c r="G10" i="1"/>
  <c r="G9" i="1"/>
  <c r="G8" i="1"/>
  <c r="F7" i="1"/>
  <c r="G7" i="1" s="1"/>
  <c r="G6" i="1"/>
  <c r="F5" i="1"/>
  <c r="G5" i="1" s="1"/>
  <c r="F4" i="1"/>
  <c r="E4" i="1"/>
  <c r="G4" i="1" s="1"/>
</calcChain>
</file>

<file path=xl/sharedStrings.xml><?xml version="1.0" encoding="utf-8"?>
<sst xmlns="http://schemas.openxmlformats.org/spreadsheetml/2006/main" count="104" uniqueCount="54">
  <si>
    <t>16 граней горячая фиксация</t>
  </si>
  <si>
    <t>цвет</t>
  </si>
  <si>
    <t>размер</t>
  </si>
  <si>
    <t>штук в пачке</t>
  </si>
  <si>
    <t>цена продажи в руб</t>
  </si>
  <si>
    <t>всего шт пришло</t>
  </si>
  <si>
    <t>продано</t>
  </si>
  <si>
    <t>остаток на складе</t>
  </si>
  <si>
    <t>код цвета</t>
  </si>
  <si>
    <t>CRYSTAL</t>
  </si>
  <si>
    <t>SS6</t>
  </si>
  <si>
    <t>001</t>
  </si>
  <si>
    <t>SS8</t>
  </si>
  <si>
    <t>SS10</t>
  </si>
  <si>
    <t>SS12</t>
  </si>
  <si>
    <t>SS16</t>
  </si>
  <si>
    <t>SS20</t>
  </si>
  <si>
    <t>SS30</t>
  </si>
  <si>
    <t>SS34</t>
  </si>
  <si>
    <t>Crystal AB классические</t>
  </si>
  <si>
    <t>001+</t>
  </si>
  <si>
    <t>NEW AB</t>
  </si>
  <si>
    <t>112</t>
  </si>
  <si>
    <t>SS40</t>
  </si>
  <si>
    <t>JET</t>
  </si>
  <si>
    <t>002</t>
  </si>
  <si>
    <t>LCT</t>
  </si>
  <si>
    <t>010</t>
  </si>
  <si>
    <t>LT SAPPHIRE</t>
  </si>
  <si>
    <t>011</t>
  </si>
  <si>
    <t>SAPPHIRE</t>
  </si>
  <si>
    <t>013</t>
  </si>
  <si>
    <t>AQUAMARINE</t>
  </si>
  <si>
    <t>016</t>
  </si>
  <si>
    <t>INDICOLITE</t>
  </si>
  <si>
    <t>014</t>
  </si>
  <si>
    <t>CAPRI BLUE</t>
  </si>
  <si>
    <t>017</t>
  </si>
  <si>
    <t>MONTANA</t>
  </si>
  <si>
    <t>018</t>
  </si>
  <si>
    <t>LT PERIDOT</t>
  </si>
  <si>
    <t>024</t>
  </si>
  <si>
    <t>OLIVINE</t>
  </si>
  <si>
    <t>027</t>
  </si>
  <si>
    <t>HYACINTH</t>
  </si>
  <si>
    <t>031</t>
  </si>
  <si>
    <t>LT SIAM</t>
  </si>
  <si>
    <t>033+</t>
  </si>
  <si>
    <t>GARNET (Dark Siam)</t>
  </si>
  <si>
    <t>034</t>
  </si>
  <si>
    <t>CITRINE</t>
  </si>
  <si>
    <t>035</t>
  </si>
  <si>
    <t>GOLDEN SHADOW</t>
  </si>
  <si>
    <t>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</si>
</sst>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</borders>
  <cellStyleXfs count="13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5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0" xfId="0" applyFont="1"/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wrapText="1"/>
    </xf>
    <xf numFmtId="49" fontId="4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" fillId="0" borderId="7" xfId="2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5" fillId="0" borderId="9" xfId="4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4" xfId="5" applyFont="1" applyBorder="1" applyAlignment="1">
      <alignment horizontal="center" vertical="center"/>
    </xf>
    <xf numFmtId="0" fontId="5" fillId="0" borderId="7" xfId="5" applyFont="1" applyBorder="1" applyAlignment="1">
      <alignment horizontal="center" vertical="center"/>
    </xf>
    <xf numFmtId="0" fontId="5" fillId="0" borderId="9" xfId="5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5" fillId="0" borderId="4" xfId="6" applyFont="1" applyBorder="1" applyAlignment="1">
      <alignment horizontal="center" vertical="center"/>
    </xf>
    <xf numFmtId="0" fontId="5" fillId="0" borderId="7" xfId="6" applyFont="1" applyBorder="1" applyAlignment="1">
      <alignment horizontal="center" vertical="center"/>
    </xf>
    <xf numFmtId="0" fontId="5" fillId="0" borderId="9" xfId="7" applyFont="1" applyBorder="1" applyAlignment="1">
      <alignment horizontal="center" vertical="center"/>
    </xf>
    <xf numFmtId="0" fontId="5" fillId="0" borderId="4" xfId="8" applyFont="1" applyBorder="1" applyAlignment="1">
      <alignment horizontal="center" vertical="center"/>
    </xf>
    <xf numFmtId="0" fontId="5" fillId="0" borderId="7" xfId="8" applyFont="1" applyBorder="1" applyAlignment="1">
      <alignment horizontal="center" vertical="center"/>
    </xf>
    <xf numFmtId="0" fontId="5" fillId="0" borderId="9" xfId="8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7" xfId="9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/>
    <xf numFmtId="0" fontId="4" fillId="0" borderId="2" xfId="0" applyFont="1" applyBorder="1"/>
    <xf numFmtId="0" fontId="4" fillId="0" borderId="9" xfId="0" applyFont="1" applyBorder="1"/>
    <xf numFmtId="0" fontId="5" fillId="0" borderId="4" xfId="10" applyFont="1" applyBorder="1" applyAlignment="1">
      <alignment horizontal="center" vertical="center"/>
    </xf>
    <xf numFmtId="0" fontId="5" fillId="0" borderId="7" xfId="11" applyFont="1" applyBorder="1" applyAlignment="1">
      <alignment horizontal="center" vertical="center"/>
    </xf>
    <xf numFmtId="0" fontId="4" fillId="0" borderId="7" xfId="0" applyFont="1" applyBorder="1"/>
    <xf numFmtId="0" fontId="5" fillId="0" borderId="9" xfId="12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 wrapText="1"/>
    </xf>
  </cellXfs>
  <cellStyles count="13">
    <cellStyle name="Обычный" xfId="0" builtinId="0"/>
    <cellStyle name="Обычный 10" xfId="1" xr:uid="{9881D978-A002-401C-A19B-B44E2B429B60}"/>
    <cellStyle name="Обычный 11" xfId="2" xr:uid="{C9B6BA4E-0C4D-449A-9DB6-5F7BE00437DB}"/>
    <cellStyle name="Обычный 13" xfId="4" xr:uid="{CA9DBC99-1CDE-416B-AC20-A535888F0445}"/>
    <cellStyle name="Обычный 14" xfId="3" xr:uid="{32FEC4B4-7ABC-42E2-BBE7-A9E1FA41008A}"/>
    <cellStyle name="Обычный 21" xfId="5" xr:uid="{99A59796-C89C-42B6-BDF6-89A0D69C8EFB}"/>
    <cellStyle name="Обычный 27" xfId="8" xr:uid="{4101E48C-E0FB-4FDD-B45C-F9A7DE5A5953}"/>
    <cellStyle name="Обычный 28" xfId="6" xr:uid="{2F5AB81E-A3C3-421E-98AF-2975F375B220}"/>
    <cellStyle name="Обычный 30" xfId="7" xr:uid="{7A957E37-6793-4A13-9C35-4B24A2A3A62B}"/>
    <cellStyle name="Обычный 37" xfId="9" xr:uid="{EFA07D13-DF12-4EFF-B301-E00A04186FBB}"/>
    <cellStyle name="Обычный 47" xfId="10" xr:uid="{100EE141-04AD-48A1-B872-2A085AC849E2}"/>
    <cellStyle name="Обычный 48" xfId="11" xr:uid="{C5C7AD79-BFDC-45E8-8430-09A8CC69877B}"/>
    <cellStyle name="Обычный 49" xfId="12" xr:uid="{B7721C77-853B-4330-B306-D25D668074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3A6F8-DAF9-4214-AF2F-489E5753D843}">
  <sheetPr>
    <pageSetUpPr fitToPage="1"/>
  </sheetPr>
  <dimension ref="A1:H63"/>
  <sheetViews>
    <sheetView tabSelected="1" topLeftCell="A8" workbookViewId="0">
      <selection activeCell="G4" sqref="G4"/>
    </sheetView>
  </sheetViews>
  <sheetFormatPr defaultRowHeight="15" x14ac:dyDescent="0.25"/>
  <cols>
    <col min="1" max="1" width="22.85546875" customWidth="1"/>
    <col min="3" max="3" width="10.140625" customWidth="1"/>
  </cols>
  <sheetData>
    <row r="1" spans="1:8" ht="21" hidden="1" customHeight="1" x14ac:dyDescent="0.25"/>
    <row r="2" spans="1:8" ht="21" customHeight="1" x14ac:dyDescent="0.25">
      <c r="A2" s="1" t="s">
        <v>0</v>
      </c>
      <c r="B2" s="1"/>
      <c r="C2" s="1"/>
      <c r="D2" s="1"/>
      <c r="E2" s="2"/>
      <c r="F2" s="2"/>
      <c r="G2" s="2"/>
      <c r="H2" s="3"/>
    </row>
    <row r="3" spans="1:8" ht="43.5" thickBot="1" x14ac:dyDescent="0.3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</row>
    <row r="4" spans="1:8" ht="16.5" thickTop="1" thickBot="1" x14ac:dyDescent="0.3">
      <c r="A4" s="5" t="s">
        <v>9</v>
      </c>
      <c r="B4" s="6" t="s">
        <v>10</v>
      </c>
      <c r="C4" s="7">
        <v>1440</v>
      </c>
      <c r="D4" s="8">
        <v>590</v>
      </c>
      <c r="E4" s="7">
        <f>50+8</f>
        <v>58</v>
      </c>
      <c r="F4" s="7">
        <f>5+3</f>
        <v>8</v>
      </c>
      <c r="G4" s="7">
        <f>E4-F4</f>
        <v>50</v>
      </c>
      <c r="H4" s="9" t="s">
        <v>11</v>
      </c>
    </row>
    <row r="5" spans="1:8" ht="16.5" thickTop="1" thickBot="1" x14ac:dyDescent="0.3">
      <c r="A5" s="10"/>
      <c r="B5" s="11" t="s">
        <v>12</v>
      </c>
      <c r="C5" s="11">
        <v>1440</v>
      </c>
      <c r="D5" s="12">
        <v>701</v>
      </c>
      <c r="E5" s="11">
        <v>31</v>
      </c>
      <c r="F5" s="11">
        <f>4+1</f>
        <v>5</v>
      </c>
      <c r="G5" s="11">
        <f>E5-F5</f>
        <v>26</v>
      </c>
      <c r="H5" s="9"/>
    </row>
    <row r="6" spans="1:8" ht="16.5" thickTop="1" thickBot="1" x14ac:dyDescent="0.3">
      <c r="A6" s="10"/>
      <c r="B6" s="11" t="s">
        <v>13</v>
      </c>
      <c r="C6" s="11">
        <v>1440</v>
      </c>
      <c r="D6" s="12">
        <v>755</v>
      </c>
      <c r="E6" s="11">
        <v>18</v>
      </c>
      <c r="F6" s="11">
        <v>1</v>
      </c>
      <c r="G6" s="11">
        <f t="shared" ref="G6:G7" si="0">E6-F6</f>
        <v>17</v>
      </c>
      <c r="H6" s="9"/>
    </row>
    <row r="7" spans="1:8" ht="16.5" thickTop="1" thickBot="1" x14ac:dyDescent="0.3">
      <c r="A7" s="10"/>
      <c r="B7" s="13" t="s">
        <v>14</v>
      </c>
      <c r="C7" s="13">
        <v>1440</v>
      </c>
      <c r="D7" s="14">
        <v>866</v>
      </c>
      <c r="E7" s="13">
        <v>32</v>
      </c>
      <c r="F7" s="13">
        <f>1+1</f>
        <v>2</v>
      </c>
      <c r="G7" s="13">
        <f t="shared" si="0"/>
        <v>30</v>
      </c>
      <c r="H7" s="9"/>
    </row>
    <row r="8" spans="1:8" ht="16.5" thickTop="1" thickBot="1" x14ac:dyDescent="0.3">
      <c r="A8" s="10"/>
      <c r="B8" s="15" t="s">
        <v>15</v>
      </c>
      <c r="C8" s="15">
        <v>1440</v>
      </c>
      <c r="D8" s="12">
        <v>866.1875</v>
      </c>
      <c r="E8" s="16">
        <v>55</v>
      </c>
      <c r="F8" s="16">
        <v>1</v>
      </c>
      <c r="G8" s="16">
        <f>E8-F8</f>
        <v>54</v>
      </c>
      <c r="H8" s="9"/>
    </row>
    <row r="9" spans="1:8" ht="16.5" thickTop="1" thickBot="1" x14ac:dyDescent="0.3">
      <c r="A9" s="10"/>
      <c r="B9" s="17" t="s">
        <v>16</v>
      </c>
      <c r="C9" s="17">
        <v>1440</v>
      </c>
      <c r="D9" s="12">
        <v>1417.6249999999998</v>
      </c>
      <c r="E9" s="16">
        <v>76</v>
      </c>
      <c r="F9" s="16">
        <v>1</v>
      </c>
      <c r="G9" s="16">
        <f t="shared" ref="G9:G11" si="1">E9-F9</f>
        <v>75</v>
      </c>
      <c r="H9" s="9"/>
    </row>
    <row r="10" spans="1:8" ht="16.5" thickTop="1" thickBot="1" x14ac:dyDescent="0.3">
      <c r="A10" s="10"/>
      <c r="B10" s="18" t="s">
        <v>17</v>
      </c>
      <c r="C10" s="18">
        <v>288</v>
      </c>
      <c r="D10" s="12">
        <v>866.1875</v>
      </c>
      <c r="E10" s="16">
        <v>58</v>
      </c>
      <c r="F10" s="16"/>
      <c r="G10" s="16">
        <f t="shared" si="1"/>
        <v>58</v>
      </c>
      <c r="H10" s="9"/>
    </row>
    <row r="11" spans="1:8" ht="16.5" thickTop="1" thickBot="1" x14ac:dyDescent="0.3">
      <c r="A11" s="19"/>
      <c r="B11" s="20" t="s">
        <v>18</v>
      </c>
      <c r="C11" s="20">
        <v>144</v>
      </c>
      <c r="D11" s="21">
        <v>1528.125</v>
      </c>
      <c r="E11" s="22">
        <v>60</v>
      </c>
      <c r="F11" s="22">
        <v>1</v>
      </c>
      <c r="G11" s="22">
        <f t="shared" si="1"/>
        <v>59</v>
      </c>
      <c r="H11" s="9"/>
    </row>
    <row r="12" spans="1:8" ht="17.25" customHeight="1" thickTop="1" thickBot="1" x14ac:dyDescent="0.3">
      <c r="A12" s="23" t="s">
        <v>19</v>
      </c>
      <c r="B12" s="6" t="s">
        <v>14</v>
      </c>
      <c r="C12" s="6">
        <v>1440</v>
      </c>
      <c r="D12" s="8">
        <v>857</v>
      </c>
      <c r="E12" s="6">
        <v>2</v>
      </c>
      <c r="F12" s="6"/>
      <c r="G12" s="6">
        <f>E12-F12</f>
        <v>2</v>
      </c>
      <c r="H12" s="9" t="s">
        <v>20</v>
      </c>
    </row>
    <row r="13" spans="1:8" ht="16.5" thickTop="1" thickBot="1" x14ac:dyDescent="0.3">
      <c r="A13" s="24"/>
      <c r="B13" s="11" t="s">
        <v>15</v>
      </c>
      <c r="C13" s="11">
        <v>1440</v>
      </c>
      <c r="D13" s="12">
        <v>845</v>
      </c>
      <c r="E13" s="11">
        <v>16</v>
      </c>
      <c r="F13" s="11"/>
      <c r="G13" s="11">
        <f t="shared" ref="G13:G56" si="2">E13-F13</f>
        <v>16</v>
      </c>
      <c r="H13" s="9"/>
    </row>
    <row r="14" spans="1:8" ht="16.5" thickTop="1" thickBot="1" x14ac:dyDescent="0.3">
      <c r="A14" s="24"/>
      <c r="B14" s="11" t="s">
        <v>16</v>
      </c>
      <c r="C14" s="11">
        <v>1440</v>
      </c>
      <c r="D14" s="12">
        <v>1113</v>
      </c>
      <c r="E14" s="11">
        <v>11</v>
      </c>
      <c r="F14" s="11"/>
      <c r="G14" s="11">
        <f t="shared" si="2"/>
        <v>11</v>
      </c>
      <c r="H14" s="9"/>
    </row>
    <row r="15" spans="1:8" ht="16.5" thickTop="1" thickBot="1" x14ac:dyDescent="0.3">
      <c r="A15" s="25"/>
      <c r="B15" s="26" t="s">
        <v>17</v>
      </c>
      <c r="C15" s="26">
        <v>288</v>
      </c>
      <c r="D15" s="21">
        <v>845</v>
      </c>
      <c r="E15" s="26">
        <v>4</v>
      </c>
      <c r="F15" s="26"/>
      <c r="G15" s="26">
        <f t="shared" si="2"/>
        <v>4</v>
      </c>
      <c r="H15" s="9"/>
    </row>
    <row r="16" spans="1:8" ht="16.5" thickTop="1" thickBot="1" x14ac:dyDescent="0.3">
      <c r="A16" s="5" t="s">
        <v>21</v>
      </c>
      <c r="B16" s="6" t="s">
        <v>10</v>
      </c>
      <c r="C16" s="6">
        <v>1440</v>
      </c>
      <c r="D16" s="8">
        <v>855</v>
      </c>
      <c r="E16" s="6">
        <v>110</v>
      </c>
      <c r="F16" s="6">
        <f>1+3+1+2</f>
        <v>7</v>
      </c>
      <c r="G16" s="6">
        <f t="shared" si="2"/>
        <v>103</v>
      </c>
      <c r="H16" s="9" t="s">
        <v>22</v>
      </c>
    </row>
    <row r="17" spans="1:8" ht="16.5" thickTop="1" thickBot="1" x14ac:dyDescent="0.3">
      <c r="A17" s="10"/>
      <c r="B17" s="11" t="s">
        <v>12</v>
      </c>
      <c r="C17" s="11">
        <v>1440</v>
      </c>
      <c r="D17" s="12">
        <v>1076</v>
      </c>
      <c r="E17" s="11">
        <v>117</v>
      </c>
      <c r="F17" s="11">
        <f>1+1</f>
        <v>2</v>
      </c>
      <c r="G17" s="11">
        <f t="shared" si="2"/>
        <v>115</v>
      </c>
      <c r="H17" s="9"/>
    </row>
    <row r="18" spans="1:8" ht="16.5" thickTop="1" thickBot="1" x14ac:dyDescent="0.3">
      <c r="A18" s="10"/>
      <c r="B18" s="11" t="s">
        <v>13</v>
      </c>
      <c r="C18" s="11">
        <v>1440</v>
      </c>
      <c r="D18" s="12">
        <v>1076</v>
      </c>
      <c r="E18" s="11">
        <v>105</v>
      </c>
      <c r="F18" s="11">
        <f>1+1+1</f>
        <v>3</v>
      </c>
      <c r="G18" s="11">
        <f t="shared" si="2"/>
        <v>102</v>
      </c>
      <c r="H18" s="9"/>
    </row>
    <row r="19" spans="1:8" ht="16.5" thickTop="1" thickBot="1" x14ac:dyDescent="0.3">
      <c r="A19" s="10"/>
      <c r="B19" s="27" t="s">
        <v>14</v>
      </c>
      <c r="C19" s="11">
        <v>1440</v>
      </c>
      <c r="D19" s="12">
        <v>1296</v>
      </c>
      <c r="E19" s="11">
        <v>204</v>
      </c>
      <c r="F19" s="11">
        <f>1+1+1</f>
        <v>3</v>
      </c>
      <c r="G19" s="11">
        <f t="shared" si="2"/>
        <v>201</v>
      </c>
      <c r="H19" s="9"/>
    </row>
    <row r="20" spans="1:8" ht="16.5" thickTop="1" thickBot="1" x14ac:dyDescent="0.3">
      <c r="A20" s="10"/>
      <c r="B20" s="27" t="s">
        <v>15</v>
      </c>
      <c r="C20" s="11">
        <v>1440</v>
      </c>
      <c r="D20" s="12">
        <v>1241</v>
      </c>
      <c r="E20" s="11">
        <v>196</v>
      </c>
      <c r="F20" s="11">
        <f>1+1+1+1</f>
        <v>4</v>
      </c>
      <c r="G20" s="11">
        <f t="shared" si="2"/>
        <v>192</v>
      </c>
      <c r="H20" s="9"/>
    </row>
    <row r="21" spans="1:8" ht="16.5" thickTop="1" thickBot="1" x14ac:dyDescent="0.3">
      <c r="A21" s="10"/>
      <c r="B21" s="27" t="s">
        <v>16</v>
      </c>
      <c r="C21" s="11">
        <v>1440</v>
      </c>
      <c r="D21" s="12">
        <v>1793</v>
      </c>
      <c r="E21" s="11">
        <v>197</v>
      </c>
      <c r="F21" s="11">
        <f>1+1+1+1+1</f>
        <v>5</v>
      </c>
      <c r="G21" s="11">
        <f t="shared" si="2"/>
        <v>192</v>
      </c>
      <c r="H21" s="9"/>
    </row>
    <row r="22" spans="1:8" ht="16.5" thickTop="1" thickBot="1" x14ac:dyDescent="0.3">
      <c r="A22" s="10"/>
      <c r="B22" s="27" t="s">
        <v>17</v>
      </c>
      <c r="C22" s="11">
        <v>288</v>
      </c>
      <c r="D22" s="12">
        <v>1241</v>
      </c>
      <c r="E22" s="11">
        <v>174</v>
      </c>
      <c r="F22" s="11">
        <f>5+1+1</f>
        <v>7</v>
      </c>
      <c r="G22" s="11">
        <f t="shared" si="2"/>
        <v>167</v>
      </c>
      <c r="H22" s="9"/>
    </row>
    <row r="23" spans="1:8" ht="16.5" thickTop="1" thickBot="1" x14ac:dyDescent="0.3">
      <c r="A23" s="10"/>
      <c r="B23" s="27" t="s">
        <v>18</v>
      </c>
      <c r="C23" s="11">
        <v>144</v>
      </c>
      <c r="D23" s="12">
        <v>1572</v>
      </c>
      <c r="E23" s="11">
        <v>128</v>
      </c>
      <c r="F23" s="11"/>
      <c r="G23" s="11">
        <f t="shared" si="2"/>
        <v>128</v>
      </c>
      <c r="H23" s="9"/>
    </row>
    <row r="24" spans="1:8" ht="16.5" thickTop="1" thickBot="1" x14ac:dyDescent="0.3">
      <c r="A24" s="19"/>
      <c r="B24" s="28" t="s">
        <v>23</v>
      </c>
      <c r="C24" s="26">
        <v>144</v>
      </c>
      <c r="D24" s="21">
        <v>1572</v>
      </c>
      <c r="E24" s="26">
        <v>97</v>
      </c>
      <c r="F24" s="26">
        <v>5</v>
      </c>
      <c r="G24" s="26">
        <f t="shared" si="2"/>
        <v>92</v>
      </c>
      <c r="H24" s="9"/>
    </row>
    <row r="25" spans="1:8" ht="16.5" thickTop="1" thickBot="1" x14ac:dyDescent="0.3">
      <c r="A25" s="29" t="s">
        <v>24</v>
      </c>
      <c r="B25" s="6" t="s">
        <v>15</v>
      </c>
      <c r="C25" s="6">
        <v>1440</v>
      </c>
      <c r="D25" s="8">
        <v>1113.75</v>
      </c>
      <c r="E25" s="6">
        <v>59</v>
      </c>
      <c r="F25" s="6">
        <v>2</v>
      </c>
      <c r="G25" s="6">
        <f t="shared" si="2"/>
        <v>57</v>
      </c>
      <c r="H25" s="9" t="s">
        <v>25</v>
      </c>
    </row>
    <row r="26" spans="1:8" ht="16.5" thickTop="1" thickBot="1" x14ac:dyDescent="0.3">
      <c r="A26" s="30"/>
      <c r="B26" s="11" t="s">
        <v>16</v>
      </c>
      <c r="C26" s="11">
        <v>1440</v>
      </c>
      <c r="D26" s="12">
        <v>1638.625</v>
      </c>
      <c r="E26" s="11">
        <v>59</v>
      </c>
      <c r="F26" s="11"/>
      <c r="G26" s="11">
        <f t="shared" si="2"/>
        <v>59</v>
      </c>
      <c r="H26" s="9"/>
    </row>
    <row r="27" spans="1:8" ht="16.5" thickTop="1" thickBot="1" x14ac:dyDescent="0.3">
      <c r="A27" s="31"/>
      <c r="B27" s="26" t="s">
        <v>17</v>
      </c>
      <c r="C27" s="26">
        <v>288</v>
      </c>
      <c r="D27" s="21">
        <v>1113.75</v>
      </c>
      <c r="E27" s="26">
        <v>60</v>
      </c>
      <c r="F27" s="26"/>
      <c r="G27" s="26">
        <f t="shared" si="2"/>
        <v>60</v>
      </c>
      <c r="H27" s="9"/>
    </row>
    <row r="28" spans="1:8" ht="16.5" thickTop="1" thickBot="1" x14ac:dyDescent="0.3">
      <c r="A28" s="32" t="s">
        <v>26</v>
      </c>
      <c r="B28" s="6" t="s">
        <v>15</v>
      </c>
      <c r="C28" s="6">
        <v>1440</v>
      </c>
      <c r="D28" s="8">
        <v>1169</v>
      </c>
      <c r="E28" s="6">
        <v>20</v>
      </c>
      <c r="F28" s="6"/>
      <c r="G28" s="6">
        <f t="shared" si="2"/>
        <v>20</v>
      </c>
      <c r="H28" s="9" t="s">
        <v>27</v>
      </c>
    </row>
    <row r="29" spans="1:8" ht="16.5" thickTop="1" thickBot="1" x14ac:dyDescent="0.3">
      <c r="A29" s="33"/>
      <c r="B29" s="11" t="s">
        <v>16</v>
      </c>
      <c r="C29" s="11">
        <v>1440</v>
      </c>
      <c r="D29" s="12">
        <v>1749</v>
      </c>
      <c r="E29" s="11">
        <v>20</v>
      </c>
      <c r="F29" s="11"/>
      <c r="G29" s="11">
        <f t="shared" si="2"/>
        <v>20</v>
      </c>
      <c r="H29" s="9"/>
    </row>
    <row r="30" spans="1:8" ht="16.5" thickTop="1" thickBot="1" x14ac:dyDescent="0.3">
      <c r="A30" s="34"/>
      <c r="B30" s="26" t="s">
        <v>17</v>
      </c>
      <c r="C30" s="26">
        <v>288</v>
      </c>
      <c r="D30" s="21">
        <v>1169</v>
      </c>
      <c r="E30" s="26">
        <v>20</v>
      </c>
      <c r="F30" s="26"/>
      <c r="G30" s="26">
        <f t="shared" si="2"/>
        <v>20</v>
      </c>
      <c r="H30" s="9"/>
    </row>
    <row r="31" spans="1:8" ht="16.5" thickTop="1" thickBot="1" x14ac:dyDescent="0.3">
      <c r="A31" s="32" t="s">
        <v>28</v>
      </c>
      <c r="B31" s="35" t="s">
        <v>15</v>
      </c>
      <c r="C31" s="35">
        <v>1440</v>
      </c>
      <c r="D31" s="8">
        <v>1169</v>
      </c>
      <c r="E31" s="6">
        <v>20</v>
      </c>
      <c r="F31" s="6">
        <f>2+2</f>
        <v>4</v>
      </c>
      <c r="G31" s="6">
        <f t="shared" si="2"/>
        <v>16</v>
      </c>
      <c r="H31" s="9" t="s">
        <v>29</v>
      </c>
    </row>
    <row r="32" spans="1:8" ht="16.5" thickTop="1" thickBot="1" x14ac:dyDescent="0.3">
      <c r="A32" s="33"/>
      <c r="B32" s="36" t="s">
        <v>16</v>
      </c>
      <c r="C32" s="36">
        <v>1440</v>
      </c>
      <c r="D32" s="12">
        <v>1749.125</v>
      </c>
      <c r="E32" s="11">
        <v>20</v>
      </c>
      <c r="F32" s="11">
        <v>2</v>
      </c>
      <c r="G32" s="11">
        <f t="shared" si="2"/>
        <v>18</v>
      </c>
      <c r="H32" s="9"/>
    </row>
    <row r="33" spans="1:8" ht="16.5" thickTop="1" thickBot="1" x14ac:dyDescent="0.3">
      <c r="A33" s="34"/>
      <c r="B33" s="37" t="s">
        <v>17</v>
      </c>
      <c r="C33" s="37">
        <v>288</v>
      </c>
      <c r="D33" s="21">
        <v>1169</v>
      </c>
      <c r="E33" s="26">
        <v>20</v>
      </c>
      <c r="F33" s="26">
        <v>2</v>
      </c>
      <c r="G33" s="26">
        <f t="shared" si="2"/>
        <v>18</v>
      </c>
      <c r="H33" s="9"/>
    </row>
    <row r="34" spans="1:8" ht="16.5" thickTop="1" thickBot="1" x14ac:dyDescent="0.3">
      <c r="A34" s="38" t="s">
        <v>30</v>
      </c>
      <c r="B34" s="11" t="s">
        <v>16</v>
      </c>
      <c r="C34" s="11">
        <v>1440</v>
      </c>
      <c r="D34" s="12">
        <v>1749.125</v>
      </c>
      <c r="E34" s="11">
        <v>5</v>
      </c>
      <c r="F34" s="11">
        <f>1+2</f>
        <v>3</v>
      </c>
      <c r="G34" s="11">
        <f t="shared" si="2"/>
        <v>2</v>
      </c>
      <c r="H34" s="39" t="s">
        <v>31</v>
      </c>
    </row>
    <row r="35" spans="1:8" ht="16.5" thickTop="1" thickBot="1" x14ac:dyDescent="0.3">
      <c r="A35" s="32" t="s">
        <v>32</v>
      </c>
      <c r="B35" s="40" t="s">
        <v>15</v>
      </c>
      <c r="C35" s="40">
        <v>1440</v>
      </c>
      <c r="D35" s="8">
        <v>1169</v>
      </c>
      <c r="E35" s="6">
        <v>20</v>
      </c>
      <c r="F35" s="6">
        <v>2</v>
      </c>
      <c r="G35" s="6">
        <f t="shared" si="2"/>
        <v>18</v>
      </c>
      <c r="H35" s="9" t="s">
        <v>33</v>
      </c>
    </row>
    <row r="36" spans="1:8" ht="16.5" thickTop="1" thickBot="1" x14ac:dyDescent="0.3">
      <c r="A36" s="33"/>
      <c r="B36" s="41" t="s">
        <v>16</v>
      </c>
      <c r="C36" s="41">
        <v>1440</v>
      </c>
      <c r="D36" s="12">
        <v>1749.125</v>
      </c>
      <c r="E36" s="11">
        <v>20</v>
      </c>
      <c r="F36" s="11">
        <v>2</v>
      </c>
      <c r="G36" s="11">
        <f t="shared" si="2"/>
        <v>18</v>
      </c>
      <c r="H36" s="9"/>
    </row>
    <row r="37" spans="1:8" ht="16.5" thickTop="1" thickBot="1" x14ac:dyDescent="0.3">
      <c r="A37" s="34"/>
      <c r="B37" s="42" t="s">
        <v>17</v>
      </c>
      <c r="C37" s="42">
        <v>288</v>
      </c>
      <c r="D37" s="21">
        <v>1169</v>
      </c>
      <c r="E37" s="26">
        <v>20</v>
      </c>
      <c r="F37" s="26">
        <v>2</v>
      </c>
      <c r="G37" s="26">
        <f t="shared" si="2"/>
        <v>18</v>
      </c>
      <c r="H37" s="9"/>
    </row>
    <row r="38" spans="1:8" ht="16.5" thickTop="1" thickBot="1" x14ac:dyDescent="0.3">
      <c r="A38" s="32" t="s">
        <v>34</v>
      </c>
      <c r="B38" s="43" t="s">
        <v>15</v>
      </c>
      <c r="C38" s="43">
        <v>1440</v>
      </c>
      <c r="D38" s="8">
        <v>1169</v>
      </c>
      <c r="E38" s="6">
        <v>20</v>
      </c>
      <c r="F38" s="6"/>
      <c r="G38" s="6">
        <f t="shared" si="2"/>
        <v>20</v>
      </c>
      <c r="H38" s="9" t="s">
        <v>35</v>
      </c>
    </row>
    <row r="39" spans="1:8" ht="16.5" thickTop="1" thickBot="1" x14ac:dyDescent="0.3">
      <c r="A39" s="33"/>
      <c r="B39" s="44" t="s">
        <v>16</v>
      </c>
      <c r="C39" s="44">
        <v>1440</v>
      </c>
      <c r="D39" s="12">
        <v>1749.125</v>
      </c>
      <c r="E39" s="11">
        <v>20</v>
      </c>
      <c r="F39" s="11"/>
      <c r="G39" s="11">
        <f t="shared" si="2"/>
        <v>20</v>
      </c>
      <c r="H39" s="9"/>
    </row>
    <row r="40" spans="1:8" ht="16.5" thickTop="1" thickBot="1" x14ac:dyDescent="0.3">
      <c r="A40" s="34"/>
      <c r="B40" s="45" t="s">
        <v>17</v>
      </c>
      <c r="C40" s="45">
        <v>288</v>
      </c>
      <c r="D40" s="21">
        <v>1169</v>
      </c>
      <c r="E40" s="26">
        <v>20</v>
      </c>
      <c r="F40" s="26"/>
      <c r="G40" s="26">
        <f t="shared" si="2"/>
        <v>20</v>
      </c>
      <c r="H40" s="9"/>
    </row>
    <row r="41" spans="1:8" ht="16.5" thickTop="1" thickBot="1" x14ac:dyDescent="0.3">
      <c r="A41" s="32" t="s">
        <v>36</v>
      </c>
      <c r="B41" s="6" t="s">
        <v>15</v>
      </c>
      <c r="C41" s="6">
        <v>1440</v>
      </c>
      <c r="D41" s="8">
        <v>1169</v>
      </c>
      <c r="E41" s="6">
        <v>20</v>
      </c>
      <c r="F41" s="6"/>
      <c r="G41" s="6">
        <f t="shared" si="2"/>
        <v>20</v>
      </c>
      <c r="H41" s="9" t="s">
        <v>37</v>
      </c>
    </row>
    <row r="42" spans="1:8" ht="16.5" thickTop="1" thickBot="1" x14ac:dyDescent="0.3">
      <c r="A42" s="33"/>
      <c r="B42" s="11" t="s">
        <v>16</v>
      </c>
      <c r="C42" s="11">
        <v>1440</v>
      </c>
      <c r="D42" s="12">
        <v>1749.125</v>
      </c>
      <c r="E42" s="11">
        <v>20</v>
      </c>
      <c r="F42" s="11"/>
      <c r="G42" s="11">
        <f t="shared" si="2"/>
        <v>20</v>
      </c>
      <c r="H42" s="9"/>
    </row>
    <row r="43" spans="1:8" ht="16.5" thickTop="1" thickBot="1" x14ac:dyDescent="0.3">
      <c r="A43" s="34"/>
      <c r="B43" s="26" t="s">
        <v>17</v>
      </c>
      <c r="C43" s="26">
        <v>288</v>
      </c>
      <c r="D43" s="21">
        <v>1169</v>
      </c>
      <c r="E43" s="26">
        <v>20</v>
      </c>
      <c r="F43" s="26"/>
      <c r="G43" s="26">
        <f t="shared" si="2"/>
        <v>20</v>
      </c>
      <c r="H43" s="9"/>
    </row>
    <row r="44" spans="1:8" ht="16.5" thickTop="1" thickBot="1" x14ac:dyDescent="0.3">
      <c r="A44" s="29" t="s">
        <v>38</v>
      </c>
      <c r="B44" s="6" t="s">
        <v>15</v>
      </c>
      <c r="C44" s="6">
        <v>1440</v>
      </c>
      <c r="D44" s="8">
        <v>1169</v>
      </c>
      <c r="E44" s="6">
        <v>20</v>
      </c>
      <c r="F44" s="6">
        <f>2+2</f>
        <v>4</v>
      </c>
      <c r="G44" s="6">
        <f t="shared" si="2"/>
        <v>16</v>
      </c>
      <c r="H44" s="9" t="s">
        <v>39</v>
      </c>
    </row>
    <row r="45" spans="1:8" ht="16.5" thickTop="1" thickBot="1" x14ac:dyDescent="0.3">
      <c r="A45" s="30"/>
      <c r="B45" s="11" t="s">
        <v>16</v>
      </c>
      <c r="C45" s="11">
        <v>1440</v>
      </c>
      <c r="D45" s="12">
        <v>1749.125</v>
      </c>
      <c r="E45" s="11">
        <v>20</v>
      </c>
      <c r="F45" s="11">
        <v>2</v>
      </c>
      <c r="G45" s="11">
        <f t="shared" si="2"/>
        <v>18</v>
      </c>
      <c r="H45" s="9"/>
    </row>
    <row r="46" spans="1:8" ht="17.25" customHeight="1" thickTop="1" thickBot="1" x14ac:dyDescent="0.3">
      <c r="A46" s="31"/>
      <c r="B46" s="26" t="s">
        <v>17</v>
      </c>
      <c r="C46" s="26">
        <v>288</v>
      </c>
      <c r="D46" s="21">
        <v>1169</v>
      </c>
      <c r="E46" s="26">
        <v>20</v>
      </c>
      <c r="F46" s="26">
        <v>2</v>
      </c>
      <c r="G46" s="26">
        <f t="shared" si="2"/>
        <v>18</v>
      </c>
      <c r="H46" s="9"/>
    </row>
    <row r="47" spans="1:8" ht="16.5" thickTop="1" thickBot="1" x14ac:dyDescent="0.3">
      <c r="A47" s="29" t="s">
        <v>40</v>
      </c>
      <c r="B47" s="6" t="s">
        <v>15</v>
      </c>
      <c r="C47" s="6">
        <v>1440</v>
      </c>
      <c r="D47" s="8">
        <v>1169</v>
      </c>
      <c r="E47" s="6">
        <v>20</v>
      </c>
      <c r="F47" s="6"/>
      <c r="G47" s="46">
        <f t="shared" si="2"/>
        <v>20</v>
      </c>
      <c r="H47" s="9" t="s">
        <v>41</v>
      </c>
    </row>
    <row r="48" spans="1:8" ht="16.5" thickTop="1" thickBot="1" x14ac:dyDescent="0.3">
      <c r="A48" s="30"/>
      <c r="B48" s="11" t="s">
        <v>16</v>
      </c>
      <c r="C48" s="11">
        <v>1440</v>
      </c>
      <c r="D48" s="12">
        <v>1749</v>
      </c>
      <c r="E48" s="11">
        <v>20</v>
      </c>
      <c r="F48" s="11"/>
      <c r="G48" s="13">
        <f t="shared" si="2"/>
        <v>20</v>
      </c>
      <c r="H48" s="9"/>
    </row>
    <row r="49" spans="1:8" ht="16.5" thickTop="1" thickBot="1" x14ac:dyDescent="0.3">
      <c r="A49" s="31"/>
      <c r="B49" s="26" t="s">
        <v>17</v>
      </c>
      <c r="C49" s="26">
        <v>288</v>
      </c>
      <c r="D49" s="21">
        <v>1169</v>
      </c>
      <c r="E49" s="26">
        <v>20</v>
      </c>
      <c r="F49" s="26"/>
      <c r="G49" s="13">
        <f t="shared" si="2"/>
        <v>20</v>
      </c>
      <c r="H49" s="9"/>
    </row>
    <row r="50" spans="1:8" ht="16.5" thickTop="1" thickBot="1" x14ac:dyDescent="0.3">
      <c r="A50" s="11" t="s">
        <v>42</v>
      </c>
      <c r="B50" s="47" t="s">
        <v>16</v>
      </c>
      <c r="C50" s="47">
        <v>1440</v>
      </c>
      <c r="D50" s="12">
        <v>1749.125</v>
      </c>
      <c r="E50" s="11">
        <v>20</v>
      </c>
      <c r="F50" s="11"/>
      <c r="G50" s="48">
        <f t="shared" si="2"/>
        <v>20</v>
      </c>
      <c r="H50" s="39" t="s">
        <v>43</v>
      </c>
    </row>
    <row r="51" spans="1:8" ht="16.5" thickTop="1" thickBot="1" x14ac:dyDescent="0.3">
      <c r="A51" s="32" t="s">
        <v>44</v>
      </c>
      <c r="B51" s="6" t="s">
        <v>15</v>
      </c>
      <c r="C51" s="6">
        <v>1440</v>
      </c>
      <c r="D51" s="8">
        <v>1224</v>
      </c>
      <c r="E51" s="6">
        <v>20</v>
      </c>
      <c r="F51" s="6"/>
      <c r="G51" s="6">
        <f t="shared" si="2"/>
        <v>20</v>
      </c>
      <c r="H51" s="9" t="s">
        <v>45</v>
      </c>
    </row>
    <row r="52" spans="1:8" ht="16.5" thickTop="1" thickBot="1" x14ac:dyDescent="0.3">
      <c r="A52" s="33"/>
      <c r="B52" s="11" t="s">
        <v>16</v>
      </c>
      <c r="C52" s="11">
        <v>1440</v>
      </c>
      <c r="D52" s="12">
        <v>1803</v>
      </c>
      <c r="E52" s="11">
        <v>20</v>
      </c>
      <c r="F52" s="11"/>
      <c r="G52" s="11">
        <f>E52-F52</f>
        <v>20</v>
      </c>
      <c r="H52" s="9"/>
    </row>
    <row r="53" spans="1:8" ht="16.5" thickTop="1" thickBot="1" x14ac:dyDescent="0.3">
      <c r="A53" s="34"/>
      <c r="B53" s="26" t="s">
        <v>17</v>
      </c>
      <c r="C53" s="26">
        <v>288</v>
      </c>
      <c r="D53" s="21">
        <v>1224</v>
      </c>
      <c r="E53" s="26">
        <v>20</v>
      </c>
      <c r="F53" s="26"/>
      <c r="G53" s="11">
        <f>E53-F53</f>
        <v>20</v>
      </c>
      <c r="H53" s="9"/>
    </row>
    <row r="54" spans="1:8" ht="16.5" thickTop="1" thickBot="1" x14ac:dyDescent="0.3">
      <c r="A54" s="29" t="s">
        <v>46</v>
      </c>
      <c r="B54" s="6" t="s">
        <v>15</v>
      </c>
      <c r="C54" s="6">
        <v>1440</v>
      </c>
      <c r="D54" s="8">
        <v>1224.25</v>
      </c>
      <c r="E54" s="6">
        <v>39</v>
      </c>
      <c r="F54" s="49">
        <v>2</v>
      </c>
      <c r="G54" s="6">
        <f t="shared" si="2"/>
        <v>37</v>
      </c>
      <c r="H54" s="9" t="s">
        <v>47</v>
      </c>
    </row>
    <row r="55" spans="1:8" ht="16.5" thickTop="1" thickBot="1" x14ac:dyDescent="0.3">
      <c r="A55" s="33"/>
      <c r="B55" s="13" t="s">
        <v>16</v>
      </c>
      <c r="C55" s="13">
        <v>1440</v>
      </c>
      <c r="D55" s="14">
        <v>1803.3125</v>
      </c>
      <c r="E55" s="13">
        <v>39</v>
      </c>
      <c r="F55" s="50"/>
      <c r="G55" s="13">
        <f t="shared" si="2"/>
        <v>39</v>
      </c>
      <c r="H55" s="9"/>
    </row>
    <row r="56" spans="1:8" ht="16.5" thickTop="1" thickBot="1" x14ac:dyDescent="0.3">
      <c r="A56" s="31"/>
      <c r="B56" s="26" t="s">
        <v>17</v>
      </c>
      <c r="C56" s="26">
        <v>288</v>
      </c>
      <c r="D56" s="21">
        <v>1224</v>
      </c>
      <c r="E56" s="26">
        <v>40</v>
      </c>
      <c r="F56" s="51"/>
      <c r="G56" s="26">
        <f t="shared" si="2"/>
        <v>40</v>
      </c>
      <c r="H56" s="9"/>
    </row>
    <row r="57" spans="1:8" ht="16.5" thickTop="1" thickBot="1" x14ac:dyDescent="0.3">
      <c r="A57" s="32" t="s">
        <v>48</v>
      </c>
      <c r="B57" s="52" t="s">
        <v>15</v>
      </c>
      <c r="C57" s="52">
        <v>1440</v>
      </c>
      <c r="D57" s="8">
        <v>1224.25</v>
      </c>
      <c r="E57" s="6">
        <v>20</v>
      </c>
      <c r="F57" s="49">
        <v>2</v>
      </c>
      <c r="G57" s="6">
        <f>E57-F57</f>
        <v>18</v>
      </c>
      <c r="H57" s="9" t="s">
        <v>49</v>
      </c>
    </row>
    <row r="58" spans="1:8" ht="16.5" thickTop="1" thickBot="1" x14ac:dyDescent="0.3">
      <c r="A58" s="33"/>
      <c r="B58" s="53" t="s">
        <v>16</v>
      </c>
      <c r="C58" s="53">
        <v>1440</v>
      </c>
      <c r="D58" s="12">
        <v>1803.3125</v>
      </c>
      <c r="E58" s="11">
        <v>20</v>
      </c>
      <c r="F58" s="54"/>
      <c r="G58" s="11">
        <f t="shared" ref="G58:G62" si="3">E58-F58</f>
        <v>20</v>
      </c>
      <c r="H58" s="9"/>
    </row>
    <row r="59" spans="1:8" ht="16.5" thickTop="1" thickBot="1" x14ac:dyDescent="0.3">
      <c r="A59" s="34"/>
      <c r="B59" s="55" t="s">
        <v>17</v>
      </c>
      <c r="C59" s="55">
        <v>288</v>
      </c>
      <c r="D59" s="21">
        <v>1224.25</v>
      </c>
      <c r="E59" s="26">
        <v>20</v>
      </c>
      <c r="F59" s="51"/>
      <c r="G59" s="26">
        <f t="shared" si="3"/>
        <v>20</v>
      </c>
      <c r="H59" s="9"/>
    </row>
    <row r="60" spans="1:8" ht="16.5" thickTop="1" thickBot="1" x14ac:dyDescent="0.3">
      <c r="A60" s="30" t="s">
        <v>50</v>
      </c>
      <c r="B60" s="11" t="s">
        <v>16</v>
      </c>
      <c r="C60" s="11">
        <v>1440</v>
      </c>
      <c r="D60" s="12">
        <v>1803.3125</v>
      </c>
      <c r="E60" s="11">
        <v>20</v>
      </c>
      <c r="F60" s="54"/>
      <c r="G60" s="11">
        <f t="shared" si="3"/>
        <v>20</v>
      </c>
      <c r="H60" s="9" t="s">
        <v>51</v>
      </c>
    </row>
    <row r="61" spans="1:8" ht="16.5" thickTop="1" thickBot="1" x14ac:dyDescent="0.3">
      <c r="A61" s="31"/>
      <c r="B61" s="26" t="s">
        <v>17</v>
      </c>
      <c r="C61" s="26">
        <v>288</v>
      </c>
      <c r="D61" s="21">
        <v>1224.25</v>
      </c>
      <c r="E61" s="26">
        <v>20</v>
      </c>
      <c r="F61" s="51"/>
      <c r="G61" s="26">
        <f t="shared" si="3"/>
        <v>20</v>
      </c>
      <c r="H61" s="9"/>
    </row>
    <row r="62" spans="1:8" ht="16.5" thickTop="1" thickBot="1" x14ac:dyDescent="0.3">
      <c r="A62" s="48" t="s">
        <v>52</v>
      </c>
      <c r="B62" s="48" t="s">
        <v>16</v>
      </c>
      <c r="C62" s="48">
        <v>1440</v>
      </c>
      <c r="D62" s="56">
        <v>1638</v>
      </c>
      <c r="E62" s="48">
        <v>5</v>
      </c>
      <c r="F62" s="48"/>
      <c r="G62" s="48">
        <f t="shared" si="3"/>
        <v>5</v>
      </c>
      <c r="H62" s="39" t="s">
        <v>53</v>
      </c>
    </row>
    <row r="63" spans="1:8" ht="15.75" thickTop="1" x14ac:dyDescent="0.25">
      <c r="A63" s="3"/>
      <c r="B63" s="3"/>
      <c r="C63" s="3"/>
      <c r="D63" s="3"/>
      <c r="E63" s="3"/>
      <c r="F63" s="3"/>
      <c r="G63" s="3"/>
      <c r="H63" s="3"/>
    </row>
  </sheetData>
  <mergeCells count="31">
    <mergeCell ref="A54:A56"/>
    <mergeCell ref="H54:H56"/>
    <mergeCell ref="A57:A59"/>
    <mergeCell ref="H57:H59"/>
    <mergeCell ref="A60:A61"/>
    <mergeCell ref="H60:H61"/>
    <mergeCell ref="A44:A46"/>
    <mergeCell ref="H44:H46"/>
    <mergeCell ref="A47:A49"/>
    <mergeCell ref="H47:H49"/>
    <mergeCell ref="A51:A53"/>
    <mergeCell ref="H51:H53"/>
    <mergeCell ref="A35:A37"/>
    <mergeCell ref="H35:H37"/>
    <mergeCell ref="A38:A40"/>
    <mergeCell ref="H38:H40"/>
    <mergeCell ref="A41:A43"/>
    <mergeCell ref="H41:H43"/>
    <mergeCell ref="A25:A27"/>
    <mergeCell ref="H25:H27"/>
    <mergeCell ref="A28:A30"/>
    <mergeCell ref="H28:H30"/>
    <mergeCell ref="A31:A33"/>
    <mergeCell ref="H31:H33"/>
    <mergeCell ref="A2:D2"/>
    <mergeCell ref="A4:A11"/>
    <mergeCell ref="H4:H11"/>
    <mergeCell ref="A12:A15"/>
    <mergeCell ref="H12:H15"/>
    <mergeCell ref="A16:A24"/>
    <mergeCell ref="H16:H24"/>
  </mergeCells>
  <pageMargins left="0.70866141732283472" right="0.70866141732283472" top="0.74803149606299213" bottom="0.74803149606299213" header="0.31496062992125984" footer="0.31496062992125984"/>
  <pageSetup paperSize="9" scale="99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16 граней горячие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2026-07-01T11:20:10Z</dcterms:created>
  <dcterms:modified xsi:type="dcterms:W3CDTF">2026-07-01T11:20:40Z</dcterms:modified>
</cp:coreProperties>
</file>