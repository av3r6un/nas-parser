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6 граней холодны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49" fontId="3" fillId="0" borderId="46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49" fontId="3" fillId="0" borderId="36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3" fillId="0" borderId="5" applyAlignment="1" pivotButton="0" quotePrefix="0" xfId="36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11" pivotButton="0" quotePrefix="0" xfId="0"/>
    <xf numFmtId="0" fontId="4" fillId="0" borderId="7" applyAlignment="1" pivotButton="0" quotePrefix="0" xfId="8">
      <alignment horizontal="center" vertical="center"/>
    </xf>
    <xf numFmtId="0" fontId="0" fillId="0" borderId="3" pivotButton="0" quotePrefix="0" xfId="0"/>
    <xf numFmtId="0" fontId="0" fillId="0" borderId="43" pivotButton="0" quotePrefix="0" xfId="0"/>
    <xf numFmtId="0" fontId="0" fillId="0" borderId="8" pivotButton="0" quotePrefix="0" xfId="0"/>
    <xf numFmtId="0" fontId="0" fillId="0" borderId="33" pivotButton="0" quotePrefix="0" xfId="0"/>
    <xf numFmtId="0" fontId="0" fillId="0" borderId="4" pivotButton="0" quotePrefix="0" xfId="0"/>
    <xf numFmtId="0" fontId="4" fillId="0" borderId="7" applyAlignment="1" pivotButton="0" quotePrefix="0" xfId="36">
      <alignment horizontal="center" vertical="center"/>
    </xf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workbookViewId="0">
      <selection activeCell="F22" sqref="F22"/>
    </sheetView>
  </sheetViews>
  <sheetFormatPr baseColWidth="8" defaultRowHeight="15"/>
  <cols>
    <col width="23.5703125" customWidth="1" min="1" max="1"/>
    <col width="7.85546875" customWidth="1" min="2" max="3"/>
    <col width="9.5703125" customWidth="1" min="4" max="4"/>
    <col width="14" customWidth="1" min="5" max="5"/>
    <col width="9.7109375" customWidth="1" min="6" max="6"/>
    <col width="11.5703125" customWidth="1" min="7" max="7"/>
    <col width="35.7109375" customWidth="1" style="297" min="8" max="8"/>
    <col width="11" customWidth="1" min="9" max="9"/>
    <col width="11.28515625" customWidth="1" min="10" max="12"/>
    <col width="9.85546875" customWidth="1" min="13" max="13"/>
  </cols>
  <sheetData>
    <row r="1" ht="18.75" customHeight="1">
      <c r="A1" s="325" t="inlineStr">
        <is>
          <t>16 граней холодная фиксация</t>
        </is>
      </c>
      <c r="B1" s="427" t="n"/>
      <c r="C1" s="427" t="n"/>
      <c r="D1" s="427" t="n"/>
      <c r="E1" s="162" t="n"/>
      <c r="F1" s="162" t="n"/>
      <c r="G1" s="162" t="n"/>
      <c r="H1" s="290" t="n"/>
      <c r="I1" s="167" t="n"/>
      <c r="J1" s="2" t="n"/>
      <c r="K1" s="2" t="n"/>
      <c r="L1" s="2" t="n"/>
    </row>
    <row r="2" ht="53.25" customHeight="1" thickBot="1">
      <c r="A2" s="146" t="inlineStr">
        <is>
          <t>цвет</t>
        </is>
      </c>
      <c r="B2" s="25" t="inlineStr">
        <is>
          <t>размер</t>
        </is>
      </c>
      <c r="C2" s="25" t="inlineStr">
        <is>
          <t>штук в пачке</t>
        </is>
      </c>
      <c r="D2" s="25" t="inlineStr">
        <is>
          <t>цена продажи в руб</t>
        </is>
      </c>
      <c r="E2" s="25" t="inlineStr">
        <is>
          <t>всего шт пришло</t>
        </is>
      </c>
      <c r="F2" s="25" t="inlineStr">
        <is>
          <t>продано</t>
        </is>
      </c>
      <c r="G2" s="25" t="inlineStr">
        <is>
          <t>остаток на складе</t>
        </is>
      </c>
      <c r="H2" s="283" t="inlineStr">
        <is>
          <t>артикул</t>
        </is>
      </c>
      <c r="I2" s="25" t="inlineStr">
        <is>
          <t>код цвета</t>
        </is>
      </c>
    </row>
    <row r="3" ht="17.25" customHeight="1" thickBot="1" thickTop="1">
      <c r="A3" s="428" t="inlineStr">
        <is>
          <t>CRYSTAL</t>
        </is>
      </c>
      <c r="B3" s="329" t="inlineStr">
        <is>
          <t>SS6</t>
        </is>
      </c>
      <c r="C3" s="310" t="n">
        <v>1440</v>
      </c>
      <c r="D3" s="30" t="n">
        <v>590</v>
      </c>
      <c r="E3" s="313">
        <f>25+2+30</f>
        <v/>
      </c>
      <c r="F3" s="313">
        <f>1+1</f>
        <v/>
      </c>
      <c r="G3" s="263">
        <f>E3-F3</f>
        <v/>
      </c>
      <c r="H3" s="291" t="inlineStr">
        <is>
          <t>16cut/Crystal/SS6/Non/001</t>
        </is>
      </c>
      <c r="I3" s="302" t="inlineStr">
        <is>
          <t>001</t>
        </is>
      </c>
    </row>
    <row r="4" ht="17.25" customHeight="1" thickBot="1" thickTop="1">
      <c r="A4" s="429" t="n"/>
      <c r="B4" s="311" t="inlineStr">
        <is>
          <t>SS8</t>
        </is>
      </c>
      <c r="C4" s="311" t="n">
        <v>1440</v>
      </c>
      <c r="D4" s="27" t="n">
        <v>701</v>
      </c>
      <c r="E4" s="314">
        <f>25+12+28</f>
        <v/>
      </c>
      <c r="F4" s="314">
        <f>1+1+1</f>
        <v/>
      </c>
      <c r="G4" s="264">
        <f>E4-F4</f>
        <v/>
      </c>
      <c r="H4" s="292" t="inlineStr">
        <is>
          <t>16cut/Crystal/SS8/Non/001</t>
        </is>
      </c>
      <c r="I4" s="430" t="n"/>
    </row>
    <row r="5" ht="17.25" customHeight="1" thickBot="1" thickTop="1">
      <c r="A5" s="429" t="n"/>
      <c r="B5" s="330" t="inlineStr">
        <is>
          <t>SS10</t>
        </is>
      </c>
      <c r="C5" s="311" t="n">
        <v>1440</v>
      </c>
      <c r="D5" s="27" t="n">
        <v>755</v>
      </c>
      <c r="E5" s="314">
        <f>25+9</f>
        <v/>
      </c>
      <c r="F5" s="314">
        <f>1+5+1</f>
        <v/>
      </c>
      <c r="G5" s="264">
        <f>E5-F5</f>
        <v/>
      </c>
      <c r="H5" s="292" t="inlineStr">
        <is>
          <t>16cut/Crystal/SS10/Non/001</t>
        </is>
      </c>
      <c r="I5" s="430" t="n"/>
    </row>
    <row r="6" ht="17.25" customHeight="1" thickBot="1" thickTop="1">
      <c r="A6" s="429" t="n"/>
      <c r="B6" s="5" t="inlineStr">
        <is>
          <t>SS12</t>
        </is>
      </c>
      <c r="C6" s="5" t="n">
        <v>1440</v>
      </c>
      <c r="D6" s="27" t="n">
        <v>866</v>
      </c>
      <c r="E6" s="314">
        <f>25+2+28</f>
        <v/>
      </c>
      <c r="F6" s="314">
        <f>6+1+1</f>
        <v/>
      </c>
      <c r="G6" s="264">
        <f>E6-F6</f>
        <v/>
      </c>
      <c r="H6" s="292" t="inlineStr">
        <is>
          <t>16cut/Crystal/SS12/Non/001</t>
        </is>
      </c>
      <c r="I6" s="430" t="n"/>
    </row>
    <row r="7" ht="16.5" customHeight="1" thickBot="1" thickTop="1">
      <c r="A7" s="429" t="n"/>
      <c r="B7" s="50" t="inlineStr">
        <is>
          <t>SS16</t>
        </is>
      </c>
      <c r="C7" s="50" t="n">
        <v>1440</v>
      </c>
      <c r="D7" s="27" t="n">
        <v>866.1875</v>
      </c>
      <c r="E7" s="50">
        <f>17+19+60+100</f>
        <v/>
      </c>
      <c r="F7" s="50">
        <f>1+1+1+1+19+3+2+3+1+6+7+4+1+1</f>
        <v/>
      </c>
      <c r="G7" s="264">
        <f>E7-F7</f>
        <v/>
      </c>
      <c r="H7" s="292" t="inlineStr">
        <is>
          <t>16cut/Crystal/SS16/Non/001</t>
        </is>
      </c>
      <c r="I7" s="430" t="n"/>
    </row>
    <row r="8" ht="16.5" customHeight="1" thickBot="1" thickTop="1">
      <c r="A8" s="429" t="n"/>
      <c r="B8" s="49" t="inlineStr">
        <is>
          <t>SS20</t>
        </is>
      </c>
      <c r="C8" s="49" t="n">
        <v>1440</v>
      </c>
      <c r="D8" s="27" t="n">
        <v>1417.625</v>
      </c>
      <c r="E8" s="50">
        <f>66+85+90</f>
        <v/>
      </c>
      <c r="F8" s="50">
        <f>2+6+1+3+2+1+1+7+3+3+1</f>
        <v/>
      </c>
      <c r="G8" s="264">
        <f>E8-F8</f>
        <v/>
      </c>
      <c r="H8" s="292" t="inlineStr">
        <is>
          <t>16cut/Crystal/SS20/Non/001</t>
        </is>
      </c>
      <c r="I8" s="430" t="n"/>
    </row>
    <row r="9" ht="16.5" customHeight="1" thickBot="1" thickTop="1">
      <c r="A9" s="429" t="n"/>
      <c r="B9" s="51" t="inlineStr">
        <is>
          <t>SS30</t>
        </is>
      </c>
      <c r="C9" s="51" t="n">
        <v>288</v>
      </c>
      <c r="D9" s="27" t="n">
        <v>866.1875</v>
      </c>
      <c r="E9" s="50">
        <f>38+44+40+100</f>
        <v/>
      </c>
      <c r="F9" s="50">
        <f>10+10+1+15+20+3+2+1+1</f>
        <v/>
      </c>
      <c r="G9" s="264">
        <f>E9-F9</f>
        <v/>
      </c>
      <c r="H9" s="292" t="inlineStr">
        <is>
          <t>16cut/Crystal/SS30/Non/001</t>
        </is>
      </c>
      <c r="I9" s="430" t="n"/>
    </row>
    <row r="10" ht="16.5" customHeight="1" thickBot="1" thickTop="1">
      <c r="A10" s="429" t="n"/>
      <c r="B10" s="5" t="inlineStr">
        <is>
          <t>SS34</t>
        </is>
      </c>
      <c r="C10" s="5" t="n">
        <v>144</v>
      </c>
      <c r="D10" s="27" t="n">
        <v>1528.125</v>
      </c>
      <c r="E10" s="50">
        <f>88+60</f>
        <v/>
      </c>
      <c r="F10" s="50" t="n"/>
      <c r="G10" s="264">
        <f>E10-F10</f>
        <v/>
      </c>
      <c r="H10" s="292" t="inlineStr">
        <is>
          <t>16cut/Crystal/SS34/Non/001</t>
        </is>
      </c>
      <c r="I10" s="430" t="n"/>
    </row>
    <row r="11" ht="16.5" customHeight="1" thickBot="1" thickTop="1">
      <c r="A11" s="429" t="n"/>
      <c r="B11" s="5" t="inlineStr">
        <is>
          <t>SS40</t>
        </is>
      </c>
      <c r="C11" s="5" t="n">
        <v>144</v>
      </c>
      <c r="D11" s="27" t="n">
        <v>1087</v>
      </c>
      <c r="E11" s="50" t="n">
        <v>6</v>
      </c>
      <c r="F11" s="50" t="n"/>
      <c r="G11" s="264">
        <f>E11-F11</f>
        <v/>
      </c>
      <c r="H11" s="292" t="inlineStr">
        <is>
          <t>16cut/Crystal/SS40/Non/001</t>
        </is>
      </c>
      <c r="I11" s="430" t="n"/>
    </row>
    <row r="12" ht="16.5" customHeight="1" thickBot="1" thickTop="1">
      <c r="A12" s="431" t="n"/>
      <c r="B12" s="6" t="inlineStr">
        <is>
          <t>SS48</t>
        </is>
      </c>
      <c r="C12" s="6" t="n">
        <v>144</v>
      </c>
      <c r="D12" s="28" t="n">
        <v>1638</v>
      </c>
      <c r="E12" s="55" t="n">
        <v>14</v>
      </c>
      <c r="F12" s="55" t="n"/>
      <c r="G12" s="265">
        <f>E12-F12</f>
        <v/>
      </c>
      <c r="H12" s="293" t="inlineStr">
        <is>
          <t>16cut/Crystal/SS48/Non/001</t>
        </is>
      </c>
      <c r="I12" s="432" t="n"/>
    </row>
    <row r="13" ht="16.5" customHeight="1" thickBot="1" thickTop="1">
      <c r="A13" s="53" t="inlineStr">
        <is>
          <t>Crystal AB</t>
        </is>
      </c>
      <c r="B13" s="4" t="inlineStr">
        <is>
          <t>SS34</t>
        </is>
      </c>
      <c r="C13" s="4" t="n">
        <v>144</v>
      </c>
      <c r="D13" s="139" t="n">
        <v>1149</v>
      </c>
      <c r="E13" s="54" t="n">
        <v>6</v>
      </c>
      <c r="F13" s="54" t="n"/>
      <c r="G13" s="267">
        <f>E13-F13</f>
        <v/>
      </c>
      <c r="H13" s="294" t="inlineStr">
        <is>
          <t>16cut/Сrystal AB/SS34/Non/001+</t>
        </is>
      </c>
      <c r="I13" s="301" t="inlineStr">
        <is>
          <t>001+</t>
        </is>
      </c>
    </row>
    <row r="14" ht="16.5" customHeight="1" thickBot="1" thickTop="1">
      <c r="A14" s="53" t="inlineStr">
        <is>
          <t>NEW AB</t>
        </is>
      </c>
      <c r="B14" s="329" t="inlineStr">
        <is>
          <t>SS6</t>
        </is>
      </c>
      <c r="C14" s="310" t="n">
        <v>1440</v>
      </c>
      <c r="D14" s="30" t="n">
        <v>855</v>
      </c>
      <c r="E14" s="48">
        <f>35+30</f>
        <v/>
      </c>
      <c r="F14" s="48" t="n">
        <v>1</v>
      </c>
      <c r="G14" s="268">
        <f>E14-F14</f>
        <v/>
      </c>
      <c r="H14" s="291" t="inlineStr">
        <is>
          <t>16cut/New AB/SS6/Non/112</t>
        </is>
      </c>
      <c r="I14" s="301" t="inlineStr">
        <is>
          <t>112</t>
        </is>
      </c>
    </row>
    <row r="15" ht="16.5" customHeight="1" thickBot="1" thickTop="1">
      <c r="A15" s="429" t="n"/>
      <c r="B15" s="311" t="inlineStr">
        <is>
          <t>SS8</t>
        </is>
      </c>
      <c r="C15" s="311" t="n">
        <v>1440</v>
      </c>
      <c r="D15" s="27" t="n">
        <v>1076</v>
      </c>
      <c r="E15" s="50">
        <f>34+30</f>
        <v/>
      </c>
      <c r="F15" s="50" t="n">
        <v>1</v>
      </c>
      <c r="G15" s="269">
        <f>E15-F15</f>
        <v/>
      </c>
      <c r="H15" s="292" t="inlineStr">
        <is>
          <t>16cut/New AB/SS8/Non/112</t>
        </is>
      </c>
      <c r="I15" s="430" t="n"/>
    </row>
    <row r="16" ht="16.5" customHeight="1" thickBot="1" thickTop="1">
      <c r="A16" s="429" t="n"/>
      <c r="B16" s="330" t="inlineStr">
        <is>
          <t>SS10</t>
        </is>
      </c>
      <c r="C16" s="311" t="n">
        <v>1440</v>
      </c>
      <c r="D16" s="27" t="n">
        <v>1076</v>
      </c>
      <c r="E16" s="50">
        <f>25+7+106</f>
        <v/>
      </c>
      <c r="F16" s="50" t="n">
        <v>1</v>
      </c>
      <c r="G16" s="269">
        <f>E16-F16</f>
        <v/>
      </c>
      <c r="H16" s="292" t="inlineStr">
        <is>
          <t>16cut/New AB/SS10/Non/112</t>
        </is>
      </c>
      <c r="I16" s="430" t="n"/>
    </row>
    <row r="17" ht="16.5" customHeight="1" thickBot="1" thickTop="1">
      <c r="A17" s="429" t="n"/>
      <c r="B17" s="39" t="inlineStr">
        <is>
          <t>SS12</t>
        </is>
      </c>
      <c r="C17" s="39" t="n">
        <v>1440</v>
      </c>
      <c r="D17" s="27" t="n">
        <v>1296</v>
      </c>
      <c r="E17" s="50">
        <f>28+27+18+15+60+46</f>
        <v/>
      </c>
      <c r="F17" s="50">
        <f>1+1+1</f>
        <v/>
      </c>
      <c r="G17" s="269">
        <f>E17-F17</f>
        <v/>
      </c>
      <c r="H17" s="292" t="inlineStr">
        <is>
          <t>16cut/New AB/SS12/Non/112</t>
        </is>
      </c>
      <c r="I17" s="430" t="n"/>
    </row>
    <row r="18" ht="15.75" customHeight="1" thickBot="1" thickTop="1">
      <c r="A18" s="429" t="n"/>
      <c r="B18" s="5" t="inlineStr">
        <is>
          <t>SS16</t>
        </is>
      </c>
      <c r="C18" s="5" t="n">
        <v>1440</v>
      </c>
      <c r="D18" s="27" t="n">
        <v>1241</v>
      </c>
      <c r="E18" s="50">
        <f>81+31+20+50</f>
        <v/>
      </c>
      <c r="F18" s="50">
        <f>2+1+1+1+2+1+2+1+1+2+2+3+2+1+1+1+1+2+1</f>
        <v/>
      </c>
      <c r="G18" s="269">
        <f>E18-F18</f>
        <v/>
      </c>
      <c r="H18" s="292" t="inlineStr">
        <is>
          <t>16cut/New AB/SS16/Non/112</t>
        </is>
      </c>
      <c r="I18" s="430" t="n"/>
    </row>
    <row r="19" ht="15.75" customHeight="1" thickBot="1" thickTop="1">
      <c r="A19" s="429" t="n"/>
      <c r="B19" s="5" t="inlineStr">
        <is>
          <t>SS20</t>
        </is>
      </c>
      <c r="C19" s="5" t="n">
        <v>1440</v>
      </c>
      <c r="D19" s="27" t="n">
        <v>1793</v>
      </c>
      <c r="E19" s="50">
        <f>103+7+45+210</f>
        <v/>
      </c>
      <c r="F19" s="50">
        <f>1+3+3+1+1+3+1+5+1+3+1+2+20+4+15+2+1+1+1+6+2+1+4+1+2+1</f>
        <v/>
      </c>
      <c r="G19" s="269">
        <f>E19-F19</f>
        <v/>
      </c>
      <c r="H19" s="292" t="inlineStr">
        <is>
          <t>16cut/New AB/SS20/Non/112</t>
        </is>
      </c>
      <c r="I19" s="430" t="n"/>
    </row>
    <row r="20" ht="15.75" customHeight="1" thickBot="1" thickTop="1">
      <c r="A20" s="429" t="n"/>
      <c r="B20" s="5" t="inlineStr">
        <is>
          <t>SS30</t>
        </is>
      </c>
      <c r="C20" s="5" t="n">
        <v>288</v>
      </c>
      <c r="D20" s="27" t="n">
        <v>1241</v>
      </c>
      <c r="E20" s="50">
        <f>127+36+50+150</f>
        <v/>
      </c>
      <c r="F20" s="50">
        <f>2+10+1+10+1+1+1+2+1+2+2+20+3+2+1+1+2+2+2+1</f>
        <v/>
      </c>
      <c r="G20" s="269">
        <f>E20-F20</f>
        <v/>
      </c>
      <c r="H20" s="292" t="inlineStr">
        <is>
          <t>16cut/New AB/SS30/Non/112</t>
        </is>
      </c>
      <c r="I20" s="430" t="n"/>
    </row>
    <row r="21" ht="15.75" customHeight="1" thickBot="1" thickTop="1">
      <c r="A21" s="429" t="n"/>
      <c r="B21" s="5" t="inlineStr">
        <is>
          <t>SS34</t>
        </is>
      </c>
      <c r="C21" s="5" t="n">
        <v>144</v>
      </c>
      <c r="D21" s="27" t="n">
        <v>1572</v>
      </c>
      <c r="E21" s="50">
        <f>41+137+2</f>
        <v/>
      </c>
      <c r="F21" s="50">
        <f>1+15+2+1+1</f>
        <v/>
      </c>
      <c r="G21" s="269">
        <f>E21-F21</f>
        <v/>
      </c>
      <c r="H21" s="295" t="inlineStr">
        <is>
          <t>16cut/New AB/SS34/Non/112</t>
        </is>
      </c>
      <c r="I21" s="430" t="n"/>
    </row>
    <row r="22" ht="15.75" customHeight="1" thickBot="1" thickTop="1">
      <c r="A22" s="431" t="n"/>
      <c r="B22" s="6" t="inlineStr">
        <is>
          <t>SS40</t>
        </is>
      </c>
      <c r="C22" s="6" t="n">
        <v>144</v>
      </c>
      <c r="D22" s="28" t="n">
        <v>1572</v>
      </c>
      <c r="E22" s="55">
        <f>18+71+3</f>
        <v/>
      </c>
      <c r="F22" s="55" t="n">
        <v>15</v>
      </c>
      <c r="G22" s="270">
        <f>E22-F22</f>
        <v/>
      </c>
      <c r="H22" s="296" t="inlineStr">
        <is>
          <t>16cut/New AB/SS40/Non/112</t>
        </is>
      </c>
      <c r="I22" s="432" t="n"/>
    </row>
    <row r="23" ht="16.5" customHeight="1" thickBot="1" thickTop="1">
      <c r="A23" s="31" t="inlineStr">
        <is>
          <t>JET BLACK</t>
        </is>
      </c>
      <c r="B23" s="56" t="inlineStr">
        <is>
          <t>SS16</t>
        </is>
      </c>
      <c r="C23" s="56" t="n">
        <v>1440</v>
      </c>
      <c r="D23" s="26" t="n">
        <v>1113.75</v>
      </c>
      <c r="E23" s="57" t="n">
        <v>86</v>
      </c>
      <c r="F23" s="57">
        <f>4+3+2+1+5+3+2+4+1+1</f>
        <v/>
      </c>
      <c r="G23" s="271">
        <f>E23-F23</f>
        <v/>
      </c>
      <c r="H23" s="291" t="inlineStr">
        <is>
          <t>16cut/Jet Black/SS16/Non/002</t>
        </is>
      </c>
      <c r="I23" s="301" t="inlineStr">
        <is>
          <t>002</t>
        </is>
      </c>
    </row>
    <row r="24" ht="16.5" customHeight="1" thickBot="1" thickTop="1">
      <c r="A24" s="429" t="n"/>
      <c r="B24" s="58" t="inlineStr">
        <is>
          <t>SS20</t>
        </is>
      </c>
      <c r="C24" s="58" t="n">
        <v>1440</v>
      </c>
      <c r="D24" s="29" t="n">
        <v>1638.625</v>
      </c>
      <c r="E24" s="52">
        <f>92+14</f>
        <v/>
      </c>
      <c r="F24" s="52">
        <f>4+3+2+5+4+3+6+1+3+3+4</f>
        <v/>
      </c>
      <c r="G24" s="272">
        <f>E24-F24</f>
        <v/>
      </c>
      <c r="H24" s="292" t="inlineStr">
        <is>
          <t>16cut/Jet Black/SS20/Non/002</t>
        </is>
      </c>
      <c r="I24" s="430" t="n"/>
    </row>
    <row r="25" ht="16.5" customHeight="1" thickBot="1" thickTop="1">
      <c r="A25" s="429" t="n"/>
      <c r="B25" s="59" t="inlineStr">
        <is>
          <t>SS30</t>
        </is>
      </c>
      <c r="C25" s="59" t="n">
        <v>288</v>
      </c>
      <c r="D25" s="27" t="n">
        <v>1113.75</v>
      </c>
      <c r="E25" s="50">
        <f>9+72</f>
        <v/>
      </c>
      <c r="F25" s="50">
        <f>2+1+5+2+2+1+1+2</f>
        <v/>
      </c>
      <c r="G25" s="269">
        <f>E25-F25</f>
        <v/>
      </c>
      <c r="H25" s="292" t="inlineStr">
        <is>
          <t>16cut/Jet Black/SS30/Non/002</t>
        </is>
      </c>
      <c r="I25" s="430" t="n"/>
    </row>
    <row r="26" ht="16.5" customHeight="1" thickBot="1" thickTop="1">
      <c r="A26" s="431" t="n"/>
      <c r="B26" s="20" t="inlineStr">
        <is>
          <t>SS34</t>
        </is>
      </c>
      <c r="C26" s="20" t="n">
        <v>144</v>
      </c>
      <c r="D26" s="28" t="n">
        <v>1636</v>
      </c>
      <c r="E26" s="55" t="n">
        <v>119</v>
      </c>
      <c r="F26" s="55" t="n"/>
      <c r="G26" s="270">
        <f>E26-F26</f>
        <v/>
      </c>
      <c r="H26" s="295" t="inlineStr">
        <is>
          <t>16cut/Jet Black/SS34/Non/002</t>
        </is>
      </c>
      <c r="I26" s="432" t="n"/>
    </row>
    <row r="27" ht="16.5" customHeight="1" thickBot="1" thickTop="1">
      <c r="A27" s="310" t="inlineStr">
        <is>
          <t>JONQUIL</t>
        </is>
      </c>
      <c r="B27" s="329" t="inlineStr">
        <is>
          <t>SS16</t>
        </is>
      </c>
      <c r="C27" s="310" t="n">
        <v>1440</v>
      </c>
      <c r="D27" s="30" t="n">
        <v>1169</v>
      </c>
      <c r="E27" s="310">
        <f>15+25+25</f>
        <v/>
      </c>
      <c r="F27" s="310" t="n"/>
      <c r="G27" s="243">
        <f>E27-F27</f>
        <v/>
      </c>
      <c r="H27" s="291" t="inlineStr">
        <is>
          <t>16cut/Jonquil/SS16/Non/007</t>
        </is>
      </c>
      <c r="I27" s="301" t="inlineStr">
        <is>
          <t>007</t>
        </is>
      </c>
    </row>
    <row r="28" ht="16.5" customHeight="1" thickBot="1" thickTop="1">
      <c r="A28" s="433" t="n"/>
      <c r="B28" s="331" t="inlineStr">
        <is>
          <t>SS20</t>
        </is>
      </c>
      <c r="C28" s="312" t="n">
        <v>1440</v>
      </c>
      <c r="D28" s="28" t="n">
        <v>1749</v>
      </c>
      <c r="E28" s="312">
        <f>15+5+15+15</f>
        <v/>
      </c>
      <c r="F28" s="312" t="n"/>
      <c r="G28" s="246">
        <f>E28-F28</f>
        <v/>
      </c>
      <c r="H28" s="295" t="inlineStr">
        <is>
          <t>16cut/Jonquil/SS20/Non/007</t>
        </is>
      </c>
      <c r="I28" s="432" t="n"/>
    </row>
    <row r="29" ht="16.5" customHeight="1" thickBot="1" thickTop="1">
      <c r="A29" s="319" t="inlineStr">
        <is>
          <t>SMOKED TOPAZ</t>
        </is>
      </c>
      <c r="B29" s="346" t="inlineStr">
        <is>
          <t>SS16</t>
        </is>
      </c>
      <c r="C29" s="319" t="n">
        <v>1440</v>
      </c>
      <c r="D29" s="26" t="n">
        <v>1169</v>
      </c>
      <c r="E29" s="319">
        <f>5+25+25+25</f>
        <v/>
      </c>
      <c r="F29" s="319" t="n">
        <v>2</v>
      </c>
      <c r="G29" s="244">
        <f>E29-F29</f>
        <v/>
      </c>
      <c r="H29" s="291" t="inlineStr">
        <is>
          <t>16cut/Smoked Topaz/SS16/Non/009</t>
        </is>
      </c>
      <c r="I29" s="301" t="inlineStr">
        <is>
          <t>009</t>
        </is>
      </c>
    </row>
    <row r="30" ht="16.5" customHeight="1" thickBot="1" thickTop="1">
      <c r="A30" s="429" t="n"/>
      <c r="B30" s="330" t="inlineStr">
        <is>
          <t>SS20</t>
        </is>
      </c>
      <c r="C30" s="311" t="n">
        <v>1440</v>
      </c>
      <c r="D30" s="27" t="n">
        <v>1749</v>
      </c>
      <c r="E30" s="311" t="n">
        <v>104</v>
      </c>
      <c r="F30" s="311">
        <f>2+1</f>
        <v/>
      </c>
      <c r="G30" s="245">
        <f>E30-F30</f>
        <v/>
      </c>
      <c r="H30" s="292" t="inlineStr">
        <is>
          <t>16cut/Smoked Topaz/SS20/Non/009</t>
        </is>
      </c>
      <c r="I30" s="430" t="n"/>
    </row>
    <row r="31" ht="16.5" customHeight="1" thickBot="1" thickTop="1">
      <c r="A31" s="433" t="n"/>
      <c r="B31" s="347" t="inlineStr">
        <is>
          <t>SS30</t>
        </is>
      </c>
      <c r="C31" s="320" t="n">
        <v>288</v>
      </c>
      <c r="D31" s="29" t="n">
        <v>1169</v>
      </c>
      <c r="E31" s="320" t="n">
        <v>80</v>
      </c>
      <c r="F31" s="320" t="n">
        <v>2</v>
      </c>
      <c r="G31" s="247">
        <f>E31-F31</f>
        <v/>
      </c>
      <c r="H31" s="295" t="inlineStr">
        <is>
          <t>16cut/Smoked Topaz/SS30/Non/009</t>
        </is>
      </c>
      <c r="I31" s="432" t="n"/>
    </row>
    <row r="32" ht="16.5" customHeight="1" thickBot="1" thickTop="1">
      <c r="A32" s="329" t="inlineStr">
        <is>
          <t>Lt. Colorado Topaz</t>
        </is>
      </c>
      <c r="B32" s="329" t="inlineStr">
        <is>
          <t>SS16</t>
        </is>
      </c>
      <c r="C32" s="310" t="n">
        <v>1440</v>
      </c>
      <c r="D32" s="30" t="n">
        <v>1169</v>
      </c>
      <c r="E32" s="310" t="n">
        <v>84</v>
      </c>
      <c r="F32" s="310" t="n"/>
      <c r="G32" s="243">
        <f>E32-F32</f>
        <v/>
      </c>
      <c r="H32" s="291" t="inlineStr">
        <is>
          <t>16cut/Lt.Colorado Topaz/SS16/Non/010</t>
        </is>
      </c>
      <c r="I32" s="301" t="inlineStr">
        <is>
          <t>010</t>
        </is>
      </c>
    </row>
    <row r="33" ht="16.5" customHeight="1" thickBot="1" thickTop="1">
      <c r="A33" s="429" t="n"/>
      <c r="B33" s="330" t="inlineStr">
        <is>
          <t>SS20</t>
        </is>
      </c>
      <c r="C33" s="311" t="n">
        <v>1440</v>
      </c>
      <c r="D33" s="27" t="n">
        <v>1749</v>
      </c>
      <c r="E33" s="311" t="n">
        <v>102</v>
      </c>
      <c r="F33" s="311" t="n"/>
      <c r="G33" s="245">
        <f>E33-F33</f>
        <v/>
      </c>
      <c r="H33" s="292" t="inlineStr">
        <is>
          <t>16cut/Lt.Colorado Topaz/SS20/Non/010</t>
        </is>
      </c>
      <c r="I33" s="430" t="n"/>
    </row>
    <row r="34" ht="16.5" customHeight="1" thickBot="1" thickTop="1">
      <c r="A34" s="433" t="n"/>
      <c r="B34" s="331" t="inlineStr">
        <is>
          <t>SS30</t>
        </is>
      </c>
      <c r="C34" s="312" t="n">
        <v>288</v>
      </c>
      <c r="D34" s="28" t="n">
        <v>1169</v>
      </c>
      <c r="E34" s="312" t="n">
        <v>151</v>
      </c>
      <c r="F34" s="312" t="n"/>
      <c r="G34" s="247">
        <f>E34-F34</f>
        <v/>
      </c>
      <c r="H34" s="295" t="inlineStr">
        <is>
          <t>16cut/Lt.Colorado Topaz/SS30/Non/010</t>
        </is>
      </c>
      <c r="I34" s="432" t="n"/>
    </row>
    <row r="35" ht="16.5" customHeight="1" thickBot="1" thickTop="1">
      <c r="A35" s="310" t="inlineStr">
        <is>
          <t>BLACK DIAMOND</t>
        </is>
      </c>
      <c r="B35" s="19" t="inlineStr">
        <is>
          <t>SS16</t>
        </is>
      </c>
      <c r="C35" s="19" t="n">
        <v>1440</v>
      </c>
      <c r="D35" s="26" t="n">
        <v>1169</v>
      </c>
      <c r="E35" s="57" t="n">
        <v>77</v>
      </c>
      <c r="F35" s="57" t="n"/>
      <c r="G35" s="268">
        <f>E35-F35</f>
        <v/>
      </c>
      <c r="H35" s="291" t="inlineStr">
        <is>
          <t>16cut/Black Diamond/SS16/Non/021</t>
        </is>
      </c>
      <c r="I35" s="301" t="inlineStr">
        <is>
          <t>021</t>
        </is>
      </c>
    </row>
    <row r="36" ht="16.5" customHeight="1" thickBot="1" thickTop="1">
      <c r="A36" s="429" t="n"/>
      <c r="B36" s="60" t="inlineStr">
        <is>
          <t>SS20</t>
        </is>
      </c>
      <c r="C36" s="60" t="n">
        <v>1440</v>
      </c>
      <c r="D36" s="27" t="n">
        <v>1749.125</v>
      </c>
      <c r="E36" s="50" t="n">
        <v>99</v>
      </c>
      <c r="F36" s="50" t="n"/>
      <c r="G36" s="269">
        <f>E36-F36</f>
        <v/>
      </c>
      <c r="H36" s="292" t="inlineStr">
        <is>
          <t>16cut/Black Diamond/SS20/Non/021</t>
        </is>
      </c>
      <c r="I36" s="430" t="n"/>
    </row>
    <row r="37" ht="16.5" customHeight="1" thickBot="1" thickTop="1">
      <c r="A37" s="433" t="n"/>
      <c r="B37" s="7" t="inlineStr">
        <is>
          <t>SS30</t>
        </is>
      </c>
      <c r="C37" s="7" t="n">
        <v>288</v>
      </c>
      <c r="D37" s="28" t="n">
        <v>1169</v>
      </c>
      <c r="E37" s="55" t="n">
        <v>80</v>
      </c>
      <c r="F37" s="52" t="n"/>
      <c r="G37" s="270">
        <f>E37-F37</f>
        <v/>
      </c>
      <c r="H37" s="295" t="inlineStr">
        <is>
          <t>16cut/Black Diamond/SS30/Non/021</t>
        </is>
      </c>
      <c r="I37" s="432" t="n"/>
    </row>
    <row r="38" ht="16.5" customHeight="1" thickBot="1" thickTop="1">
      <c r="A38" s="319" t="inlineStr">
        <is>
          <t>Lt. Sapphire</t>
        </is>
      </c>
      <c r="B38" s="8" t="inlineStr">
        <is>
          <t>SS16</t>
        </is>
      </c>
      <c r="C38" s="8" t="n">
        <v>1440</v>
      </c>
      <c r="D38" s="26" t="n">
        <v>1169</v>
      </c>
      <c r="E38" s="57" t="n">
        <v>38</v>
      </c>
      <c r="F38" s="48" t="n"/>
      <c r="G38" s="268">
        <f>E38-F38</f>
        <v/>
      </c>
      <c r="H38" s="291" t="inlineStr">
        <is>
          <t>16cut/Lt.Sapphire/SS16/Non/011</t>
        </is>
      </c>
      <c r="I38" s="301" t="inlineStr">
        <is>
          <t>011</t>
        </is>
      </c>
    </row>
    <row r="39" ht="16.5" customHeight="1" thickBot="1" thickTop="1">
      <c r="A39" s="429" t="n"/>
      <c r="B39" s="61" t="inlineStr">
        <is>
          <t>SS20</t>
        </is>
      </c>
      <c r="C39" s="61" t="n">
        <v>1440</v>
      </c>
      <c r="D39" s="27" t="n">
        <v>1749.125</v>
      </c>
      <c r="E39" s="50" t="n">
        <v>45</v>
      </c>
      <c r="F39" s="50" t="n"/>
      <c r="G39" s="269">
        <f>E39-F39</f>
        <v/>
      </c>
      <c r="H39" s="292" t="inlineStr">
        <is>
          <t>16cut/Lt.Sapphire/SS20/Non/011</t>
        </is>
      </c>
      <c r="I39" s="430" t="n"/>
    </row>
    <row r="40" ht="16.5" customHeight="1" thickBot="1" thickTop="1">
      <c r="A40" s="433" t="n"/>
      <c r="B40" s="9" t="inlineStr">
        <is>
          <t>SS30</t>
        </is>
      </c>
      <c r="C40" s="9" t="n">
        <v>288</v>
      </c>
      <c r="D40" s="28" t="n">
        <v>1169</v>
      </c>
      <c r="E40" s="55" t="n">
        <v>38</v>
      </c>
      <c r="F40" s="52" t="n"/>
      <c r="G40" s="270">
        <f>E40-F40</f>
        <v/>
      </c>
      <c r="H40" s="295" t="inlineStr">
        <is>
          <t>16cut/Lt.Sapphire/SS30/Non/011</t>
        </is>
      </c>
      <c r="I40" s="432" t="n"/>
    </row>
    <row r="41" ht="16.5" customHeight="1" thickBot="1" thickTop="1">
      <c r="A41" s="310" t="inlineStr">
        <is>
          <t>SAPPHIRE</t>
        </is>
      </c>
      <c r="B41" s="10" t="inlineStr">
        <is>
          <t>SS16</t>
        </is>
      </c>
      <c r="C41" s="10" t="n">
        <v>1440</v>
      </c>
      <c r="D41" s="26" t="n">
        <v>1169</v>
      </c>
      <c r="E41" s="57" t="n">
        <v>60</v>
      </c>
      <c r="F41" s="48">
        <f>2+1+1+1+1</f>
        <v/>
      </c>
      <c r="G41" s="268">
        <f>E41-F41</f>
        <v/>
      </c>
      <c r="H41" s="291" t="inlineStr">
        <is>
          <t>16cut/Sapphire/SS16/Non/013</t>
        </is>
      </c>
      <c r="I41" s="301" t="inlineStr">
        <is>
          <t>013</t>
        </is>
      </c>
    </row>
    <row r="42" ht="16.5" customHeight="1" thickBot="1" thickTop="1">
      <c r="A42" s="429" t="n"/>
      <c r="B42" s="62" t="inlineStr">
        <is>
          <t>SS20</t>
        </is>
      </c>
      <c r="C42" s="62" t="n">
        <v>1440</v>
      </c>
      <c r="D42" s="27" t="n">
        <v>1749.125</v>
      </c>
      <c r="E42" s="50" t="n">
        <v>93</v>
      </c>
      <c r="F42" s="50">
        <f>2+3+3+2+1+2+2+1</f>
        <v/>
      </c>
      <c r="G42" s="269">
        <f>E42-F42</f>
        <v/>
      </c>
      <c r="H42" s="292" t="inlineStr">
        <is>
          <t>16cut/Sapphire/SS20/Non/013</t>
        </is>
      </c>
      <c r="I42" s="430" t="n"/>
    </row>
    <row r="43" ht="16.5" customHeight="1" thickBot="1" thickTop="1">
      <c r="A43" s="433" t="n"/>
      <c r="B43" s="11" t="inlineStr">
        <is>
          <t>SS30</t>
        </is>
      </c>
      <c r="C43" s="11" t="n">
        <v>288</v>
      </c>
      <c r="D43" s="28" t="n">
        <v>1169</v>
      </c>
      <c r="E43" s="55" t="n">
        <v>60</v>
      </c>
      <c r="F43" s="52">
        <f>1+2+1+1</f>
        <v/>
      </c>
      <c r="G43" s="270">
        <f>E43-F43</f>
        <v/>
      </c>
      <c r="H43" s="295" t="inlineStr">
        <is>
          <t>16cut/Sapphire/SS30/Non/013</t>
        </is>
      </c>
      <c r="I43" s="432" t="n"/>
    </row>
    <row r="44" ht="16.5" customHeight="1" thickBot="1" thickTop="1">
      <c r="A44" s="332" t="inlineStr">
        <is>
          <t>MONTANA</t>
        </is>
      </c>
      <c r="B44" s="332" t="inlineStr">
        <is>
          <t>SS16</t>
        </is>
      </c>
      <c r="C44" s="332" t="n">
        <v>1440</v>
      </c>
      <c r="D44" s="26" t="n">
        <v>1169</v>
      </c>
      <c r="E44" s="57" t="n">
        <v>79</v>
      </c>
      <c r="F44" s="48" t="n"/>
      <c r="G44" s="268">
        <f>E44-F44</f>
        <v/>
      </c>
      <c r="H44" s="291" t="inlineStr">
        <is>
          <t>16cut/Montana/SS16/Non/018</t>
        </is>
      </c>
      <c r="I44" s="301" t="inlineStr">
        <is>
          <t>018</t>
        </is>
      </c>
    </row>
    <row r="45" ht="16.5" customHeight="1" thickBot="1" thickTop="1">
      <c r="A45" s="429" t="n"/>
      <c r="B45" s="63" t="inlineStr">
        <is>
          <t>SS20</t>
        </is>
      </c>
      <c r="C45" s="63" t="n">
        <v>1440</v>
      </c>
      <c r="D45" s="27" t="n">
        <v>1749.125</v>
      </c>
      <c r="E45" s="50" t="n">
        <v>98</v>
      </c>
      <c r="F45" s="50" t="n"/>
      <c r="G45" s="269">
        <f>E45-F45</f>
        <v/>
      </c>
      <c r="H45" s="292" t="inlineStr">
        <is>
          <t>16cut/Montana/SS20/Non/018</t>
        </is>
      </c>
      <c r="I45" s="430" t="n"/>
    </row>
    <row r="46" ht="16.5" customHeight="1" thickBot="1" thickTop="1">
      <c r="A46" s="433" t="n"/>
      <c r="B46" s="334" t="inlineStr">
        <is>
          <t>SS30</t>
        </is>
      </c>
      <c r="C46" s="334" t="n">
        <v>288</v>
      </c>
      <c r="D46" s="28" t="n">
        <v>1169</v>
      </c>
      <c r="E46" s="55" t="n">
        <v>79</v>
      </c>
      <c r="F46" s="52" t="n"/>
      <c r="G46" s="270">
        <f>E46-F46</f>
        <v/>
      </c>
      <c r="H46" s="295" t="inlineStr">
        <is>
          <t>16cut/Montana/SS30/Non/018</t>
        </is>
      </c>
      <c r="I46" s="432" t="n"/>
    </row>
    <row r="47" ht="16.5" customHeight="1" thickBot="1" thickTop="1">
      <c r="A47" s="335" t="inlineStr">
        <is>
          <t>CAPRI BLUE</t>
        </is>
      </c>
      <c r="B47" s="12" t="inlineStr">
        <is>
          <t>SS16</t>
        </is>
      </c>
      <c r="C47" s="12" t="n">
        <v>1440</v>
      </c>
      <c r="D47" s="26" t="n">
        <v>1169</v>
      </c>
      <c r="E47" s="57" t="n">
        <v>79</v>
      </c>
      <c r="F47" s="48" t="n">
        <v>1</v>
      </c>
      <c r="G47" s="268">
        <f>E47-F47</f>
        <v/>
      </c>
      <c r="H47" s="291" t="inlineStr">
        <is>
          <t>16cut/Capri Blue/SS16/Non/017</t>
        </is>
      </c>
      <c r="I47" s="301" t="inlineStr">
        <is>
          <t>017</t>
        </is>
      </c>
    </row>
    <row r="48" ht="16.5" customHeight="1" thickBot="1" thickTop="1">
      <c r="A48" s="429" t="n"/>
      <c r="B48" s="64" t="inlineStr">
        <is>
          <t>SS20</t>
        </is>
      </c>
      <c r="C48" s="64" t="n">
        <v>1440</v>
      </c>
      <c r="D48" s="27" t="n">
        <v>1749.125</v>
      </c>
      <c r="E48" s="50" t="n">
        <v>97</v>
      </c>
      <c r="F48" s="50" t="n">
        <v>1</v>
      </c>
      <c r="G48" s="269">
        <f>E48-F48</f>
        <v/>
      </c>
      <c r="H48" s="292" t="inlineStr">
        <is>
          <t>16cut/Capri Blue/SS20/Non/017</t>
        </is>
      </c>
      <c r="I48" s="430" t="n"/>
    </row>
    <row r="49" ht="16.5" customHeight="1" thickBot="1" thickTop="1">
      <c r="A49" s="433" t="n"/>
      <c r="B49" s="13" t="inlineStr">
        <is>
          <t>SS30</t>
        </is>
      </c>
      <c r="C49" s="13" t="n">
        <v>288</v>
      </c>
      <c r="D49" s="28" t="n">
        <v>1169</v>
      </c>
      <c r="E49" s="55" t="n">
        <v>79</v>
      </c>
      <c r="F49" s="52" t="n">
        <v>1</v>
      </c>
      <c r="G49" s="270">
        <f>E49-F49</f>
        <v/>
      </c>
      <c r="H49" s="295" t="inlineStr">
        <is>
          <t>16cut/Capri Blue/SS30/Non/017</t>
        </is>
      </c>
      <c r="I49" s="432" t="n"/>
    </row>
    <row r="50" ht="16.5" customHeight="1" thickBot="1" thickTop="1">
      <c r="A50" s="310" t="inlineStr">
        <is>
          <t>BLUE ZIRCON</t>
        </is>
      </c>
      <c r="B50" s="329" t="inlineStr">
        <is>
          <t>SS16</t>
        </is>
      </c>
      <c r="C50" s="310" t="n">
        <v>1440</v>
      </c>
      <c r="D50" s="30" t="n">
        <v>1169</v>
      </c>
      <c r="E50" s="310" t="n">
        <v>80</v>
      </c>
      <c r="F50" s="310" t="n"/>
      <c r="G50" s="244">
        <f>E50-F50</f>
        <v/>
      </c>
      <c r="H50" s="291" t="inlineStr">
        <is>
          <t>16cut/Green Zircon/SS16/Non/015</t>
        </is>
      </c>
      <c r="I50" s="301" t="inlineStr">
        <is>
          <t>015</t>
        </is>
      </c>
    </row>
    <row r="51" ht="16.5" customHeight="1" thickBot="1" thickTop="1">
      <c r="A51" s="429" t="n"/>
      <c r="B51" s="330" t="inlineStr">
        <is>
          <t>SS20</t>
        </is>
      </c>
      <c r="C51" s="311" t="n">
        <v>1440</v>
      </c>
      <c r="D51" s="27" t="n">
        <v>1749</v>
      </c>
      <c r="E51" s="311" t="n">
        <v>99</v>
      </c>
      <c r="F51" s="311" t="n">
        <v>3</v>
      </c>
      <c r="G51" s="245">
        <f>E51-F51</f>
        <v/>
      </c>
      <c r="H51" s="292" t="inlineStr">
        <is>
          <t>16cut/Green Zircon/SS20/Non/015</t>
        </is>
      </c>
      <c r="I51" s="430" t="n"/>
    </row>
    <row r="52" ht="16.5" customHeight="1" thickBot="1" thickTop="1">
      <c r="A52" s="433" t="n"/>
      <c r="B52" s="331" t="inlineStr">
        <is>
          <t>SS30</t>
        </is>
      </c>
      <c r="C52" s="312" t="n">
        <v>288</v>
      </c>
      <c r="D52" s="28" t="n">
        <v>1169</v>
      </c>
      <c r="E52" s="312" t="n">
        <v>80</v>
      </c>
      <c r="F52" s="312" t="n"/>
      <c r="G52" s="247">
        <f>E52-F52</f>
        <v/>
      </c>
      <c r="H52" s="295" t="inlineStr">
        <is>
          <t>16cut/Green Zircon/SS30/Non/015</t>
        </is>
      </c>
      <c r="I52" s="432" t="n"/>
    </row>
    <row r="53" ht="16.5" customHeight="1" thickBot="1" thickTop="1">
      <c r="A53" s="340" t="inlineStr">
        <is>
          <t>INDICOLITE</t>
        </is>
      </c>
      <c r="B53" s="14" t="inlineStr">
        <is>
          <t>SS16</t>
        </is>
      </c>
      <c r="C53" s="14" t="n">
        <v>1440</v>
      </c>
      <c r="D53" s="26" t="n">
        <v>1169</v>
      </c>
      <c r="E53" s="57" t="n">
        <v>30</v>
      </c>
      <c r="F53" s="48" t="n"/>
      <c r="G53" s="268">
        <f>E53-F53</f>
        <v/>
      </c>
      <c r="H53" s="291" t="inlineStr">
        <is>
          <t>16cut/Indicolite/SS16/Non/014</t>
        </is>
      </c>
      <c r="I53" s="301" t="inlineStr">
        <is>
          <t>014</t>
        </is>
      </c>
    </row>
    <row r="54" ht="16.5" customHeight="1" thickBot="1" thickTop="1">
      <c r="A54" s="429" t="n"/>
      <c r="B54" s="65" t="inlineStr">
        <is>
          <t>SS20</t>
        </is>
      </c>
      <c r="C54" s="65" t="n">
        <v>1440</v>
      </c>
      <c r="D54" s="27" t="n">
        <v>1749.125</v>
      </c>
      <c r="E54" s="50" t="n">
        <v>37</v>
      </c>
      <c r="F54" s="52" t="n"/>
      <c r="G54" s="272">
        <f>E54-F54</f>
        <v/>
      </c>
      <c r="H54" s="292" t="inlineStr">
        <is>
          <t>16cut/Indicolite/SS20/Non/014</t>
        </is>
      </c>
      <c r="I54" s="430" t="n"/>
    </row>
    <row r="55" ht="16.5" customHeight="1" thickBot="1" thickTop="1">
      <c r="A55" s="433" t="n"/>
      <c r="B55" s="15" t="inlineStr">
        <is>
          <t>SS30</t>
        </is>
      </c>
      <c r="C55" s="15" t="n">
        <v>288</v>
      </c>
      <c r="D55" s="28" t="n">
        <v>1169</v>
      </c>
      <c r="E55" s="55" t="n">
        <v>30</v>
      </c>
      <c r="F55" s="52" t="n"/>
      <c r="G55" s="270">
        <f>E55-F55</f>
        <v/>
      </c>
      <c r="H55" s="295" t="inlineStr">
        <is>
          <t>16cut/Indicolite/SS30/Non/014</t>
        </is>
      </c>
      <c r="I55" s="432" t="n"/>
    </row>
    <row r="56" ht="16.5" customHeight="1" thickBot="1" thickTop="1">
      <c r="A56" s="319" t="inlineStr">
        <is>
          <t>AQUAMARINE</t>
        </is>
      </c>
      <c r="B56" s="16" t="inlineStr">
        <is>
          <t>SS16</t>
        </is>
      </c>
      <c r="C56" s="16" t="n">
        <v>1440</v>
      </c>
      <c r="D56" s="26" t="n">
        <v>1169</v>
      </c>
      <c r="E56" s="57" t="n">
        <v>79</v>
      </c>
      <c r="F56" s="48">
        <f>1+1+1+1+1</f>
        <v/>
      </c>
      <c r="G56" s="268">
        <f>E56-F56</f>
        <v/>
      </c>
      <c r="H56" s="291" t="inlineStr">
        <is>
          <t>16cut/Aquamarine/SS16/Non/016</t>
        </is>
      </c>
      <c r="I56" s="301" t="inlineStr">
        <is>
          <t>016</t>
        </is>
      </c>
    </row>
    <row r="57" ht="16.5" customHeight="1" thickBot="1" thickTop="1">
      <c r="A57" s="429" t="n"/>
      <c r="B57" s="66" t="inlineStr">
        <is>
          <t>SS20</t>
        </is>
      </c>
      <c r="C57" s="66" t="n">
        <v>1440</v>
      </c>
      <c r="D57" s="27" t="n">
        <v>1749.125</v>
      </c>
      <c r="E57" s="50" t="n">
        <v>95</v>
      </c>
      <c r="F57" s="50">
        <f>1+1+1</f>
        <v/>
      </c>
      <c r="G57" s="269">
        <f>E57-F57</f>
        <v/>
      </c>
      <c r="H57" s="292" t="inlineStr">
        <is>
          <t>16cut/Aquamarine/SS20/Non/016</t>
        </is>
      </c>
      <c r="I57" s="430" t="n"/>
    </row>
    <row r="58" ht="16.5" customHeight="1" thickBot="1" thickTop="1">
      <c r="A58" s="433" t="n"/>
      <c r="B58" s="17" t="inlineStr">
        <is>
          <t>SS30</t>
        </is>
      </c>
      <c r="C58" s="17" t="n">
        <v>288</v>
      </c>
      <c r="D58" s="29" t="n">
        <v>1169</v>
      </c>
      <c r="E58" s="52" t="n">
        <v>79</v>
      </c>
      <c r="F58" s="52">
        <f>1+1</f>
        <v/>
      </c>
      <c r="G58" s="272">
        <f>E58-F58</f>
        <v/>
      </c>
      <c r="H58" s="295" t="inlineStr">
        <is>
          <t>16cut/Aquamarine/SS30/Non/016</t>
        </is>
      </c>
      <c r="I58" s="432" t="n"/>
    </row>
    <row r="59" ht="16.5" customHeight="1" thickBot="1" thickTop="1">
      <c r="A59" s="310" t="inlineStr">
        <is>
          <t>EMERALD</t>
        </is>
      </c>
      <c r="B59" s="22" t="inlineStr">
        <is>
          <t>SS16</t>
        </is>
      </c>
      <c r="C59" s="22" t="n">
        <v>1440</v>
      </c>
      <c r="D59" s="30" t="n">
        <v>1169</v>
      </c>
      <c r="E59" s="48" t="n">
        <v>80</v>
      </c>
      <c r="F59" s="48">
        <f>1+1</f>
        <v/>
      </c>
      <c r="G59" s="268">
        <f>E59-F59</f>
        <v/>
      </c>
      <c r="H59" s="291" t="inlineStr">
        <is>
          <t>16cut/Emerald/SS16/Non/026</t>
        </is>
      </c>
      <c r="I59" s="301" t="inlineStr">
        <is>
          <t>026</t>
        </is>
      </c>
    </row>
    <row r="60" ht="16.5" customHeight="1" thickBot="1" thickTop="1">
      <c r="A60" s="429" t="n"/>
      <c r="B60" s="44" t="inlineStr">
        <is>
          <t>SS20</t>
        </is>
      </c>
      <c r="C60" s="44" t="n">
        <v>1440</v>
      </c>
      <c r="D60" s="27" t="n">
        <v>1749</v>
      </c>
      <c r="E60" s="50" t="n">
        <v>95</v>
      </c>
      <c r="F60" s="50">
        <f>1+1+2</f>
        <v/>
      </c>
      <c r="G60" s="269">
        <f>E60-F60</f>
        <v/>
      </c>
      <c r="H60" s="292" t="inlineStr">
        <is>
          <t>16cut/Emerald/SS20/Non/026</t>
        </is>
      </c>
      <c r="I60" s="430" t="n"/>
    </row>
    <row r="61" ht="16.5" customHeight="1" thickBot="1" thickTop="1">
      <c r="A61" s="433" t="n"/>
      <c r="B61" s="23" t="inlineStr">
        <is>
          <t>SS30</t>
        </is>
      </c>
      <c r="C61" s="23" t="n">
        <v>288</v>
      </c>
      <c r="D61" s="28" t="n">
        <v>1169</v>
      </c>
      <c r="E61" s="55" t="n">
        <v>83</v>
      </c>
      <c r="F61" s="55">
        <f>1+1+1</f>
        <v/>
      </c>
      <c r="G61" s="270">
        <f>E61-F61</f>
        <v/>
      </c>
      <c r="H61" s="295" t="inlineStr">
        <is>
          <t>16cut/Emerald/SS30/Non/026</t>
        </is>
      </c>
      <c r="I61" s="432" t="n"/>
    </row>
    <row r="62" ht="16.5" customHeight="1" thickBot="1" thickTop="1">
      <c r="A62" s="319" t="inlineStr">
        <is>
          <t>Lt. Peridot</t>
        </is>
      </c>
      <c r="B62" s="21" t="inlineStr">
        <is>
          <t>SS16</t>
        </is>
      </c>
      <c r="C62" s="21" t="n">
        <v>1440</v>
      </c>
      <c r="D62" s="26" t="n">
        <v>1169</v>
      </c>
      <c r="E62" s="57" t="n">
        <v>80</v>
      </c>
      <c r="F62" s="57" t="n">
        <v>1</v>
      </c>
      <c r="G62" s="271">
        <f>E62-F62</f>
        <v/>
      </c>
      <c r="H62" s="291" t="inlineStr">
        <is>
          <t>16cut/Lt. Peridot/SS16/Non/024</t>
        </is>
      </c>
      <c r="I62" s="301" t="inlineStr">
        <is>
          <t>024</t>
        </is>
      </c>
    </row>
    <row r="63" ht="16.5" customHeight="1" thickBot="1" thickTop="1">
      <c r="A63" s="429" t="n"/>
      <c r="B63" s="67" t="inlineStr">
        <is>
          <t>SS20</t>
        </is>
      </c>
      <c r="C63" s="67" t="n">
        <v>1440</v>
      </c>
      <c r="D63" s="27" t="n">
        <v>1749.125</v>
      </c>
      <c r="E63" s="50" t="n">
        <v>98</v>
      </c>
      <c r="F63" s="50" t="n">
        <v>1</v>
      </c>
      <c r="G63" s="269">
        <f>E63-F63</f>
        <v/>
      </c>
      <c r="H63" s="292" t="inlineStr">
        <is>
          <t>16cut/Lt. Peridot/SS20/Non/024</t>
        </is>
      </c>
      <c r="I63" s="430" t="n"/>
    </row>
    <row r="64" ht="16.5" customHeight="1" thickBot="1" thickTop="1">
      <c r="A64" s="433" t="n"/>
      <c r="B64" s="18" t="inlineStr">
        <is>
          <t>SS30</t>
        </is>
      </c>
      <c r="C64" s="18" t="n">
        <v>288</v>
      </c>
      <c r="D64" s="28" t="n">
        <v>1169</v>
      </c>
      <c r="E64" s="55" t="n">
        <v>81</v>
      </c>
      <c r="F64" s="52" t="n"/>
      <c r="G64" s="270">
        <f>E64-F64</f>
        <v/>
      </c>
      <c r="H64" s="295" t="inlineStr">
        <is>
          <t>16cut/Lt. Peridot/SS30/Non/024</t>
        </is>
      </c>
      <c r="I64" s="432" t="n"/>
    </row>
    <row r="65" ht="16.5" customHeight="1" thickBot="1" thickTop="1">
      <c r="A65" s="343" t="inlineStr">
        <is>
          <t>OLIVINE</t>
        </is>
      </c>
      <c r="B65" s="343" t="inlineStr">
        <is>
          <t>SS16</t>
        </is>
      </c>
      <c r="C65" s="343" t="n">
        <v>1440</v>
      </c>
      <c r="D65" s="30" t="n">
        <v>1169</v>
      </c>
      <c r="E65" s="48" t="n">
        <v>80</v>
      </c>
      <c r="F65" s="48" t="n"/>
      <c r="G65" s="268">
        <f>E65-F65</f>
        <v/>
      </c>
      <c r="H65" s="291" t="inlineStr">
        <is>
          <t>16cut/Olivine/SS16/Non/027</t>
        </is>
      </c>
      <c r="I65" s="301" t="inlineStr">
        <is>
          <t>027</t>
        </is>
      </c>
    </row>
    <row r="66" ht="16.5" customHeight="1" thickBot="1" thickTop="1">
      <c r="A66" s="429" t="n"/>
      <c r="B66" s="344" t="inlineStr">
        <is>
          <t>SS20</t>
        </is>
      </c>
      <c r="C66" s="344" t="n">
        <v>1440</v>
      </c>
      <c r="D66" s="27" t="n">
        <v>1749.125</v>
      </c>
      <c r="E66" s="50" t="n">
        <v>99</v>
      </c>
      <c r="F66" s="50">
        <f>2+1</f>
        <v/>
      </c>
      <c r="G66" s="269">
        <f>E66-F66</f>
        <v/>
      </c>
      <c r="H66" s="292" t="inlineStr">
        <is>
          <t>16cut/Olivine/SS20/Non/027</t>
        </is>
      </c>
      <c r="I66" s="430" t="n"/>
    </row>
    <row r="67" ht="16.5" customHeight="1" thickBot="1" thickTop="1">
      <c r="A67" s="433" t="n"/>
      <c r="B67" s="345" t="inlineStr">
        <is>
          <t>SS30</t>
        </is>
      </c>
      <c r="C67" s="345" t="n">
        <v>288</v>
      </c>
      <c r="D67" s="28" t="n">
        <v>1169</v>
      </c>
      <c r="E67" s="55" t="n">
        <v>77</v>
      </c>
      <c r="F67" s="55">
        <f>1+2</f>
        <v/>
      </c>
      <c r="G67" s="270">
        <f>E67-F67</f>
        <v/>
      </c>
      <c r="H67" s="295" t="inlineStr">
        <is>
          <t>16cut/Olivine/SS30/Non/027</t>
        </is>
      </c>
      <c r="I67" s="432" t="n"/>
    </row>
    <row r="68" ht="16.5" customHeight="1" thickBot="1" thickTop="1">
      <c r="A68" s="310" t="inlineStr">
        <is>
          <t>TANZANITE</t>
        </is>
      </c>
      <c r="B68" s="329" t="inlineStr">
        <is>
          <t>SS16</t>
        </is>
      </c>
      <c r="C68" s="310" t="n">
        <v>1440</v>
      </c>
      <c r="D68" s="30" t="n">
        <v>1169</v>
      </c>
      <c r="E68" s="310" t="n">
        <v>40</v>
      </c>
      <c r="F68" s="310" t="n"/>
      <c r="G68" s="243">
        <f>E68-F68</f>
        <v/>
      </c>
      <c r="H68" s="291" t="inlineStr">
        <is>
          <t>16cut/Tanzanite/SS16/Non/028</t>
        </is>
      </c>
      <c r="I68" s="301" t="inlineStr">
        <is>
          <t>028</t>
        </is>
      </c>
    </row>
    <row r="69" ht="16.5" customHeight="1" thickBot="1" thickTop="1">
      <c r="A69" s="429" t="n"/>
      <c r="B69" s="330" t="inlineStr">
        <is>
          <t>SS20</t>
        </is>
      </c>
      <c r="C69" s="311" t="n">
        <v>1440</v>
      </c>
      <c r="D69" s="27" t="n">
        <v>1749</v>
      </c>
      <c r="E69" s="311" t="n">
        <v>49</v>
      </c>
      <c r="F69" s="311" t="n">
        <v>1</v>
      </c>
      <c r="G69" s="245">
        <f>E69-F69</f>
        <v/>
      </c>
      <c r="H69" s="292" t="inlineStr">
        <is>
          <t>16cut/Tanzanite/SS20/Non/028</t>
        </is>
      </c>
      <c r="I69" s="430" t="n"/>
    </row>
    <row r="70" ht="16.5" customHeight="1" thickBot="1" thickTop="1">
      <c r="A70" s="433" t="n"/>
      <c r="B70" s="331" t="inlineStr">
        <is>
          <t>SS30</t>
        </is>
      </c>
      <c r="C70" s="312" t="n">
        <v>288</v>
      </c>
      <c r="D70" s="28" t="n">
        <v>1169</v>
      </c>
      <c r="E70" s="312" t="n">
        <v>40</v>
      </c>
      <c r="F70" s="312" t="n"/>
      <c r="G70" s="246">
        <f>E70-F70</f>
        <v/>
      </c>
      <c r="H70" s="295" t="inlineStr">
        <is>
          <t>16cut/Tanzanite/SS30/Non/028</t>
        </is>
      </c>
      <c r="I70" s="432" t="n"/>
    </row>
    <row r="71" ht="16.5" customHeight="1" thickBot="1" thickTop="1">
      <c r="A71" s="346" t="inlineStr">
        <is>
          <t>AMETHYST</t>
        </is>
      </c>
      <c r="B71" s="346" t="inlineStr">
        <is>
          <t>SS16</t>
        </is>
      </c>
      <c r="C71" s="319" t="n">
        <v>1440</v>
      </c>
      <c r="D71" s="26" t="n">
        <v>1169</v>
      </c>
      <c r="E71" s="319" t="n">
        <v>70</v>
      </c>
      <c r="F71" s="319" t="n"/>
      <c r="G71" s="244">
        <f>E71-F71</f>
        <v/>
      </c>
      <c r="H71" s="291" t="inlineStr">
        <is>
          <t>16cut/Amethyst/SS16/Non/023</t>
        </is>
      </c>
      <c r="I71" s="301" t="inlineStr">
        <is>
          <t>023</t>
        </is>
      </c>
    </row>
    <row r="72" ht="16.5" customHeight="1" thickBot="1" thickTop="1">
      <c r="A72" s="429" t="n"/>
      <c r="B72" s="330" t="inlineStr">
        <is>
          <t>SS20</t>
        </is>
      </c>
      <c r="C72" s="311" t="n">
        <v>1440</v>
      </c>
      <c r="D72" s="27" t="n">
        <v>1749</v>
      </c>
      <c r="E72" s="311" t="n">
        <v>72</v>
      </c>
      <c r="F72" s="311" t="n">
        <v>2</v>
      </c>
      <c r="G72" s="245">
        <f>E72-F72</f>
        <v/>
      </c>
      <c r="H72" s="292" t="inlineStr">
        <is>
          <t>16cut/Amethyst/SS20/Non/023</t>
        </is>
      </c>
      <c r="I72" s="430" t="n"/>
    </row>
    <row r="73" ht="16.5" customHeight="1" thickBot="1" thickTop="1">
      <c r="A73" s="433" t="n"/>
      <c r="B73" s="347" t="inlineStr">
        <is>
          <t>SS30</t>
        </is>
      </c>
      <c r="C73" s="320" t="n">
        <v>288</v>
      </c>
      <c r="D73" s="29" t="n">
        <v>1169</v>
      </c>
      <c r="E73" s="320" t="n">
        <v>50</v>
      </c>
      <c r="F73" s="320" t="n">
        <v>1</v>
      </c>
      <c r="G73" s="247">
        <f>E73-F73</f>
        <v/>
      </c>
      <c r="H73" s="295" t="inlineStr">
        <is>
          <t>16cut/Amethyst/SS30/Non/023</t>
        </is>
      </c>
      <c r="I73" s="432" t="n"/>
    </row>
    <row r="74" ht="16.5" customHeight="1" thickBot="1" thickTop="1">
      <c r="A74" s="434" t="inlineStr">
        <is>
          <t>Lt. Peach</t>
        </is>
      </c>
      <c r="B74" s="343" t="inlineStr">
        <is>
          <t>SS16</t>
        </is>
      </c>
      <c r="C74" s="343" t="n">
        <v>1440</v>
      </c>
      <c r="D74" s="30" t="n">
        <v>1279</v>
      </c>
      <c r="E74" s="48" t="n">
        <v>20</v>
      </c>
      <c r="F74" s="48" t="n"/>
      <c r="G74" s="268">
        <f>E74-F74</f>
        <v/>
      </c>
      <c r="H74" s="291" t="inlineStr">
        <is>
          <t>16cut/Lt. Peach/SS16/Non/029</t>
        </is>
      </c>
      <c r="I74" s="301" t="inlineStr">
        <is>
          <t>029</t>
        </is>
      </c>
    </row>
    <row r="75" ht="16.5" customHeight="1" thickBot="1" thickTop="1">
      <c r="A75" s="429" t="n"/>
      <c r="B75" s="344" t="inlineStr">
        <is>
          <t>SS20</t>
        </is>
      </c>
      <c r="C75" s="344" t="n">
        <v>1440</v>
      </c>
      <c r="D75" s="27" t="n">
        <v>2355</v>
      </c>
      <c r="E75" s="50" t="n">
        <v>24</v>
      </c>
      <c r="F75" s="50" t="n">
        <v>1</v>
      </c>
      <c r="G75" s="269">
        <f>E75-F75</f>
        <v/>
      </c>
      <c r="H75" s="292" t="inlineStr">
        <is>
          <t>16cut/Lt. Peach/SS20/Non/029</t>
        </is>
      </c>
      <c r="I75" s="430" t="n"/>
    </row>
    <row r="76" ht="16.5" customHeight="1" thickBot="1" thickTop="1">
      <c r="A76" s="431" t="n"/>
      <c r="B76" s="345" t="inlineStr">
        <is>
          <t>SS30</t>
        </is>
      </c>
      <c r="C76" s="345" t="n">
        <v>288</v>
      </c>
      <c r="D76" s="28" t="n">
        <v>1279</v>
      </c>
      <c r="E76" s="55" t="n">
        <v>20</v>
      </c>
      <c r="F76" s="55" t="n"/>
      <c r="G76" s="270">
        <f>E76-F76</f>
        <v/>
      </c>
      <c r="H76" s="295" t="inlineStr">
        <is>
          <t>16cut/Lt. Peach/SS30/Non/029</t>
        </is>
      </c>
      <c r="I76" s="432" t="n"/>
    </row>
    <row r="77" ht="16.5" customHeight="1" thickBot="1" thickTop="1">
      <c r="A77" s="319" t="inlineStr">
        <is>
          <t>CITRINE</t>
        </is>
      </c>
      <c r="B77" s="68" t="inlineStr">
        <is>
          <t>SS16</t>
        </is>
      </c>
      <c r="C77" s="68" t="n">
        <v>1440</v>
      </c>
      <c r="D77" s="26" t="n">
        <v>1224.25</v>
      </c>
      <c r="E77" s="57" t="n">
        <v>40</v>
      </c>
      <c r="F77" s="57" t="n"/>
      <c r="G77" s="271">
        <f>E77-F77</f>
        <v/>
      </c>
      <c r="H77" s="291" t="inlineStr">
        <is>
          <t>16cut/Citrine/SS16/Non/035</t>
        </is>
      </c>
      <c r="I77" s="301" t="inlineStr">
        <is>
          <t>035</t>
        </is>
      </c>
    </row>
    <row r="78" ht="16.5" customHeight="1" thickBot="1" thickTop="1">
      <c r="A78" s="429" t="n"/>
      <c r="B78" s="69" t="inlineStr">
        <is>
          <t>SS20</t>
        </is>
      </c>
      <c r="C78" s="69" t="n">
        <v>1440</v>
      </c>
      <c r="D78" s="27" t="n">
        <v>1803.3125</v>
      </c>
      <c r="E78" s="50" t="n">
        <v>49</v>
      </c>
      <c r="F78" s="50" t="n"/>
      <c r="G78" s="269">
        <f>E78-F78</f>
        <v/>
      </c>
      <c r="H78" s="292" t="inlineStr">
        <is>
          <t>16cut/Citrine/SS20/Non/035</t>
        </is>
      </c>
      <c r="I78" s="430" t="n"/>
    </row>
    <row r="79" ht="16.5" customHeight="1" thickBot="1" thickTop="1">
      <c r="A79" s="433" t="n"/>
      <c r="B79" s="70" t="inlineStr">
        <is>
          <t>SS30</t>
        </is>
      </c>
      <c r="C79" s="70" t="n">
        <v>288</v>
      </c>
      <c r="D79" s="29" t="n">
        <v>1224.25</v>
      </c>
      <c r="E79" s="52" t="n">
        <v>40</v>
      </c>
      <c r="F79" s="52" t="n"/>
      <c r="G79" s="272">
        <f>E79-F79</f>
        <v/>
      </c>
      <c r="H79" s="295" t="inlineStr">
        <is>
          <t>16cut/Citrine/SS30/Non/035</t>
        </is>
      </c>
      <c r="I79" s="432" t="n"/>
    </row>
    <row r="80" ht="16.5" customHeight="1" thickBot="1" thickTop="1">
      <c r="A80" s="31" t="inlineStr">
        <is>
          <t>Hyacinth</t>
        </is>
      </c>
      <c r="B80" s="71" t="inlineStr">
        <is>
          <t>SS16</t>
        </is>
      </c>
      <c r="C80" s="71" t="n">
        <v>1440</v>
      </c>
      <c r="D80" s="30" t="n">
        <v>1224.25</v>
      </c>
      <c r="E80" s="48" t="n">
        <v>40</v>
      </c>
      <c r="F80" s="48" t="n"/>
      <c r="G80" s="268" t="n">
        <v>40</v>
      </c>
      <c r="H80" s="291" t="inlineStr">
        <is>
          <t>16cut/Hyacinth/SS16/Non/031</t>
        </is>
      </c>
      <c r="I80" s="301" t="inlineStr">
        <is>
          <t>031</t>
        </is>
      </c>
    </row>
    <row r="81" ht="16.5" customHeight="1" thickBot="1" thickTop="1">
      <c r="A81" s="429" t="n"/>
      <c r="B81" s="40" t="inlineStr">
        <is>
          <t>SS20</t>
        </is>
      </c>
      <c r="C81" s="40" t="n">
        <v>1440</v>
      </c>
      <c r="D81" s="29" t="n">
        <v>1803</v>
      </c>
      <c r="E81" s="52" t="n">
        <v>49</v>
      </c>
      <c r="F81" s="52">
        <f>1+1</f>
        <v/>
      </c>
      <c r="G81" s="272">
        <f>E81-F81</f>
        <v/>
      </c>
      <c r="H81" s="292" t="inlineStr">
        <is>
          <t>16cut/Hyacinth/SS20/Non/031</t>
        </is>
      </c>
      <c r="I81" s="430" t="n"/>
    </row>
    <row r="82" ht="16.5" customHeight="1" thickBot="1" thickTop="1">
      <c r="A82" s="431" t="n"/>
      <c r="B82" s="24" t="inlineStr">
        <is>
          <t>SS30</t>
        </is>
      </c>
      <c r="C82" s="24" t="n">
        <v>288</v>
      </c>
      <c r="D82" s="28" t="n">
        <v>1224</v>
      </c>
      <c r="E82" s="55" t="n">
        <v>39</v>
      </c>
      <c r="F82" s="55">
        <f>1+1</f>
        <v/>
      </c>
      <c r="G82" s="270">
        <f>E82-F82</f>
        <v/>
      </c>
      <c r="H82" s="295" t="inlineStr">
        <is>
          <t>16cut/Hyacinth/SS30/Non/031</t>
        </is>
      </c>
      <c r="I82" s="432" t="n"/>
    </row>
    <row r="83" ht="16.5" customHeight="1" thickBot="1" thickTop="1">
      <c r="A83" s="310" t="inlineStr">
        <is>
          <t>Lt. Siam</t>
        </is>
      </c>
      <c r="B83" s="72" t="inlineStr">
        <is>
          <t>SS16</t>
        </is>
      </c>
      <c r="C83" s="72" t="n">
        <v>1440</v>
      </c>
      <c r="D83" s="26" t="n">
        <v>1224.25</v>
      </c>
      <c r="E83" s="57" t="n">
        <v>85</v>
      </c>
      <c r="F83" s="57">
        <f>1+1+3+1</f>
        <v/>
      </c>
      <c r="G83" s="268">
        <f>E83-F83</f>
        <v/>
      </c>
      <c r="H83" s="291" t="inlineStr">
        <is>
          <t>16cut/Lt.Siam/SS16/Non/033</t>
        </is>
      </c>
      <c r="I83" s="301" t="inlineStr">
        <is>
          <t>033</t>
        </is>
      </c>
    </row>
    <row r="84" ht="16.5" customHeight="1" thickBot="1" thickTop="1">
      <c r="A84" s="429" t="n"/>
      <c r="B84" s="73" t="inlineStr">
        <is>
          <t>SS20</t>
        </is>
      </c>
      <c r="C84" s="73" t="n">
        <v>1440</v>
      </c>
      <c r="D84" s="27" t="n">
        <v>1803.3125</v>
      </c>
      <c r="E84" s="50" t="n">
        <v>109</v>
      </c>
      <c r="F84" s="50">
        <f>2+5+3+1+2+1</f>
        <v/>
      </c>
      <c r="G84" s="269">
        <f>E84-F84</f>
        <v/>
      </c>
      <c r="H84" s="292" t="inlineStr">
        <is>
          <t>16cut/Lt.Siam/SS20/Non/033</t>
        </is>
      </c>
      <c r="I84" s="430" t="n"/>
    </row>
    <row r="85" ht="16.5" customHeight="1" thickBot="1" thickTop="1">
      <c r="A85" s="433" t="n"/>
      <c r="B85" s="74" t="inlineStr">
        <is>
          <t>SS30</t>
        </is>
      </c>
      <c r="C85" s="74" t="n">
        <v>288</v>
      </c>
      <c r="D85" s="28" t="n">
        <v>1224.25</v>
      </c>
      <c r="E85" s="55" t="n">
        <v>86</v>
      </c>
      <c r="F85" s="55">
        <f>2+1+2+1+2</f>
        <v/>
      </c>
      <c r="G85" s="270">
        <f>E85-F85</f>
        <v/>
      </c>
      <c r="H85" s="295" t="inlineStr">
        <is>
          <t>16cut/Lt.Siam/SS30/Non/033</t>
        </is>
      </c>
      <c r="I85" s="432" t="n"/>
    </row>
    <row r="86" ht="16.5" customHeight="1" thickBot="1" thickTop="1">
      <c r="A86" s="310" t="inlineStr">
        <is>
          <t>SIAM</t>
        </is>
      </c>
      <c r="B86" s="75" t="inlineStr">
        <is>
          <t>SS16</t>
        </is>
      </c>
      <c r="C86" s="75" t="n">
        <v>1440</v>
      </c>
      <c r="D86" s="30" t="n">
        <v>1224</v>
      </c>
      <c r="E86" s="48" t="n">
        <v>75</v>
      </c>
      <c r="F86" s="48">
        <f>1+1+1+1+1</f>
        <v/>
      </c>
      <c r="G86" s="268">
        <f>E86-F86</f>
        <v/>
      </c>
      <c r="H86" s="291" t="inlineStr">
        <is>
          <t>16cut/Siam/SS16/Non/033+</t>
        </is>
      </c>
      <c r="I86" s="301" t="inlineStr">
        <is>
          <t>033+</t>
        </is>
      </c>
    </row>
    <row r="87" ht="16.5" customHeight="1" thickBot="1" thickTop="1">
      <c r="A87" s="429" t="n"/>
      <c r="B87" s="76" t="inlineStr">
        <is>
          <t>SS20</t>
        </is>
      </c>
      <c r="C87" s="76" t="n">
        <v>1440</v>
      </c>
      <c r="D87" s="27" t="n">
        <v>1803</v>
      </c>
      <c r="E87" s="50" t="n">
        <v>97</v>
      </c>
      <c r="F87" s="50">
        <f>1+2+1+2+2+1</f>
        <v/>
      </c>
      <c r="G87" s="269">
        <f>E87-F87</f>
        <v/>
      </c>
      <c r="H87" s="292" t="inlineStr">
        <is>
          <t>16cut/Siam/SS20/Non/033+</t>
        </is>
      </c>
      <c r="I87" s="430" t="n"/>
    </row>
    <row r="88" ht="16.5" customHeight="1" thickBot="1" thickTop="1">
      <c r="A88" s="433" t="n"/>
      <c r="B88" s="331" t="inlineStr">
        <is>
          <t>SS30</t>
        </is>
      </c>
      <c r="C88" s="312" t="n">
        <v>288</v>
      </c>
      <c r="D88" s="28" t="n">
        <v>1224</v>
      </c>
      <c r="E88" s="312" t="n">
        <v>75</v>
      </c>
      <c r="F88" s="312">
        <f>5+6+2+1+2+1+2</f>
        <v/>
      </c>
      <c r="G88" s="246">
        <f>E88-F88</f>
        <v/>
      </c>
      <c r="H88" s="295" t="inlineStr">
        <is>
          <t>16cut/Siam/SS30/Non/033+</t>
        </is>
      </c>
      <c r="I88" s="432" t="n"/>
    </row>
    <row r="89" ht="16.5" customHeight="1" thickBot="1" thickTop="1">
      <c r="A89" s="310" t="inlineStr">
        <is>
          <t>GARNET</t>
        </is>
      </c>
      <c r="B89" s="77" t="inlineStr">
        <is>
          <t>SS16</t>
        </is>
      </c>
      <c r="C89" s="77" t="n">
        <v>1440</v>
      </c>
      <c r="D89" s="26" t="n">
        <v>1224.25</v>
      </c>
      <c r="E89" s="57" t="n">
        <v>59</v>
      </c>
      <c r="F89" s="57">
        <f>1+2</f>
        <v/>
      </c>
      <c r="G89" s="271">
        <f>E89-F89</f>
        <v/>
      </c>
      <c r="H89" s="291" t="inlineStr">
        <is>
          <t>16cut/Garnet/SS16/Non/034</t>
        </is>
      </c>
      <c r="I89" s="301" t="inlineStr">
        <is>
          <t>034</t>
        </is>
      </c>
    </row>
    <row r="90" ht="16.5" customHeight="1" thickBot="1" thickTop="1">
      <c r="A90" s="429" t="n"/>
      <c r="B90" s="78" t="inlineStr">
        <is>
          <t>SS20</t>
        </is>
      </c>
      <c r="C90" s="78" t="n">
        <v>1440</v>
      </c>
      <c r="D90" s="27" t="n">
        <v>1803.3125</v>
      </c>
      <c r="E90" s="50" t="n">
        <v>83</v>
      </c>
      <c r="F90" s="50" t="n">
        <v>1</v>
      </c>
      <c r="G90" s="269">
        <f>E90-F90</f>
        <v/>
      </c>
      <c r="H90" s="292" t="inlineStr">
        <is>
          <t>16cut/Garnet/SS20/Non/034</t>
        </is>
      </c>
      <c r="I90" s="430" t="n"/>
    </row>
    <row r="91" ht="16.5" customHeight="1" thickBot="1" thickTop="1">
      <c r="A91" s="433" t="n"/>
      <c r="B91" s="79" t="inlineStr">
        <is>
          <t>SS30</t>
        </is>
      </c>
      <c r="C91" s="79" t="n">
        <v>288</v>
      </c>
      <c r="D91" s="29" t="n">
        <v>1224.25</v>
      </c>
      <c r="E91" s="52" t="n">
        <v>58</v>
      </c>
      <c r="F91" s="52" t="n">
        <v>1</v>
      </c>
      <c r="G91" s="272">
        <f>E91-F91</f>
        <v/>
      </c>
      <c r="H91" s="295" t="inlineStr">
        <is>
          <t>16cut/Garnet/SS30/Non/034</t>
        </is>
      </c>
      <c r="I91" s="432" t="n"/>
    </row>
    <row r="92" ht="16.5" customHeight="1" thickBot="1" thickTop="1">
      <c r="A92" s="329" t="inlineStr">
        <is>
          <t>ROSE</t>
        </is>
      </c>
      <c r="B92" s="329" t="inlineStr">
        <is>
          <t>SS16</t>
        </is>
      </c>
      <c r="C92" s="310" t="n">
        <v>1440</v>
      </c>
      <c r="D92" s="30" t="n">
        <v>1720</v>
      </c>
      <c r="E92" s="310" t="n">
        <v>37</v>
      </c>
      <c r="F92" s="310" t="n"/>
      <c r="G92" s="243">
        <f>E92-F92</f>
        <v/>
      </c>
      <c r="H92" s="291" t="inlineStr">
        <is>
          <t>16cut/Rose/SS16/Non/036</t>
        </is>
      </c>
      <c r="I92" s="301" t="inlineStr">
        <is>
          <t>036</t>
        </is>
      </c>
    </row>
    <row r="93" ht="16.5" customHeight="1" thickBot="1" thickTop="1">
      <c r="A93" s="429" t="n"/>
      <c r="B93" s="330" t="inlineStr">
        <is>
          <t>SS20</t>
        </is>
      </c>
      <c r="C93" s="311" t="n">
        <v>1440</v>
      </c>
      <c r="D93" s="27" t="n">
        <v>2906</v>
      </c>
      <c r="E93" s="311" t="n">
        <v>46</v>
      </c>
      <c r="F93" s="311" t="n"/>
      <c r="G93" s="245">
        <f>E93-F93</f>
        <v/>
      </c>
      <c r="H93" s="292" t="inlineStr">
        <is>
          <t>16cut/Rose/SS20/Non/036</t>
        </is>
      </c>
      <c r="I93" s="430" t="n"/>
    </row>
    <row r="94" ht="16.5" customHeight="1" thickBot="1" thickTop="1">
      <c r="A94" s="433" t="n"/>
      <c r="B94" s="331" t="inlineStr">
        <is>
          <t>SS30</t>
        </is>
      </c>
      <c r="C94" s="312" t="n">
        <v>288</v>
      </c>
      <c r="D94" s="28" t="n">
        <v>1720</v>
      </c>
      <c r="E94" s="312" t="n">
        <v>25</v>
      </c>
      <c r="F94" s="312" t="n"/>
      <c r="G94" s="246">
        <f>E94-F94</f>
        <v/>
      </c>
      <c r="H94" s="295" t="inlineStr">
        <is>
          <t>16cut/Rose/SS30/Non/036</t>
        </is>
      </c>
      <c r="I94" s="432" t="n"/>
    </row>
    <row r="95" ht="16.5" customHeight="1" thickBot="1" thickTop="1">
      <c r="A95" s="310" t="inlineStr">
        <is>
          <t>Lt. Rose</t>
        </is>
      </c>
      <c r="B95" s="310" t="inlineStr">
        <is>
          <t>SS16</t>
        </is>
      </c>
      <c r="C95" s="80" t="n">
        <v>1440</v>
      </c>
      <c r="D95" s="30" t="n">
        <v>1513</v>
      </c>
      <c r="E95" s="310" t="n">
        <v>40</v>
      </c>
      <c r="F95" s="310">
        <f>2+1+1+1</f>
        <v/>
      </c>
      <c r="G95" s="243">
        <f>E95-F95</f>
        <v/>
      </c>
      <c r="H95" s="291" t="inlineStr">
        <is>
          <t>16cut/Lt.Rose/SS16/Non/038</t>
        </is>
      </c>
      <c r="I95" s="301" t="inlineStr">
        <is>
          <t>038</t>
        </is>
      </c>
    </row>
    <row r="96" ht="16.5" customHeight="1" thickBot="1" thickTop="1">
      <c r="A96" s="429" t="n"/>
      <c r="B96" s="311" t="inlineStr">
        <is>
          <t>SS20</t>
        </is>
      </c>
      <c r="C96" s="81" t="n">
        <v>1440</v>
      </c>
      <c r="D96" s="27" t="n">
        <v>2013</v>
      </c>
      <c r="E96" s="311" t="n">
        <v>49</v>
      </c>
      <c r="F96" s="311">
        <f>2+2+1+1</f>
        <v/>
      </c>
      <c r="G96" s="245">
        <f>E96-F96</f>
        <v/>
      </c>
      <c r="H96" s="292" t="inlineStr">
        <is>
          <t>16cut/Lt.Rose/SS20/Non/038</t>
        </is>
      </c>
      <c r="I96" s="430" t="n"/>
    </row>
    <row r="97" ht="16.5" customHeight="1" thickBot="1" thickTop="1">
      <c r="A97" s="433" t="n"/>
      <c r="B97" s="312" t="inlineStr">
        <is>
          <t>SS30</t>
        </is>
      </c>
      <c r="C97" s="82" t="n">
        <v>288</v>
      </c>
      <c r="D97" s="29" t="n">
        <v>1513</v>
      </c>
      <c r="E97" s="320" t="n">
        <v>15</v>
      </c>
      <c r="F97" s="320">
        <f>1+1</f>
        <v/>
      </c>
      <c r="G97" s="247">
        <f>E97-F97</f>
        <v/>
      </c>
      <c r="H97" s="295" t="inlineStr">
        <is>
          <t>16cut/Lt.Rose/SS30/Non/038</t>
        </is>
      </c>
      <c r="I97" s="432" t="n"/>
    </row>
    <row r="98" ht="16.5" customHeight="1" thickBot="1" thickTop="1">
      <c r="A98" s="310" t="inlineStr">
        <is>
          <t>FUCHSIA</t>
        </is>
      </c>
      <c r="B98" s="329" t="inlineStr">
        <is>
          <t>SS16</t>
        </is>
      </c>
      <c r="C98" s="310" t="n">
        <v>1440</v>
      </c>
      <c r="D98" s="30" t="n">
        <v>1776</v>
      </c>
      <c r="E98" s="310" t="n">
        <v>80</v>
      </c>
      <c r="F98" s="310">
        <f>1+1+1+1</f>
        <v/>
      </c>
      <c r="G98" s="243">
        <f>E98-F98</f>
        <v/>
      </c>
      <c r="H98" s="291" t="inlineStr">
        <is>
          <t>16cut/Fuchsia/SS16/Non/037</t>
        </is>
      </c>
      <c r="I98" s="301" t="inlineStr">
        <is>
          <t>037</t>
        </is>
      </c>
    </row>
    <row r="99" ht="16.5" customHeight="1" thickBot="1" thickTop="1">
      <c r="A99" s="429" t="n"/>
      <c r="B99" s="330" t="inlineStr">
        <is>
          <t>SS20</t>
        </is>
      </c>
      <c r="C99" s="311" t="n">
        <v>1440</v>
      </c>
      <c r="D99" s="27" t="n">
        <v>2906</v>
      </c>
      <c r="E99" s="311" t="n">
        <v>99</v>
      </c>
      <c r="F99" s="311">
        <f>1+1+1</f>
        <v/>
      </c>
      <c r="G99" s="245">
        <f>E99-F99</f>
        <v/>
      </c>
      <c r="H99" s="292" t="inlineStr">
        <is>
          <t>16cut/Fuchsia/SS20/Non/037</t>
        </is>
      </c>
      <c r="I99" s="430" t="n"/>
    </row>
    <row r="100" ht="16.5" customHeight="1" thickBot="1" thickTop="1">
      <c r="A100" s="433" t="n"/>
      <c r="B100" s="331" t="inlineStr">
        <is>
          <t>SS30</t>
        </is>
      </c>
      <c r="C100" s="312" t="n">
        <v>288</v>
      </c>
      <c r="D100" s="28" t="n">
        <v>1776</v>
      </c>
      <c r="E100" s="312" t="n">
        <v>50</v>
      </c>
      <c r="F100" s="312">
        <f>1+1</f>
        <v/>
      </c>
      <c r="G100" s="247">
        <f>E100-F100</f>
        <v/>
      </c>
      <c r="H100" s="295" t="inlineStr">
        <is>
          <t>16cut/Fuchsia/SS30/Non/037</t>
        </is>
      </c>
      <c r="I100" s="432" t="n"/>
    </row>
    <row r="101" ht="15.75" customHeight="1" thickBot="1" thickTop="1">
      <c r="A101" s="313" t="inlineStr">
        <is>
          <t>GOLDEN SHADOW</t>
        </is>
      </c>
      <c r="B101" s="310" t="inlineStr">
        <is>
          <t>SS16</t>
        </is>
      </c>
      <c r="C101" s="80" t="n">
        <v>1440</v>
      </c>
      <c r="D101" s="30" t="n">
        <v>1113</v>
      </c>
      <c r="E101" s="310">
        <f>76+40</f>
        <v/>
      </c>
      <c r="F101" s="310" t="n">
        <v>2</v>
      </c>
      <c r="G101" s="243">
        <f>E101-F101</f>
        <v/>
      </c>
      <c r="H101" s="291" t="inlineStr">
        <is>
          <t>16cut/Golden Shadow/SS16/Non/052</t>
        </is>
      </c>
      <c r="I101" s="301" t="inlineStr">
        <is>
          <t>052</t>
        </is>
      </c>
    </row>
    <row r="102" ht="16.5" customHeight="1" thickBot="1" thickTop="1">
      <c r="A102" s="429" t="n"/>
      <c r="B102" s="311" t="inlineStr">
        <is>
          <t>SS20</t>
        </is>
      </c>
      <c r="C102" s="81" t="n">
        <v>1440</v>
      </c>
      <c r="D102" s="27" t="n">
        <v>1638</v>
      </c>
      <c r="E102" s="311">
        <f>50+90</f>
        <v/>
      </c>
      <c r="F102" s="311" t="n">
        <v>2</v>
      </c>
      <c r="G102" s="245">
        <f>E102-F102</f>
        <v/>
      </c>
      <c r="H102" s="292" t="inlineStr">
        <is>
          <t>16cut/Golden Shadow/SS20/Non/052</t>
        </is>
      </c>
      <c r="I102" s="430" t="n"/>
    </row>
    <row r="103" ht="16.5" customHeight="1" thickBot="1" thickTop="1">
      <c r="A103" s="429" t="n"/>
      <c r="B103" s="311" t="inlineStr">
        <is>
          <t>SS30</t>
        </is>
      </c>
      <c r="C103" s="81" t="n">
        <v>288</v>
      </c>
      <c r="D103" s="27" t="n">
        <v>1113</v>
      </c>
      <c r="E103" s="311" t="n">
        <v>117</v>
      </c>
      <c r="F103" s="311">
        <f>1+2</f>
        <v/>
      </c>
      <c r="G103" s="245">
        <f>E103-F103</f>
        <v/>
      </c>
      <c r="H103" s="292" t="inlineStr">
        <is>
          <t>16cut/Golden Shadow/SS30/Non/052</t>
        </is>
      </c>
      <c r="I103" s="430" t="n"/>
    </row>
    <row r="104" ht="16.5" customHeight="1" thickBot="1" thickTop="1">
      <c r="A104" s="433" t="n"/>
      <c r="B104" s="312" t="inlineStr">
        <is>
          <t>SS34</t>
        </is>
      </c>
      <c r="C104" s="82" t="n">
        <v>144</v>
      </c>
      <c r="D104" s="28" t="n">
        <v>1528</v>
      </c>
      <c r="E104" s="312" t="n">
        <v>120</v>
      </c>
      <c r="F104" s="312">
        <f>1+2</f>
        <v/>
      </c>
      <c r="G104" s="246">
        <f>E104-F104</f>
        <v/>
      </c>
      <c r="H104" s="295" t="inlineStr">
        <is>
          <t>16cut/Golden Shadow/SS34/Non/052</t>
        </is>
      </c>
      <c r="I104" s="432" t="n"/>
    </row>
    <row r="105" ht="16.5" customHeight="1" thickBot="1" thickTop="1">
      <c r="A105" s="310" t="inlineStr">
        <is>
          <t>SUNSHINE</t>
        </is>
      </c>
      <c r="B105" s="310" t="inlineStr">
        <is>
          <t>SS16</t>
        </is>
      </c>
      <c r="C105" s="310" t="n">
        <v>1440</v>
      </c>
      <c r="D105" s="26" t="n">
        <v>1335</v>
      </c>
      <c r="E105" s="319" t="n">
        <v>138</v>
      </c>
      <c r="F105" s="319" t="n"/>
      <c r="G105" s="244">
        <f>E105-F105</f>
        <v/>
      </c>
      <c r="H105" s="291" t="inlineStr">
        <is>
          <t>16cut/Fuchsia Shimmer/SS16/Non/062</t>
        </is>
      </c>
      <c r="I105" s="301" t="inlineStr">
        <is>
          <t>062</t>
        </is>
      </c>
    </row>
    <row r="106" ht="16.5" customHeight="1" thickBot="1" thickTop="1">
      <c r="A106" s="429" t="n"/>
      <c r="B106" s="311" t="inlineStr">
        <is>
          <t>SS20</t>
        </is>
      </c>
      <c r="C106" s="311" t="n">
        <v>1440</v>
      </c>
      <c r="D106" s="27" t="n">
        <v>1913</v>
      </c>
      <c r="E106" s="311" t="n">
        <v>165</v>
      </c>
      <c r="F106" s="311" t="n">
        <v>3</v>
      </c>
      <c r="G106" s="245">
        <f>E106-F106</f>
        <v/>
      </c>
      <c r="H106" s="292" t="inlineStr">
        <is>
          <t>16cut/Fuchsia Shimmer/SS20/Non/062</t>
        </is>
      </c>
      <c r="I106" s="430" t="n"/>
    </row>
    <row r="107" ht="16.5" customHeight="1" thickBot="1" thickTop="1">
      <c r="A107" s="429" t="n"/>
      <c r="B107" s="311" t="inlineStr">
        <is>
          <t>SS30</t>
        </is>
      </c>
      <c r="C107" s="311" t="n">
        <v>288</v>
      </c>
      <c r="D107" s="27" t="n">
        <v>1335</v>
      </c>
      <c r="E107" s="311" t="n">
        <v>117</v>
      </c>
      <c r="F107" s="311" t="n">
        <v>3</v>
      </c>
      <c r="G107" s="245">
        <f>E107-F107</f>
        <v/>
      </c>
      <c r="H107" s="292" t="inlineStr">
        <is>
          <t>16cut/Fuchsia Shimmer/SS30/Non/062</t>
        </is>
      </c>
      <c r="I107" s="430" t="n"/>
    </row>
    <row r="108" ht="16.5" customHeight="1" thickBot="1" thickTop="1">
      <c r="A108" s="433" t="n"/>
      <c r="B108" s="312" t="inlineStr">
        <is>
          <t>SS34</t>
        </is>
      </c>
      <c r="C108" s="312" t="n">
        <v>144</v>
      </c>
      <c r="D108" s="28" t="n">
        <v>1743</v>
      </c>
      <c r="E108" s="312" t="n">
        <v>119</v>
      </c>
      <c r="F108" s="312" t="n"/>
      <c r="G108" s="246">
        <f>E108-F108</f>
        <v/>
      </c>
      <c r="H108" s="295" t="inlineStr">
        <is>
          <t>16cut/Fuchsia Shimmer/SS34/Non/062</t>
        </is>
      </c>
      <c r="I108" s="432" t="n"/>
    </row>
    <row r="109" ht="15.75" customHeight="1" thickTop="1">
      <c r="A109" s="161" t="n"/>
      <c r="B109" s="161" t="n"/>
      <c r="C109" s="161" t="n"/>
      <c r="D109" s="161" t="n"/>
      <c r="E109" s="161" t="n"/>
      <c r="F109" s="161" t="n"/>
      <c r="G109" s="161" t="n"/>
      <c r="I109" s="161" t="n"/>
    </row>
    <row r="110">
      <c r="A110" s="161" t="n"/>
      <c r="B110" s="161" t="n"/>
      <c r="C110" s="161" t="n"/>
      <c r="D110" s="161" t="n"/>
      <c r="E110" s="161" t="n"/>
      <c r="F110" s="161" t="n"/>
      <c r="G110" s="161" t="n"/>
      <c r="I110" s="161" t="n"/>
    </row>
    <row r="111">
      <c r="A111" s="161" t="n"/>
      <c r="B111" s="161" t="n"/>
      <c r="C111" s="161" t="n"/>
      <c r="D111" s="161" t="n"/>
      <c r="E111" s="161" t="n"/>
      <c r="F111" s="161" t="n"/>
      <c r="G111" s="161" t="n"/>
      <c r="I111" s="161" t="n"/>
    </row>
    <row r="112" ht="16.5" customHeight="1">
      <c r="A112" s="161" t="n"/>
      <c r="B112" s="161" t="n"/>
      <c r="C112" s="161" t="n"/>
      <c r="D112" s="161" t="n"/>
      <c r="E112" s="161" t="n"/>
      <c r="F112" s="161" t="n"/>
      <c r="G112" s="161" t="n"/>
      <c r="I112" s="161" t="n"/>
    </row>
  </sheetData>
  <mergeCells count="61">
    <mergeCell ref="I92:I94"/>
    <mergeCell ref="I83:I85"/>
    <mergeCell ref="A29:A31"/>
    <mergeCell ref="A47:A49"/>
    <mergeCell ref="I38:I40"/>
    <mergeCell ref="I98:I100"/>
    <mergeCell ref="A32:A34"/>
    <mergeCell ref="A38:A40"/>
    <mergeCell ref="I29:I31"/>
    <mergeCell ref="I101:I104"/>
    <mergeCell ref="A71:A73"/>
    <mergeCell ref="A68:A70"/>
    <mergeCell ref="A62:A64"/>
    <mergeCell ref="A44:A46"/>
    <mergeCell ref="A53:A55"/>
    <mergeCell ref="A59:A61"/>
    <mergeCell ref="A35:A37"/>
    <mergeCell ref="A14:A22"/>
    <mergeCell ref="I59:I61"/>
    <mergeCell ref="A27:A28"/>
    <mergeCell ref="I14:I22"/>
    <mergeCell ref="I35:I37"/>
    <mergeCell ref="I44:I46"/>
    <mergeCell ref="I50:I52"/>
    <mergeCell ref="A105:A108"/>
    <mergeCell ref="I65:I67"/>
    <mergeCell ref="A92:A94"/>
    <mergeCell ref="A77:A79"/>
    <mergeCell ref="I80:I82"/>
    <mergeCell ref="A98:A100"/>
    <mergeCell ref="I89:I91"/>
    <mergeCell ref="A1:D1"/>
    <mergeCell ref="A101:A104"/>
    <mergeCell ref="A83:A85"/>
    <mergeCell ref="I74:I76"/>
    <mergeCell ref="A23:A26"/>
    <mergeCell ref="I23:I26"/>
    <mergeCell ref="I86:I88"/>
    <mergeCell ref="I77:I79"/>
    <mergeCell ref="I95:I97"/>
    <mergeCell ref="I3:I12"/>
    <mergeCell ref="A3:A12"/>
    <mergeCell ref="A65:A67"/>
    <mergeCell ref="I47:I49"/>
    <mergeCell ref="A41:A43"/>
    <mergeCell ref="A50:A52"/>
    <mergeCell ref="I41:I43"/>
    <mergeCell ref="I32:I34"/>
    <mergeCell ref="I62:I64"/>
    <mergeCell ref="I56:I58"/>
    <mergeCell ref="A74:A76"/>
    <mergeCell ref="I53:I55"/>
    <mergeCell ref="A86:A88"/>
    <mergeCell ref="I105:I108"/>
    <mergeCell ref="A80:A82"/>
    <mergeCell ref="A95:A97"/>
    <mergeCell ref="I68:I70"/>
    <mergeCell ref="A89:A91"/>
    <mergeCell ref="I71:I73"/>
    <mergeCell ref="I27:I28"/>
    <mergeCell ref="A56:A58"/>
  </mergeCells>
  <pageMargins left="0.7086614173228347" right="0.7086614173228347" top="0.7480314960629921" bottom="0.7480314960629921" header="0.3149606299212598" footer="0.3149606299212598"/>
  <pageSetup orientation="portrait" paperSize="9" scale="85" fitToHeight="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2026-07-07T03:45:45Z</dcterms:modified>
  <cp:lastModifiedBy>Alexandr</cp:lastModifiedBy>
  <cp:lastPrinted>2026-04-22T12:43:34Z</cp:lastPrinted>
</cp:coreProperties>
</file>