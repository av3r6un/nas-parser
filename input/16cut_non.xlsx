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nas_parser\input\"/>
    </mc:Choice>
  </mc:AlternateContent>
  <xr:revisionPtr revIDLastSave="0" documentId="8_{1DE57A5A-76C6-4BA8-A1AF-60A328CF6BDE}" xr6:coauthVersionLast="45" xr6:coauthVersionMax="45" xr10:uidLastSave="{00000000-0000-0000-0000-000000000000}"/>
  <bookViews>
    <workbookView xWindow="-120" yWindow="-120" windowWidth="29040" windowHeight="15720" xr2:uid="{E8E3B100-CE10-48A1-9874-312BB4104186}"/>
  </bookViews>
  <sheets>
    <sheet name="16 граней холодные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108" i="1" l="1"/>
  <c r="G107" i="1"/>
  <c r="G106" i="1"/>
  <c r="G105" i="1"/>
  <c r="G104" i="1"/>
  <c r="F104" i="1"/>
  <c r="F103" i="1"/>
  <c r="G103" i="1" s="1"/>
  <c r="E102" i="1"/>
  <c r="G102" i="1" s="1"/>
  <c r="E101" i="1"/>
  <c r="G101" i="1" s="1"/>
  <c r="F100" i="1"/>
  <c r="G100" i="1" s="1"/>
  <c r="F99" i="1"/>
  <c r="G99" i="1" s="1"/>
  <c r="G98" i="1"/>
  <c r="F98" i="1"/>
  <c r="F97" i="1"/>
  <c r="G97" i="1" s="1"/>
  <c r="F96" i="1"/>
  <c r="G96" i="1" s="1"/>
  <c r="F95" i="1"/>
  <c r="G95" i="1" s="1"/>
  <c r="G94" i="1"/>
  <c r="G93" i="1"/>
  <c r="G92" i="1"/>
  <c r="G91" i="1"/>
  <c r="G90" i="1"/>
  <c r="F89" i="1"/>
  <c r="G89" i="1" s="1"/>
  <c r="G88" i="1"/>
  <c r="F88" i="1"/>
  <c r="F87" i="1"/>
  <c r="G87" i="1" s="1"/>
  <c r="F86" i="1"/>
  <c r="G86" i="1" s="1"/>
  <c r="G85" i="1"/>
  <c r="F85" i="1"/>
  <c r="F84" i="1"/>
  <c r="G84" i="1" s="1"/>
  <c r="F83" i="1"/>
  <c r="G83" i="1" s="1"/>
  <c r="G82" i="1"/>
  <c r="F82" i="1"/>
  <c r="F81" i="1"/>
  <c r="G81" i="1" s="1"/>
  <c r="G79" i="1"/>
  <c r="G78" i="1"/>
  <c r="G77" i="1"/>
  <c r="G76" i="1"/>
  <c r="G75" i="1"/>
  <c r="G74" i="1"/>
  <c r="G73" i="1"/>
  <c r="G72" i="1"/>
  <c r="G71" i="1"/>
  <c r="G70" i="1"/>
  <c r="G69" i="1"/>
  <c r="G68" i="1"/>
  <c r="F67" i="1"/>
  <c r="G67" i="1" s="1"/>
  <c r="G66" i="1"/>
  <c r="F66" i="1"/>
  <c r="G65" i="1"/>
  <c r="G64" i="1"/>
  <c r="G63" i="1"/>
  <c r="G62" i="1"/>
  <c r="G61" i="1"/>
  <c r="F61" i="1"/>
  <c r="F60" i="1"/>
  <c r="G60" i="1" s="1"/>
  <c r="F59" i="1"/>
  <c r="G59" i="1" s="1"/>
  <c r="G58" i="1"/>
  <c r="F58" i="1"/>
  <c r="F57" i="1"/>
  <c r="G57" i="1" s="1"/>
  <c r="F56" i="1"/>
  <c r="G56" i="1" s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F43" i="1"/>
  <c r="F42" i="1"/>
  <c r="G42" i="1" s="1"/>
  <c r="F41" i="1"/>
  <c r="G41" i="1" s="1"/>
  <c r="G40" i="1"/>
  <c r="G39" i="1"/>
  <c r="G38" i="1"/>
  <c r="G37" i="1"/>
  <c r="G36" i="1"/>
  <c r="G35" i="1"/>
  <c r="G34" i="1"/>
  <c r="G33" i="1"/>
  <c r="G32" i="1"/>
  <c r="G31" i="1"/>
  <c r="F30" i="1"/>
  <c r="G30" i="1" s="1"/>
  <c r="G29" i="1"/>
  <c r="E29" i="1"/>
  <c r="E28" i="1"/>
  <c r="G28" i="1" s="1"/>
  <c r="E27" i="1"/>
  <c r="G27" i="1" s="1"/>
  <c r="G26" i="1"/>
  <c r="F25" i="1"/>
  <c r="E25" i="1"/>
  <c r="G25" i="1" s="1"/>
  <c r="F24" i="1"/>
  <c r="E24" i="1"/>
  <c r="G24" i="1" s="1"/>
  <c r="F23" i="1"/>
  <c r="G23" i="1" s="1"/>
  <c r="G22" i="1"/>
  <c r="E22" i="1"/>
  <c r="F21" i="1"/>
  <c r="E21" i="1"/>
  <c r="G21" i="1" s="1"/>
  <c r="F20" i="1"/>
  <c r="E20" i="1"/>
  <c r="G20" i="1" s="1"/>
  <c r="F19" i="1"/>
  <c r="G19" i="1" s="1"/>
  <c r="E19" i="1"/>
  <c r="F18" i="1"/>
  <c r="G18" i="1" s="1"/>
  <c r="E18" i="1"/>
  <c r="F17" i="1"/>
  <c r="E17" i="1"/>
  <c r="G17" i="1" s="1"/>
  <c r="E16" i="1"/>
  <c r="G16" i="1" s="1"/>
  <c r="E15" i="1"/>
  <c r="G15" i="1" s="1"/>
  <c r="G14" i="1"/>
  <c r="E14" i="1"/>
  <c r="G13" i="1"/>
  <c r="G12" i="1"/>
  <c r="G11" i="1"/>
  <c r="E10" i="1"/>
  <c r="G10" i="1" s="1"/>
  <c r="F9" i="1"/>
  <c r="E9" i="1"/>
  <c r="G9" i="1" s="1"/>
  <c r="F8" i="1"/>
  <c r="E8" i="1"/>
  <c r="G8" i="1" s="1"/>
  <c r="F7" i="1"/>
  <c r="E7" i="1"/>
  <c r="G7" i="1" s="1"/>
  <c r="F6" i="1"/>
  <c r="E6" i="1"/>
  <c r="G6" i="1" s="1"/>
  <c r="F5" i="1"/>
  <c r="E5" i="1"/>
  <c r="G5" i="1" s="1"/>
  <c r="F4" i="1"/>
  <c r="E4" i="1"/>
  <c r="G4" i="1" s="1"/>
  <c r="E3" i="1"/>
  <c r="G3" i="1" s="1"/>
</calcChain>
</file>

<file path=xl/sharedStrings.xml><?xml version="1.0" encoding="utf-8"?>
<sst xmlns="http://schemas.openxmlformats.org/spreadsheetml/2006/main" count="177" uniqueCount="81">
  <si>
    <t>16 граней холодная фиксация</t>
  </si>
  <si>
    <t>цвет</t>
  </si>
  <si>
    <t>размер</t>
  </si>
  <si>
    <t>штук в пачке</t>
  </si>
  <si>
    <t>цена продажи в руб</t>
  </si>
  <si>
    <t>всего шт пришло</t>
  </si>
  <si>
    <t>продано</t>
  </si>
  <si>
    <t>остаток на складе</t>
  </si>
  <si>
    <t>код цвета</t>
  </si>
  <si>
    <t>CRYSTAL</t>
  </si>
  <si>
    <t>SS6</t>
  </si>
  <si>
    <t>001</t>
  </si>
  <si>
    <t>SS8</t>
  </si>
  <si>
    <t>SS10</t>
  </si>
  <si>
    <t>SS12</t>
  </si>
  <si>
    <t>SS16</t>
  </si>
  <si>
    <t>SS20</t>
  </si>
  <si>
    <t>SS30</t>
  </si>
  <si>
    <t>SS34</t>
  </si>
  <si>
    <t>SS40</t>
  </si>
  <si>
    <t>SS48</t>
  </si>
  <si>
    <t>Crystal AB классические</t>
  </si>
  <si>
    <t>001+</t>
  </si>
  <si>
    <t>NEW AB</t>
  </si>
  <si>
    <t>112</t>
  </si>
  <si>
    <t>JET</t>
  </si>
  <si>
    <t>002</t>
  </si>
  <si>
    <t>JONQUIL</t>
  </si>
  <si>
    <t>007</t>
  </si>
  <si>
    <t>SMOKDE TOPAZ</t>
  </si>
  <si>
    <t>009</t>
  </si>
  <si>
    <t>LCT</t>
  </si>
  <si>
    <t>010</t>
  </si>
  <si>
    <t>BLACK DIAMOND</t>
  </si>
  <si>
    <t>021</t>
  </si>
  <si>
    <t>LT SAPPHIRE</t>
  </si>
  <si>
    <t>011</t>
  </si>
  <si>
    <t>SAPPHIRE</t>
  </si>
  <si>
    <t>013</t>
  </si>
  <si>
    <t>MONTANA</t>
  </si>
  <si>
    <t>018</t>
  </si>
  <si>
    <t>CAPRI BLUE</t>
  </si>
  <si>
    <t>017</t>
  </si>
  <si>
    <t>BLUE ZIRCON</t>
  </si>
  <si>
    <t>015</t>
  </si>
  <si>
    <t>INDICOLITE</t>
  </si>
  <si>
    <t>014</t>
  </si>
  <si>
    <t>AQUAMARINE</t>
  </si>
  <si>
    <t>016</t>
  </si>
  <si>
    <t>EMERALD</t>
  </si>
  <si>
    <t>026</t>
  </si>
  <si>
    <t>LT PERIDOT</t>
  </si>
  <si>
    <t>024</t>
  </si>
  <si>
    <t>OLIVINE</t>
  </si>
  <si>
    <t>027</t>
  </si>
  <si>
    <t>TANZANITE</t>
  </si>
  <si>
    <t>028</t>
  </si>
  <si>
    <t>AMETHYST</t>
  </si>
  <si>
    <t>023</t>
  </si>
  <si>
    <t>LT PEACH</t>
  </si>
  <si>
    <t>029</t>
  </si>
  <si>
    <t>CITRINE</t>
  </si>
  <si>
    <t>035</t>
  </si>
  <si>
    <t>ORANGE (Hyacinth)</t>
  </si>
  <si>
    <t>031</t>
  </si>
  <si>
    <t>LT SIAM</t>
  </si>
  <si>
    <t>033+</t>
  </si>
  <si>
    <t>SIAM</t>
  </si>
  <si>
    <t>033</t>
  </si>
  <si>
    <t>GARNET (Dark Siam)</t>
  </si>
  <si>
    <t>034</t>
  </si>
  <si>
    <t>ROSE</t>
  </si>
  <si>
    <t>036</t>
  </si>
  <si>
    <t>PINK (LT ROSE)</t>
  </si>
  <si>
    <t>038</t>
  </si>
  <si>
    <t>FUCHSIA</t>
  </si>
  <si>
    <t>037</t>
  </si>
  <si>
    <t>GOLDEN SHADOW (CHAMPAGNE)</t>
  </si>
  <si>
    <t>052</t>
  </si>
  <si>
    <t>SUNSHINE</t>
  </si>
  <si>
    <t>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</si>
</sst>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2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6"/>
      <color theme="1"/>
      <name val="Calibri"/>
      <family val="2"/>
      <charset val="204"/>
      <scheme val="minor"/>
    </font>
    <font>
      <sz val="11"/>
      <name val="Times New Roman"/>
      <family val="1"/>
      <charset val="204"/>
    </font>
    <font>
      <sz val="11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4">
    <xf numFmtId="0" fontId="0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29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5" fillId="0" borderId="4" xfId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49" fontId="6" fillId="0" borderId="6" xfId="0" applyNumberFormat="1" applyFont="1" applyBorder="1" applyAlignment="1">
      <alignment horizontal="center" vertical="center"/>
    </xf>
    <xf numFmtId="0" fontId="5" fillId="0" borderId="7" xfId="1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1" fontId="6" fillId="0" borderId="8" xfId="0" applyNumberFormat="1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/>
    </xf>
    <xf numFmtId="0" fontId="5" fillId="0" borderId="8" xfId="2" applyFont="1" applyBorder="1" applyAlignment="1">
      <alignment horizontal="center" vertical="center"/>
    </xf>
    <xf numFmtId="0" fontId="5" fillId="0" borderId="8" xfId="3" applyFont="1" applyBorder="1" applyAlignment="1">
      <alignment horizontal="center" vertical="center"/>
    </xf>
    <xf numFmtId="0" fontId="5" fillId="0" borderId="8" xfId="4" applyFont="1" applyBorder="1" applyAlignment="1">
      <alignment horizontal="center" vertical="center"/>
    </xf>
    <xf numFmtId="0" fontId="5" fillId="0" borderId="8" xfId="5" applyFont="1" applyBorder="1" applyAlignment="1">
      <alignment horizontal="center" vertical="center"/>
    </xf>
    <xf numFmtId="0" fontId="5" fillId="0" borderId="9" xfId="1" applyFont="1" applyBorder="1" applyAlignment="1">
      <alignment horizontal="center" vertical="center"/>
    </xf>
    <xf numFmtId="0" fontId="5" fillId="0" borderId="2" xfId="2" applyFont="1" applyBorder="1" applyAlignment="1">
      <alignment horizontal="center" vertical="center"/>
    </xf>
    <xf numFmtId="1" fontId="6" fillId="0" borderId="2" xfId="0" applyNumberFormat="1" applyFont="1" applyBorder="1" applyAlignment="1">
      <alignment horizontal="center" vertical="center"/>
    </xf>
    <xf numFmtId="0" fontId="5" fillId="0" borderId="2" xfId="3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5" fillId="0" borderId="6" xfId="1" applyFont="1" applyBorder="1" applyAlignment="1">
      <alignment horizontal="center" vertical="center" wrapText="1"/>
    </xf>
    <xf numFmtId="0" fontId="5" fillId="0" borderId="6" xfId="2" applyFont="1" applyBorder="1" applyAlignment="1">
      <alignment horizontal="center" vertical="center"/>
    </xf>
    <xf numFmtId="1" fontId="6" fillId="0" borderId="4" xfId="0" applyNumberFormat="1" applyFont="1" applyBorder="1" applyAlignment="1">
      <alignment horizontal="center" vertical="center"/>
    </xf>
    <xf numFmtId="0" fontId="5" fillId="0" borderId="6" xfId="3" applyFont="1" applyBorder="1" applyAlignment="1">
      <alignment horizontal="center" vertical="center"/>
    </xf>
    <xf numFmtId="49" fontId="6" fillId="0" borderId="6" xfId="0" applyNumberFormat="1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 wrapText="1"/>
    </xf>
    <xf numFmtId="0" fontId="5" fillId="0" borderId="5" xfId="3" applyFont="1" applyBorder="1" applyAlignment="1">
      <alignment horizontal="center" vertical="center"/>
    </xf>
    <xf numFmtId="0" fontId="5" fillId="0" borderId="7" xfId="1" applyFont="1" applyBorder="1" applyAlignment="1">
      <alignment horizontal="center" vertical="center" wrapText="1"/>
    </xf>
    <xf numFmtId="0" fontId="5" fillId="0" borderId="10" xfId="2" applyFont="1" applyBorder="1" applyAlignment="1">
      <alignment horizontal="center" vertical="center"/>
    </xf>
    <xf numFmtId="0" fontId="5" fillId="0" borderId="9" xfId="1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0" fontId="5" fillId="2" borderId="10" xfId="6" applyFont="1" applyFill="1" applyBorder="1" applyAlignment="1">
      <alignment horizontal="center" vertical="center"/>
    </xf>
    <xf numFmtId="1" fontId="6" fillId="0" borderId="10" xfId="0" applyNumberFormat="1" applyFont="1" applyBorder="1" applyAlignment="1">
      <alignment horizontal="center" vertical="center"/>
    </xf>
    <xf numFmtId="0" fontId="5" fillId="0" borderId="10" xfId="3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5" fillId="2" borderId="3" xfId="6" applyFont="1" applyFill="1" applyBorder="1" applyAlignment="1">
      <alignment horizontal="center" vertical="center"/>
    </xf>
    <xf numFmtId="1" fontId="6" fillId="0" borderId="3" xfId="0" applyNumberFormat="1" applyFont="1" applyBorder="1" applyAlignment="1">
      <alignment horizontal="center" vertical="center"/>
    </xf>
    <xf numFmtId="0" fontId="5" fillId="0" borderId="3" xfId="3" applyFont="1" applyBorder="1" applyAlignment="1">
      <alignment horizontal="center" vertical="center"/>
    </xf>
    <xf numFmtId="0" fontId="5" fillId="2" borderId="8" xfId="6" applyFont="1" applyFill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5" fillId="2" borderId="2" xfId="6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0" xfId="7" applyFont="1" applyBorder="1" applyAlignment="1">
      <alignment horizontal="center" vertical="center"/>
    </xf>
    <xf numFmtId="0" fontId="5" fillId="0" borderId="8" xfId="8" applyFont="1" applyBorder="1" applyAlignment="1">
      <alignment horizontal="center" vertical="center"/>
    </xf>
    <xf numFmtId="0" fontId="5" fillId="0" borderId="2" xfId="9" applyFont="1" applyBorder="1" applyAlignment="1">
      <alignment horizontal="center" vertical="center"/>
    </xf>
    <xf numFmtId="0" fontId="5" fillId="0" borderId="10" xfId="10" applyFont="1" applyBorder="1" applyAlignment="1">
      <alignment horizontal="center" vertical="center"/>
    </xf>
    <xf numFmtId="0" fontId="5" fillId="0" borderId="8" xfId="10" applyFont="1" applyBorder="1" applyAlignment="1">
      <alignment horizontal="center" vertical="center"/>
    </xf>
    <xf numFmtId="0" fontId="5" fillId="0" borderId="3" xfId="10" applyFont="1" applyBorder="1" applyAlignment="1">
      <alignment horizontal="center" vertical="center"/>
    </xf>
    <xf numFmtId="0" fontId="5" fillId="0" borderId="5" xfId="11" applyFont="1" applyBorder="1" applyAlignment="1">
      <alignment horizontal="center" vertical="center"/>
    </xf>
    <xf numFmtId="0" fontId="5" fillId="0" borderId="8" xfId="12" applyFont="1" applyBorder="1" applyAlignment="1">
      <alignment horizontal="center" vertical="center"/>
    </xf>
    <xf numFmtId="0" fontId="5" fillId="0" borderId="3" xfId="11" applyFont="1" applyBorder="1" applyAlignment="1">
      <alignment horizontal="center" vertical="center"/>
    </xf>
    <xf numFmtId="0" fontId="5" fillId="0" borderId="5" xfId="13" applyFont="1" applyBorder="1" applyAlignment="1">
      <alignment horizontal="center" vertical="center"/>
    </xf>
    <xf numFmtId="0" fontId="5" fillId="0" borderId="5" xfId="13" applyFont="1" applyBorder="1" applyAlignment="1">
      <alignment horizontal="center" vertical="center"/>
    </xf>
    <xf numFmtId="0" fontId="5" fillId="0" borderId="8" xfId="13" applyFont="1" applyBorder="1" applyAlignment="1">
      <alignment horizontal="center" vertical="center"/>
    </xf>
    <xf numFmtId="0" fontId="5" fillId="0" borderId="8" xfId="14" applyFont="1" applyBorder="1" applyAlignment="1">
      <alignment horizontal="center" vertical="center"/>
    </xf>
    <xf numFmtId="0" fontId="5" fillId="0" borderId="2" xfId="13" applyFont="1" applyBorder="1" applyAlignment="1">
      <alignment horizontal="center" vertical="center"/>
    </xf>
    <xf numFmtId="0" fontId="5" fillId="0" borderId="2" xfId="13" applyFont="1" applyBorder="1" applyAlignment="1">
      <alignment horizontal="center" vertical="center"/>
    </xf>
    <xf numFmtId="0" fontId="5" fillId="0" borderId="10" xfId="13" applyFont="1" applyBorder="1" applyAlignment="1">
      <alignment horizontal="center" vertical="center"/>
    </xf>
    <xf numFmtId="0" fontId="5" fillId="0" borderId="10" xfId="15" applyFont="1" applyBorder="1" applyAlignment="1">
      <alignment horizontal="center" vertical="center"/>
    </xf>
    <xf numFmtId="0" fontId="5" fillId="0" borderId="8" xfId="15" applyFont="1" applyBorder="1" applyAlignment="1">
      <alignment horizontal="center" vertical="center"/>
    </xf>
    <xf numFmtId="0" fontId="5" fillId="0" borderId="3" xfId="13" applyFont="1" applyBorder="1" applyAlignment="1">
      <alignment horizontal="center" vertical="center"/>
    </xf>
    <xf numFmtId="0" fontId="5" fillId="0" borderId="3" xfId="15" applyFont="1" applyBorder="1" applyAlignment="1">
      <alignment horizontal="center" vertical="center"/>
    </xf>
    <xf numFmtId="0" fontId="5" fillId="0" borderId="5" xfId="16" applyFont="1" applyBorder="1" applyAlignment="1">
      <alignment horizontal="center" vertical="center"/>
    </xf>
    <xf numFmtId="0" fontId="5" fillId="0" borderId="5" xfId="17" applyFont="1" applyBorder="1" applyAlignment="1">
      <alignment horizontal="center" vertical="center"/>
    </xf>
    <xf numFmtId="0" fontId="5" fillId="0" borderId="8" xfId="16" applyFont="1" applyBorder="1" applyAlignment="1">
      <alignment horizontal="center" vertical="center"/>
    </xf>
    <xf numFmtId="0" fontId="5" fillId="0" borderId="8" xfId="17" applyFont="1" applyBorder="1" applyAlignment="1">
      <alignment horizontal="center" vertical="center"/>
    </xf>
    <xf numFmtId="0" fontId="5" fillId="0" borderId="2" xfId="16" applyFont="1" applyBorder="1" applyAlignment="1">
      <alignment horizontal="center" vertical="center"/>
    </xf>
    <xf numFmtId="0" fontId="5" fillId="0" borderId="2" xfId="17" applyFont="1" applyBorder="1" applyAlignment="1">
      <alignment horizontal="center" vertical="center"/>
    </xf>
    <xf numFmtId="0" fontId="5" fillId="0" borderId="10" xfId="18" applyFont="1" applyBorder="1" applyAlignment="1">
      <alignment horizontal="center" vertical="center"/>
    </xf>
    <xf numFmtId="0" fontId="5" fillId="0" borderId="8" xfId="18" applyFont="1" applyBorder="1" applyAlignment="1">
      <alignment horizontal="center" vertical="center"/>
    </xf>
    <xf numFmtId="0" fontId="5" fillId="0" borderId="3" xfId="19" applyFont="1" applyBorder="1" applyAlignment="1">
      <alignment horizontal="center" vertical="center"/>
    </xf>
    <xf numFmtId="0" fontId="5" fillId="0" borderId="5" xfId="19" applyFont="1" applyBorder="1" applyAlignment="1">
      <alignment horizontal="center" vertical="center"/>
    </xf>
    <xf numFmtId="0" fontId="5" fillId="0" borderId="8" xfId="19" applyFont="1" applyBorder="1" applyAlignment="1">
      <alignment horizontal="center" vertical="center"/>
    </xf>
    <xf numFmtId="0" fontId="5" fillId="0" borderId="2" xfId="19" applyFont="1" applyBorder="1" applyAlignment="1">
      <alignment horizontal="center" vertical="center"/>
    </xf>
    <xf numFmtId="0" fontId="5" fillId="0" borderId="10" xfId="20" applyFont="1" applyBorder="1" applyAlignment="1">
      <alignment horizontal="center" vertical="center"/>
    </xf>
    <xf numFmtId="0" fontId="5" fillId="0" borderId="8" xfId="21" applyFont="1" applyBorder="1" applyAlignment="1">
      <alignment horizontal="center" vertical="center"/>
    </xf>
    <xf numFmtId="0" fontId="5" fillId="0" borderId="2" xfId="22" applyFont="1" applyBorder="1" applyAlignment="1">
      <alignment horizontal="center" vertical="center"/>
    </xf>
    <xf numFmtId="0" fontId="5" fillId="0" borderId="5" xfId="23" applyFont="1" applyBorder="1" applyAlignment="1">
      <alignment horizontal="center" vertical="center"/>
    </xf>
    <xf numFmtId="0" fontId="5" fillId="0" borderId="5" xfId="23" applyFont="1" applyBorder="1" applyAlignment="1">
      <alignment horizontal="center" vertical="center"/>
    </xf>
    <xf numFmtId="0" fontId="5" fillId="0" borderId="8" xfId="23" applyFont="1" applyBorder="1" applyAlignment="1">
      <alignment horizontal="center" vertical="center"/>
    </xf>
    <xf numFmtId="0" fontId="5" fillId="0" borderId="8" xfId="23" applyFont="1" applyBorder="1" applyAlignment="1">
      <alignment horizontal="center" vertical="center"/>
    </xf>
    <xf numFmtId="0" fontId="5" fillId="0" borderId="2" xfId="23" applyFont="1" applyBorder="1" applyAlignment="1">
      <alignment horizontal="center" vertical="center"/>
    </xf>
    <xf numFmtId="0" fontId="5" fillId="0" borderId="2" xfId="23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23" applyFont="1" applyBorder="1" applyAlignment="1">
      <alignment horizontal="center" vertical="center"/>
    </xf>
    <xf numFmtId="0" fontId="5" fillId="0" borderId="7" xfId="23" applyFont="1" applyBorder="1" applyAlignment="1">
      <alignment horizontal="center" vertical="center"/>
    </xf>
    <xf numFmtId="0" fontId="5" fillId="0" borderId="9" xfId="23" applyFont="1" applyBorder="1" applyAlignment="1">
      <alignment horizontal="center" vertical="center"/>
    </xf>
    <xf numFmtId="0" fontId="5" fillId="2" borderId="10" xfId="24" applyFont="1" applyFill="1" applyBorder="1" applyAlignment="1">
      <alignment horizontal="center" vertical="center"/>
    </xf>
    <xf numFmtId="0" fontId="5" fillId="2" borderId="8" xfId="25" applyFont="1" applyFill="1" applyBorder="1" applyAlignment="1">
      <alignment horizontal="center" vertical="center"/>
    </xf>
    <xf numFmtId="0" fontId="5" fillId="2" borderId="3" xfId="26" applyFont="1" applyFill="1" applyBorder="1" applyAlignment="1">
      <alignment horizontal="center" vertical="center"/>
    </xf>
    <xf numFmtId="0" fontId="5" fillId="2" borderId="5" xfId="26" applyFont="1" applyFill="1" applyBorder="1" applyAlignment="1">
      <alignment horizontal="center" vertical="center"/>
    </xf>
    <xf numFmtId="0" fontId="5" fillId="0" borderId="3" xfId="27" applyFont="1" applyBorder="1" applyAlignment="1">
      <alignment horizontal="center" vertical="center"/>
    </xf>
    <xf numFmtId="0" fontId="5" fillId="0" borderId="2" xfId="27" applyFont="1" applyBorder="1" applyAlignment="1">
      <alignment horizontal="center" vertical="center"/>
    </xf>
    <xf numFmtId="0" fontId="5" fillId="0" borderId="5" xfId="28" applyFont="1" applyBorder="1" applyAlignment="1">
      <alignment horizontal="center" vertical="center"/>
    </xf>
    <xf numFmtId="0" fontId="5" fillId="0" borderId="8" xfId="29" applyFont="1" applyBorder="1" applyAlignment="1">
      <alignment horizontal="center" vertical="center"/>
    </xf>
    <xf numFmtId="0" fontId="5" fillId="0" borderId="2" xfId="30" applyFont="1" applyBorder="1" applyAlignment="1">
      <alignment horizontal="center" vertical="center"/>
    </xf>
    <xf numFmtId="0" fontId="5" fillId="0" borderId="5" xfId="30" applyFont="1" applyBorder="1" applyAlignment="1">
      <alignment horizontal="center" vertical="center"/>
    </xf>
    <xf numFmtId="0" fontId="5" fillId="0" borderId="8" xfId="30" applyFont="1" applyBorder="1" applyAlignment="1">
      <alignment horizontal="center" vertical="center"/>
    </xf>
    <xf numFmtId="0" fontId="5" fillId="0" borderId="10" xfId="31" applyFont="1" applyBorder="1" applyAlignment="1">
      <alignment horizontal="center" vertical="center"/>
    </xf>
    <xf numFmtId="0" fontId="5" fillId="0" borderId="8" xfId="32" applyFont="1" applyBorder="1" applyAlignment="1">
      <alignment horizontal="center" vertical="center"/>
    </xf>
    <xf numFmtId="0" fontId="5" fillId="0" borderId="3" xfId="33" applyFont="1" applyBorder="1" applyAlignment="1">
      <alignment horizontal="center" vertical="center"/>
    </xf>
    <xf numFmtId="0" fontId="5" fillId="0" borderId="5" xfId="33" applyFont="1" applyBorder="1" applyAlignment="1">
      <alignment horizontal="center" vertical="center"/>
    </xf>
    <xf numFmtId="0" fontId="5" fillId="0" borderId="8" xfId="33" applyFont="1" applyBorder="1" applyAlignment="1">
      <alignment horizontal="center" vertical="center"/>
    </xf>
    <xf numFmtId="0" fontId="5" fillId="0" borderId="2" xfId="33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/>
  </cellXfs>
  <cellStyles count="34">
    <cellStyle name="Обычный" xfId="0" builtinId="0"/>
    <cellStyle name="Обычный 10" xfId="3" xr:uid="{13428041-8235-45E3-9848-61E8E18B0910}"/>
    <cellStyle name="Обычный 11" xfId="4" xr:uid="{EBD071E7-4E18-4A73-8295-40693570DE8D}"/>
    <cellStyle name="Обычный 13" xfId="2" xr:uid="{D7ADEB45-7BAE-43B8-98C0-8FB5308D2BFC}"/>
    <cellStyle name="Обычный 14" xfId="5" xr:uid="{0025BD9B-7E3E-4171-B74B-5D0772627958}"/>
    <cellStyle name="Обычный 16" xfId="6" xr:uid="{7915212B-81E0-4848-B3E6-9E2D5B418AE1}"/>
    <cellStyle name="Обычный 17" xfId="7" xr:uid="{C7D0514E-DA88-4137-8D7B-05E620E6C9F9}"/>
    <cellStyle name="Обычный 18" xfId="8" xr:uid="{2B8EF961-2625-429D-96E4-67BA8C6AD325}"/>
    <cellStyle name="Обычный 20" xfId="9" xr:uid="{76A81A4C-C087-4D5D-B5A1-461240D191C2}"/>
    <cellStyle name="Обычный 21" xfId="10" xr:uid="{D47FCD9E-00D0-4DCE-A380-29A36A5E01FA}"/>
    <cellStyle name="Обычный 23" xfId="11" xr:uid="{38C1C10B-2757-427E-8FD1-BEE8861F4060}"/>
    <cellStyle name="Обычный 24" xfId="13" xr:uid="{AF517435-AE89-40BB-9DE4-1182347B9455}"/>
    <cellStyle name="Обычный 25" xfId="14" xr:uid="{3144DDD3-04F6-4BAA-BD22-A94342140A98}"/>
    <cellStyle name="Обычный 26" xfId="16" xr:uid="{6D6BB091-99A9-4F12-8EC5-22932E84527E}"/>
    <cellStyle name="Обычный 27" xfId="17" xr:uid="{45B429C3-BA43-4432-9AF2-D339950ED36B}"/>
    <cellStyle name="Обычный 28" xfId="18" xr:uid="{3CF53229-D56F-4D77-9062-A25E83C32AB7}"/>
    <cellStyle name="Обычный 29" xfId="12" xr:uid="{F2A7FCBD-8752-41AE-96DD-9EEFFD0A2236}"/>
    <cellStyle name="Обычный 30" xfId="19" xr:uid="{A5BEE90C-0760-40F5-A581-1721C510AEA3}"/>
    <cellStyle name="Обычный 31" xfId="20" xr:uid="{AFE1EDB2-5E58-4B0E-A698-2CD44F76432A}"/>
    <cellStyle name="Обычный 33" xfId="21" xr:uid="{256080A5-2732-44AE-B069-01CD9C17B2C6}"/>
    <cellStyle name="Обычный 35" xfId="22" xr:uid="{9C692EA3-A4E9-4148-A982-232AC6C9931B}"/>
    <cellStyle name="Обычный 36" xfId="15" xr:uid="{27C34A26-3756-4D3C-B083-A729438903F0}"/>
    <cellStyle name="Обычный 37" xfId="23" xr:uid="{3E7DA627-9AF3-497E-9E3E-472B26CD84F3}"/>
    <cellStyle name="Обычный 39" xfId="24" xr:uid="{57B27771-0688-4558-A21C-3485EBAA6797}"/>
    <cellStyle name="Обычный 40" xfId="25" xr:uid="{A097016A-9C70-41D7-ADA2-B32F8A912775}"/>
    <cellStyle name="Обычный 41" xfId="26" xr:uid="{3CC992C8-779D-4C87-9DF4-DB2B923AD77C}"/>
    <cellStyle name="Обычный 42" xfId="27" xr:uid="{C2EA4E75-F0D6-4FC4-A82D-BD667A1F61B1}"/>
    <cellStyle name="Обычный 43" xfId="28" xr:uid="{14AFC9AB-4D02-4A4B-8EC6-4BA093B3BDBD}"/>
    <cellStyle name="Обычный 44" xfId="29" xr:uid="{B2791001-747C-42E4-BCA2-CFE18A1C9E84}"/>
    <cellStyle name="Обычный 45" xfId="30" xr:uid="{F51CA0AC-21C6-4227-A5B4-DFC6F6F1E86D}"/>
    <cellStyle name="Обычный 47" xfId="31" xr:uid="{4984B3D3-559C-408C-BD47-87C9861EADCE}"/>
    <cellStyle name="Обычный 48" xfId="32" xr:uid="{2B40094F-2C98-4661-86D9-E8C0AE683C96}"/>
    <cellStyle name="Обычный 49" xfId="33" xr:uid="{8D451363-AC48-4E2C-9401-227ECE571D84}"/>
    <cellStyle name="Обычный 9" xfId="1" xr:uid="{9368A5BF-2FF2-45BB-94CB-39BC6B1B202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DD652-B94A-48AA-B18E-25777C0CB5AB}">
  <sheetPr>
    <pageSetUpPr fitToPage="1"/>
  </sheetPr>
  <dimension ref="A1:L112"/>
  <sheetViews>
    <sheetView tabSelected="1" topLeftCell="A86" workbookViewId="0">
      <selection activeCell="F105" sqref="F105"/>
    </sheetView>
  </sheetViews>
  <sheetFormatPr defaultRowHeight="15" x14ac:dyDescent="0.25"/>
  <cols>
    <col min="1" max="1" width="23.5703125" customWidth="1"/>
    <col min="2" max="3" width="7.85546875" customWidth="1"/>
    <col min="4" max="4" width="9.5703125" customWidth="1"/>
    <col min="5" max="5" width="14" customWidth="1"/>
    <col min="6" max="6" width="9.7109375" customWidth="1"/>
    <col min="7" max="7" width="11.5703125" customWidth="1"/>
    <col min="8" max="8" width="11" customWidth="1"/>
    <col min="9" max="9" width="19.7109375" customWidth="1"/>
    <col min="10" max="12" width="11.28515625" customWidth="1"/>
    <col min="13" max="13" width="9.85546875" customWidth="1"/>
  </cols>
  <sheetData>
    <row r="1" spans="1:12" ht="18.75" customHeight="1" x14ac:dyDescent="0.25">
      <c r="A1" s="1" t="s">
        <v>0</v>
      </c>
      <c r="B1" s="1"/>
      <c r="C1" s="1"/>
      <c r="D1" s="1"/>
      <c r="E1" s="2"/>
      <c r="F1" s="2"/>
      <c r="G1" s="2"/>
      <c r="H1" s="3"/>
      <c r="I1" s="4"/>
      <c r="J1" s="4"/>
      <c r="K1" s="4"/>
      <c r="L1" s="4"/>
    </row>
    <row r="2" spans="1:12" ht="53.25" customHeight="1" thickBot="1" x14ac:dyDescent="0.3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</row>
    <row r="3" spans="1:12" ht="17.25" customHeight="1" thickTop="1" thickBot="1" x14ac:dyDescent="0.3">
      <c r="A3" s="7" t="s">
        <v>9</v>
      </c>
      <c r="B3" s="8" t="s">
        <v>10</v>
      </c>
      <c r="C3" s="9">
        <v>1440</v>
      </c>
      <c r="D3" s="10">
        <v>590</v>
      </c>
      <c r="E3" s="11">
        <f>25+2+30</f>
        <v>57</v>
      </c>
      <c r="F3" s="11">
        <v>1</v>
      </c>
      <c r="G3" s="11">
        <f>E3-F3</f>
        <v>56</v>
      </c>
      <c r="H3" s="12" t="s">
        <v>11</v>
      </c>
    </row>
    <row r="4" spans="1:12" ht="17.25" customHeight="1" thickTop="1" thickBot="1" x14ac:dyDescent="0.3">
      <c r="A4" s="13"/>
      <c r="B4" s="14" t="s">
        <v>12</v>
      </c>
      <c r="C4" s="14">
        <v>1440</v>
      </c>
      <c r="D4" s="15">
        <v>701</v>
      </c>
      <c r="E4" s="16">
        <f>25+12+28</f>
        <v>65</v>
      </c>
      <c r="F4" s="16">
        <f>1+1</f>
        <v>2</v>
      </c>
      <c r="G4" s="16">
        <f t="shared" ref="G4:G67" si="0">E4-F4</f>
        <v>63</v>
      </c>
      <c r="H4" s="12"/>
    </row>
    <row r="5" spans="1:12" ht="17.25" customHeight="1" thickTop="1" thickBot="1" x14ac:dyDescent="0.3">
      <c r="A5" s="13"/>
      <c r="B5" s="17" t="s">
        <v>13</v>
      </c>
      <c r="C5" s="14">
        <v>1440</v>
      </c>
      <c r="D5" s="15">
        <v>755</v>
      </c>
      <c r="E5" s="16">
        <f>25+9</f>
        <v>34</v>
      </c>
      <c r="F5" s="16">
        <f>1+5</f>
        <v>6</v>
      </c>
      <c r="G5" s="16">
        <f t="shared" si="0"/>
        <v>28</v>
      </c>
      <c r="H5" s="12"/>
    </row>
    <row r="6" spans="1:12" ht="17.25" customHeight="1" thickTop="1" thickBot="1" x14ac:dyDescent="0.3">
      <c r="A6" s="13"/>
      <c r="B6" s="18" t="s">
        <v>14</v>
      </c>
      <c r="C6" s="18">
        <v>1440</v>
      </c>
      <c r="D6" s="15">
        <v>866</v>
      </c>
      <c r="E6" s="16">
        <f>25+2+28</f>
        <v>55</v>
      </c>
      <c r="F6" s="16">
        <f>6+1</f>
        <v>7</v>
      </c>
      <c r="G6" s="16">
        <f t="shared" si="0"/>
        <v>48</v>
      </c>
      <c r="H6" s="12"/>
    </row>
    <row r="7" spans="1:12" ht="16.5" customHeight="1" thickTop="1" thickBot="1" x14ac:dyDescent="0.3">
      <c r="A7" s="13"/>
      <c r="B7" s="19" t="s">
        <v>15</v>
      </c>
      <c r="C7" s="19">
        <v>1440</v>
      </c>
      <c r="D7" s="15">
        <v>866.1875</v>
      </c>
      <c r="E7" s="19">
        <f>17+19+60+100</f>
        <v>196</v>
      </c>
      <c r="F7" s="19">
        <f>1+1+1+1+19+3+2+3+1+6+7+4+1</f>
        <v>50</v>
      </c>
      <c r="G7" s="16">
        <f t="shared" si="0"/>
        <v>146</v>
      </c>
      <c r="H7" s="12"/>
    </row>
    <row r="8" spans="1:12" ht="16.5" thickTop="1" thickBot="1" x14ac:dyDescent="0.3">
      <c r="A8" s="13"/>
      <c r="B8" s="20" t="s">
        <v>16</v>
      </c>
      <c r="C8" s="20">
        <v>1440</v>
      </c>
      <c r="D8" s="15">
        <v>1417.6249999999998</v>
      </c>
      <c r="E8" s="19">
        <f>66+85+90</f>
        <v>241</v>
      </c>
      <c r="F8" s="19">
        <f>2+6+1+3+2+1+1+7+3+3+1</f>
        <v>30</v>
      </c>
      <c r="G8" s="16">
        <f t="shared" si="0"/>
        <v>211</v>
      </c>
      <c r="H8" s="12"/>
    </row>
    <row r="9" spans="1:12" ht="16.5" thickTop="1" thickBot="1" x14ac:dyDescent="0.3">
      <c r="A9" s="13"/>
      <c r="B9" s="21" t="s">
        <v>17</v>
      </c>
      <c r="C9" s="21">
        <v>288</v>
      </c>
      <c r="D9" s="15">
        <v>866.1875</v>
      </c>
      <c r="E9" s="19">
        <f>38+44+40+100</f>
        <v>222</v>
      </c>
      <c r="F9" s="19">
        <f>10+10+1+15+20+3+2+1+1</f>
        <v>63</v>
      </c>
      <c r="G9" s="16">
        <f t="shared" si="0"/>
        <v>159</v>
      </c>
      <c r="H9" s="12"/>
    </row>
    <row r="10" spans="1:12" ht="16.5" thickTop="1" thickBot="1" x14ac:dyDescent="0.3">
      <c r="A10" s="13"/>
      <c r="B10" s="18" t="s">
        <v>18</v>
      </c>
      <c r="C10" s="18">
        <v>144</v>
      </c>
      <c r="D10" s="15">
        <v>1528.125</v>
      </c>
      <c r="E10" s="19">
        <f>88+60</f>
        <v>148</v>
      </c>
      <c r="F10" s="19"/>
      <c r="G10" s="16">
        <f t="shared" si="0"/>
        <v>148</v>
      </c>
      <c r="H10" s="12"/>
    </row>
    <row r="11" spans="1:12" ht="16.5" thickTop="1" thickBot="1" x14ac:dyDescent="0.3">
      <c r="A11" s="13"/>
      <c r="B11" s="18" t="s">
        <v>19</v>
      </c>
      <c r="C11" s="18">
        <v>144</v>
      </c>
      <c r="D11" s="15">
        <v>1087</v>
      </c>
      <c r="E11" s="19">
        <v>6</v>
      </c>
      <c r="F11" s="19"/>
      <c r="G11" s="16">
        <f t="shared" si="0"/>
        <v>6</v>
      </c>
      <c r="H11" s="12"/>
    </row>
    <row r="12" spans="1:12" ht="16.5" thickTop="1" thickBot="1" x14ac:dyDescent="0.3">
      <c r="A12" s="22"/>
      <c r="B12" s="23" t="s">
        <v>20</v>
      </c>
      <c r="C12" s="23">
        <v>144</v>
      </c>
      <c r="D12" s="24">
        <v>1638</v>
      </c>
      <c r="E12" s="25">
        <v>14</v>
      </c>
      <c r="F12" s="25"/>
      <c r="G12" s="26">
        <f t="shared" si="0"/>
        <v>14</v>
      </c>
      <c r="H12" s="12"/>
    </row>
    <row r="13" spans="1:12" ht="31.5" thickTop="1" thickBot="1" x14ac:dyDescent="0.3">
      <c r="A13" s="27" t="s">
        <v>21</v>
      </c>
      <c r="B13" s="28" t="s">
        <v>18</v>
      </c>
      <c r="C13" s="28">
        <v>144</v>
      </c>
      <c r="D13" s="29">
        <v>1149</v>
      </c>
      <c r="E13" s="30">
        <v>6</v>
      </c>
      <c r="F13" s="30"/>
      <c r="G13" s="30">
        <f t="shared" si="0"/>
        <v>6</v>
      </c>
      <c r="H13" s="31" t="s">
        <v>22</v>
      </c>
    </row>
    <row r="14" spans="1:12" ht="16.5" thickTop="1" thickBot="1" x14ac:dyDescent="0.3">
      <c r="A14" s="32" t="s">
        <v>23</v>
      </c>
      <c r="B14" s="8" t="s">
        <v>10</v>
      </c>
      <c r="C14" s="9">
        <v>1440</v>
      </c>
      <c r="D14" s="10">
        <v>855</v>
      </c>
      <c r="E14" s="33">
        <f>35+30</f>
        <v>65</v>
      </c>
      <c r="F14" s="33">
        <v>1</v>
      </c>
      <c r="G14" s="33">
        <f t="shared" si="0"/>
        <v>64</v>
      </c>
      <c r="H14" s="12" t="s">
        <v>24</v>
      </c>
    </row>
    <row r="15" spans="1:12" ht="16.5" thickTop="1" thickBot="1" x14ac:dyDescent="0.3">
      <c r="A15" s="34"/>
      <c r="B15" s="14" t="s">
        <v>12</v>
      </c>
      <c r="C15" s="14">
        <v>1440</v>
      </c>
      <c r="D15" s="15">
        <v>1076</v>
      </c>
      <c r="E15" s="19">
        <f>34+30</f>
        <v>64</v>
      </c>
      <c r="F15" s="19">
        <v>1</v>
      </c>
      <c r="G15" s="19">
        <f t="shared" si="0"/>
        <v>63</v>
      </c>
      <c r="H15" s="12"/>
    </row>
    <row r="16" spans="1:12" ht="16.5" thickTop="1" thickBot="1" x14ac:dyDescent="0.3">
      <c r="A16" s="34"/>
      <c r="B16" s="17" t="s">
        <v>13</v>
      </c>
      <c r="C16" s="14">
        <v>1440</v>
      </c>
      <c r="D16" s="15">
        <v>1076</v>
      </c>
      <c r="E16" s="19">
        <f>25+7+106</f>
        <v>138</v>
      </c>
      <c r="F16" s="19">
        <v>1</v>
      </c>
      <c r="G16" s="19">
        <f t="shared" si="0"/>
        <v>137</v>
      </c>
      <c r="H16" s="12"/>
    </row>
    <row r="17" spans="1:8" ht="16.5" customHeight="1" thickTop="1" thickBot="1" x14ac:dyDescent="0.3">
      <c r="A17" s="34"/>
      <c r="B17" s="35" t="s">
        <v>14</v>
      </c>
      <c r="C17" s="35">
        <v>1440</v>
      </c>
      <c r="D17" s="15">
        <v>1296</v>
      </c>
      <c r="E17" s="19">
        <f>28+27+18+15+60+46</f>
        <v>194</v>
      </c>
      <c r="F17" s="19">
        <f>1+1+1</f>
        <v>3</v>
      </c>
      <c r="G17" s="19">
        <f t="shared" si="0"/>
        <v>191</v>
      </c>
      <c r="H17" s="12"/>
    </row>
    <row r="18" spans="1:8" ht="15.75" customHeight="1" thickTop="1" thickBot="1" x14ac:dyDescent="0.3">
      <c r="A18" s="34"/>
      <c r="B18" s="18" t="s">
        <v>15</v>
      </c>
      <c r="C18" s="18">
        <v>1440</v>
      </c>
      <c r="D18" s="15">
        <v>1241</v>
      </c>
      <c r="E18" s="19">
        <f>81+31+20+50</f>
        <v>182</v>
      </c>
      <c r="F18" s="19">
        <f>2+1+1+1+2+1+2+1+1+2+2+3+2+1+1+1+1+2+1</f>
        <v>28</v>
      </c>
      <c r="G18" s="19">
        <f t="shared" si="0"/>
        <v>154</v>
      </c>
      <c r="H18" s="12"/>
    </row>
    <row r="19" spans="1:8" ht="15.75" customHeight="1" thickTop="1" thickBot="1" x14ac:dyDescent="0.3">
      <c r="A19" s="34"/>
      <c r="B19" s="18" t="s">
        <v>16</v>
      </c>
      <c r="C19" s="18">
        <v>1440</v>
      </c>
      <c r="D19" s="15">
        <v>1793</v>
      </c>
      <c r="E19" s="19">
        <f>103+7+45+210</f>
        <v>365</v>
      </c>
      <c r="F19" s="19">
        <f>1+3+3+1+1+3+1+5+1+3+1+2+20+4+15+2+1+1+1+6+2+1+4+1+2</f>
        <v>85</v>
      </c>
      <c r="G19" s="19">
        <f t="shared" si="0"/>
        <v>280</v>
      </c>
      <c r="H19" s="12"/>
    </row>
    <row r="20" spans="1:8" ht="15.75" customHeight="1" thickTop="1" thickBot="1" x14ac:dyDescent="0.3">
      <c r="A20" s="34"/>
      <c r="B20" s="18" t="s">
        <v>17</v>
      </c>
      <c r="C20" s="18">
        <v>288</v>
      </c>
      <c r="D20" s="15">
        <v>1241</v>
      </c>
      <c r="E20" s="19">
        <f>127+36+50+150</f>
        <v>363</v>
      </c>
      <c r="F20" s="19">
        <f>2+10+1+10+1+1+1+2+1+2+2+20+3+2+1+1+2+2+2+1</f>
        <v>67</v>
      </c>
      <c r="G20" s="19">
        <f t="shared" si="0"/>
        <v>296</v>
      </c>
      <c r="H20" s="12"/>
    </row>
    <row r="21" spans="1:8" ht="15.75" customHeight="1" thickTop="1" thickBot="1" x14ac:dyDescent="0.3">
      <c r="A21" s="34"/>
      <c r="B21" s="18" t="s">
        <v>18</v>
      </c>
      <c r="C21" s="18">
        <v>144</v>
      </c>
      <c r="D21" s="15">
        <v>1572</v>
      </c>
      <c r="E21" s="19">
        <f>41+137+2</f>
        <v>180</v>
      </c>
      <c r="F21" s="19">
        <f>1+15+2+1+1</f>
        <v>20</v>
      </c>
      <c r="G21" s="19">
        <f t="shared" si="0"/>
        <v>160</v>
      </c>
      <c r="H21" s="12"/>
    </row>
    <row r="22" spans="1:8" ht="15.75" customHeight="1" thickTop="1" thickBot="1" x14ac:dyDescent="0.3">
      <c r="A22" s="36"/>
      <c r="B22" s="23" t="s">
        <v>19</v>
      </c>
      <c r="C22" s="23">
        <v>144</v>
      </c>
      <c r="D22" s="24">
        <v>1572</v>
      </c>
      <c r="E22" s="25">
        <f>18+71+3</f>
        <v>92</v>
      </c>
      <c r="F22" s="25">
        <v>15</v>
      </c>
      <c r="G22" s="25">
        <f t="shared" si="0"/>
        <v>77</v>
      </c>
      <c r="H22" s="12"/>
    </row>
    <row r="23" spans="1:8" ht="16.5" thickTop="1" thickBot="1" x14ac:dyDescent="0.3">
      <c r="A23" s="37" t="s">
        <v>25</v>
      </c>
      <c r="B23" s="38" t="s">
        <v>15</v>
      </c>
      <c r="C23" s="38">
        <v>1440</v>
      </c>
      <c r="D23" s="39">
        <v>1113.75</v>
      </c>
      <c r="E23" s="40">
        <v>86</v>
      </c>
      <c r="F23" s="40">
        <f>4+3+2+1+5+3+2+4+1+1</f>
        <v>26</v>
      </c>
      <c r="G23" s="40">
        <f t="shared" si="0"/>
        <v>60</v>
      </c>
      <c r="H23" s="12" t="s">
        <v>26</v>
      </c>
    </row>
    <row r="24" spans="1:8" ht="16.5" thickTop="1" thickBot="1" x14ac:dyDescent="0.3">
      <c r="A24" s="41"/>
      <c r="B24" s="42" t="s">
        <v>16</v>
      </c>
      <c r="C24" s="42">
        <v>1440</v>
      </c>
      <c r="D24" s="43">
        <v>1638.625</v>
      </c>
      <c r="E24" s="44">
        <f>92+14</f>
        <v>106</v>
      </c>
      <c r="F24" s="44">
        <f>4+3+2+5+4+3+6+1+3+3+4</f>
        <v>38</v>
      </c>
      <c r="G24" s="44">
        <f t="shared" si="0"/>
        <v>68</v>
      </c>
      <c r="H24" s="12"/>
    </row>
    <row r="25" spans="1:8" ht="16.5" thickTop="1" thickBot="1" x14ac:dyDescent="0.3">
      <c r="A25" s="41"/>
      <c r="B25" s="45" t="s">
        <v>17</v>
      </c>
      <c r="C25" s="45">
        <v>288</v>
      </c>
      <c r="D25" s="15">
        <v>1113.75</v>
      </c>
      <c r="E25" s="19">
        <f>9+72</f>
        <v>81</v>
      </c>
      <c r="F25" s="19">
        <f>2+1+5+2+2+1+1+2</f>
        <v>16</v>
      </c>
      <c r="G25" s="19">
        <f t="shared" si="0"/>
        <v>65</v>
      </c>
      <c r="H25" s="12"/>
    </row>
    <row r="26" spans="1:8" ht="16.5" thickTop="1" thickBot="1" x14ac:dyDescent="0.3">
      <c r="A26" s="46"/>
      <c r="B26" s="47" t="s">
        <v>18</v>
      </c>
      <c r="C26" s="47">
        <v>144</v>
      </c>
      <c r="D26" s="24">
        <v>1636</v>
      </c>
      <c r="E26" s="25">
        <v>119</v>
      </c>
      <c r="F26" s="25"/>
      <c r="G26" s="25">
        <f t="shared" si="0"/>
        <v>119</v>
      </c>
      <c r="H26" s="12"/>
    </row>
    <row r="27" spans="1:8" ht="16.5" thickTop="1" thickBot="1" x14ac:dyDescent="0.3">
      <c r="A27" s="48" t="s">
        <v>27</v>
      </c>
      <c r="B27" s="8" t="s">
        <v>15</v>
      </c>
      <c r="C27" s="9">
        <v>1440</v>
      </c>
      <c r="D27" s="10">
        <v>1169</v>
      </c>
      <c r="E27" s="9">
        <f>15+25+25</f>
        <v>65</v>
      </c>
      <c r="F27" s="9"/>
      <c r="G27" s="9">
        <f t="shared" si="0"/>
        <v>65</v>
      </c>
      <c r="H27" s="12" t="s">
        <v>28</v>
      </c>
    </row>
    <row r="28" spans="1:8" ht="16.5" thickTop="1" thickBot="1" x14ac:dyDescent="0.3">
      <c r="A28" s="49"/>
      <c r="B28" s="50" t="s">
        <v>16</v>
      </c>
      <c r="C28" s="51">
        <v>1440</v>
      </c>
      <c r="D28" s="24">
        <v>1749</v>
      </c>
      <c r="E28" s="51">
        <f>15+5+15+15</f>
        <v>50</v>
      </c>
      <c r="F28" s="51"/>
      <c r="G28" s="51">
        <f t="shared" si="0"/>
        <v>50</v>
      </c>
      <c r="H28" s="12"/>
    </row>
    <row r="29" spans="1:8" ht="16.5" thickTop="1" thickBot="1" x14ac:dyDescent="0.3">
      <c r="A29" s="52" t="s">
        <v>29</v>
      </c>
      <c r="B29" s="53" t="s">
        <v>15</v>
      </c>
      <c r="C29" s="54">
        <v>1440</v>
      </c>
      <c r="D29" s="39">
        <v>1169</v>
      </c>
      <c r="E29" s="54">
        <f>5+25+25+25</f>
        <v>80</v>
      </c>
      <c r="F29" s="54">
        <v>2</v>
      </c>
      <c r="G29" s="54">
        <f t="shared" si="0"/>
        <v>78</v>
      </c>
      <c r="H29" s="12" t="s">
        <v>30</v>
      </c>
    </row>
    <row r="30" spans="1:8" ht="16.5" thickTop="1" thickBot="1" x14ac:dyDescent="0.3">
      <c r="A30" s="55"/>
      <c r="B30" s="17" t="s">
        <v>16</v>
      </c>
      <c r="C30" s="14">
        <v>1440</v>
      </c>
      <c r="D30" s="15">
        <v>1749</v>
      </c>
      <c r="E30" s="14">
        <v>104</v>
      </c>
      <c r="F30" s="14">
        <f>2+1</f>
        <v>3</v>
      </c>
      <c r="G30" s="14">
        <f t="shared" si="0"/>
        <v>101</v>
      </c>
      <c r="H30" s="12"/>
    </row>
    <row r="31" spans="1:8" ht="16.5" thickTop="1" thickBot="1" x14ac:dyDescent="0.3">
      <c r="A31" s="56"/>
      <c r="B31" s="57" t="s">
        <v>17</v>
      </c>
      <c r="C31" s="58">
        <v>288</v>
      </c>
      <c r="D31" s="43">
        <v>1169</v>
      </c>
      <c r="E31" s="58">
        <v>80</v>
      </c>
      <c r="F31" s="58">
        <v>2</v>
      </c>
      <c r="G31" s="58">
        <f t="shared" si="0"/>
        <v>78</v>
      </c>
      <c r="H31" s="12"/>
    </row>
    <row r="32" spans="1:8" ht="16.5" thickTop="1" thickBot="1" x14ac:dyDescent="0.3">
      <c r="A32" s="59" t="s">
        <v>31</v>
      </c>
      <c r="B32" s="8" t="s">
        <v>15</v>
      </c>
      <c r="C32" s="9">
        <v>1440</v>
      </c>
      <c r="D32" s="10">
        <v>1169</v>
      </c>
      <c r="E32" s="9">
        <v>84</v>
      </c>
      <c r="F32" s="9"/>
      <c r="G32" s="9">
        <f t="shared" si="0"/>
        <v>84</v>
      </c>
      <c r="H32" s="12" t="s">
        <v>32</v>
      </c>
    </row>
    <row r="33" spans="1:8" ht="16.5" thickTop="1" thickBot="1" x14ac:dyDescent="0.3">
      <c r="A33" s="60"/>
      <c r="B33" s="17" t="s">
        <v>16</v>
      </c>
      <c r="C33" s="14">
        <v>1440</v>
      </c>
      <c r="D33" s="15">
        <v>1749</v>
      </c>
      <c r="E33" s="14">
        <v>102</v>
      </c>
      <c r="F33" s="14"/>
      <c r="G33" s="14">
        <f t="shared" si="0"/>
        <v>102</v>
      </c>
      <c r="H33" s="12"/>
    </row>
    <row r="34" spans="1:8" ht="16.5" thickTop="1" thickBot="1" x14ac:dyDescent="0.3">
      <c r="A34" s="61"/>
      <c r="B34" s="50" t="s">
        <v>17</v>
      </c>
      <c r="C34" s="51">
        <v>288</v>
      </c>
      <c r="D34" s="24">
        <v>1169</v>
      </c>
      <c r="E34" s="51">
        <v>151</v>
      </c>
      <c r="F34" s="51"/>
      <c r="G34" s="58">
        <f t="shared" si="0"/>
        <v>151</v>
      </c>
      <c r="H34" s="12"/>
    </row>
    <row r="35" spans="1:8" ht="16.5" thickTop="1" thickBot="1" x14ac:dyDescent="0.3">
      <c r="A35" s="48" t="s">
        <v>33</v>
      </c>
      <c r="B35" s="62" t="s">
        <v>15</v>
      </c>
      <c r="C35" s="62">
        <v>1440</v>
      </c>
      <c r="D35" s="39">
        <v>1169</v>
      </c>
      <c r="E35" s="40">
        <v>77</v>
      </c>
      <c r="F35" s="40"/>
      <c r="G35" s="33">
        <f t="shared" si="0"/>
        <v>77</v>
      </c>
      <c r="H35" s="12" t="s">
        <v>34</v>
      </c>
    </row>
    <row r="36" spans="1:8" ht="16.5" thickTop="1" thickBot="1" x14ac:dyDescent="0.3">
      <c r="A36" s="55"/>
      <c r="B36" s="63" t="s">
        <v>16</v>
      </c>
      <c r="C36" s="63">
        <v>1440</v>
      </c>
      <c r="D36" s="15">
        <v>1749.125</v>
      </c>
      <c r="E36" s="19">
        <v>99</v>
      </c>
      <c r="F36" s="19"/>
      <c r="G36" s="19">
        <f t="shared" si="0"/>
        <v>99</v>
      </c>
      <c r="H36" s="12"/>
    </row>
    <row r="37" spans="1:8" ht="16.5" thickTop="1" thickBot="1" x14ac:dyDescent="0.3">
      <c r="A37" s="49"/>
      <c r="B37" s="64" t="s">
        <v>17</v>
      </c>
      <c r="C37" s="64">
        <v>288</v>
      </c>
      <c r="D37" s="24">
        <v>1169</v>
      </c>
      <c r="E37" s="25">
        <v>80</v>
      </c>
      <c r="F37" s="44"/>
      <c r="G37" s="25">
        <f t="shared" si="0"/>
        <v>80</v>
      </c>
      <c r="H37" s="12"/>
    </row>
    <row r="38" spans="1:8" ht="16.5" thickTop="1" thickBot="1" x14ac:dyDescent="0.3">
      <c r="A38" s="52" t="s">
        <v>35</v>
      </c>
      <c r="B38" s="65" t="s">
        <v>15</v>
      </c>
      <c r="C38" s="65">
        <v>1440</v>
      </c>
      <c r="D38" s="39">
        <v>1169</v>
      </c>
      <c r="E38" s="40">
        <v>38</v>
      </c>
      <c r="F38" s="33"/>
      <c r="G38" s="33">
        <f t="shared" si="0"/>
        <v>38</v>
      </c>
      <c r="H38" s="12" t="s">
        <v>36</v>
      </c>
    </row>
    <row r="39" spans="1:8" ht="16.5" thickTop="1" thickBot="1" x14ac:dyDescent="0.3">
      <c r="A39" s="55"/>
      <c r="B39" s="66" t="s">
        <v>16</v>
      </c>
      <c r="C39" s="66">
        <v>1440</v>
      </c>
      <c r="D39" s="15">
        <v>1749.125</v>
      </c>
      <c r="E39" s="19">
        <v>45</v>
      </c>
      <c r="F39" s="19"/>
      <c r="G39" s="19">
        <f t="shared" si="0"/>
        <v>45</v>
      </c>
      <c r="H39" s="12"/>
    </row>
    <row r="40" spans="1:8" ht="16.5" thickTop="1" thickBot="1" x14ac:dyDescent="0.3">
      <c r="A40" s="56"/>
      <c r="B40" s="67" t="s">
        <v>17</v>
      </c>
      <c r="C40" s="67">
        <v>288</v>
      </c>
      <c r="D40" s="24">
        <v>1169</v>
      </c>
      <c r="E40" s="25">
        <v>38</v>
      </c>
      <c r="F40" s="44"/>
      <c r="G40" s="25">
        <f t="shared" si="0"/>
        <v>38</v>
      </c>
      <c r="H40" s="12"/>
    </row>
    <row r="41" spans="1:8" ht="16.5" thickTop="1" thickBot="1" x14ac:dyDescent="0.3">
      <c r="A41" s="48" t="s">
        <v>37</v>
      </c>
      <c r="B41" s="68" t="s">
        <v>15</v>
      </c>
      <c r="C41" s="68">
        <v>1440</v>
      </c>
      <c r="D41" s="39">
        <v>1169</v>
      </c>
      <c r="E41" s="40">
        <v>60</v>
      </c>
      <c r="F41" s="33">
        <f>2+1+1+1+1</f>
        <v>6</v>
      </c>
      <c r="G41" s="33">
        <f t="shared" si="0"/>
        <v>54</v>
      </c>
      <c r="H41" s="12" t="s">
        <v>38</v>
      </c>
    </row>
    <row r="42" spans="1:8" ht="16.5" thickTop="1" thickBot="1" x14ac:dyDescent="0.3">
      <c r="A42" s="55"/>
      <c r="B42" s="69" t="s">
        <v>16</v>
      </c>
      <c r="C42" s="69">
        <v>1440</v>
      </c>
      <c r="D42" s="15">
        <v>1749.125</v>
      </c>
      <c r="E42" s="19">
        <v>93</v>
      </c>
      <c r="F42" s="19">
        <f>2+3+3+2+1+2+2+1</f>
        <v>16</v>
      </c>
      <c r="G42" s="19">
        <f t="shared" si="0"/>
        <v>77</v>
      </c>
      <c r="H42" s="12"/>
    </row>
    <row r="43" spans="1:8" ht="16.5" thickTop="1" thickBot="1" x14ac:dyDescent="0.3">
      <c r="A43" s="56"/>
      <c r="B43" s="70" t="s">
        <v>17</v>
      </c>
      <c r="C43" s="70">
        <v>288</v>
      </c>
      <c r="D43" s="24">
        <v>1169</v>
      </c>
      <c r="E43" s="25">
        <v>60</v>
      </c>
      <c r="F43" s="44">
        <f>1+2+1+1</f>
        <v>5</v>
      </c>
      <c r="G43" s="25">
        <f t="shared" si="0"/>
        <v>55</v>
      </c>
      <c r="H43" s="12"/>
    </row>
    <row r="44" spans="1:8" ht="16.5" thickTop="1" thickBot="1" x14ac:dyDescent="0.3">
      <c r="A44" s="71" t="s">
        <v>39</v>
      </c>
      <c r="B44" s="72" t="s">
        <v>15</v>
      </c>
      <c r="C44" s="72">
        <v>1440</v>
      </c>
      <c r="D44" s="39">
        <v>1169</v>
      </c>
      <c r="E44" s="40">
        <v>79</v>
      </c>
      <c r="F44" s="33"/>
      <c r="G44" s="33">
        <f t="shared" si="0"/>
        <v>79</v>
      </c>
      <c r="H44" s="12" t="s">
        <v>40</v>
      </c>
    </row>
    <row r="45" spans="1:8" ht="16.5" thickTop="1" thickBot="1" x14ac:dyDescent="0.3">
      <c r="A45" s="73"/>
      <c r="B45" s="74" t="s">
        <v>16</v>
      </c>
      <c r="C45" s="74">
        <v>1440</v>
      </c>
      <c r="D45" s="15">
        <v>1749.125</v>
      </c>
      <c r="E45" s="19">
        <v>98</v>
      </c>
      <c r="F45" s="19"/>
      <c r="G45" s="19">
        <f t="shared" si="0"/>
        <v>98</v>
      </c>
      <c r="H45" s="12"/>
    </row>
    <row r="46" spans="1:8" ht="16.5" thickTop="1" thickBot="1" x14ac:dyDescent="0.3">
      <c r="A46" s="75"/>
      <c r="B46" s="76" t="s">
        <v>17</v>
      </c>
      <c r="C46" s="76">
        <v>288</v>
      </c>
      <c r="D46" s="24">
        <v>1169</v>
      </c>
      <c r="E46" s="25">
        <v>79</v>
      </c>
      <c r="F46" s="44"/>
      <c r="G46" s="25">
        <f t="shared" si="0"/>
        <v>79</v>
      </c>
      <c r="H46" s="12"/>
    </row>
    <row r="47" spans="1:8" ht="16.5" thickTop="1" thickBot="1" x14ac:dyDescent="0.3">
      <c r="A47" s="77" t="s">
        <v>41</v>
      </c>
      <c r="B47" s="78" t="s">
        <v>15</v>
      </c>
      <c r="C47" s="78">
        <v>1440</v>
      </c>
      <c r="D47" s="39">
        <v>1169</v>
      </c>
      <c r="E47" s="40">
        <v>79</v>
      </c>
      <c r="F47" s="33">
        <v>1</v>
      </c>
      <c r="G47" s="33">
        <f t="shared" si="0"/>
        <v>78</v>
      </c>
      <c r="H47" s="12" t="s">
        <v>42</v>
      </c>
    </row>
    <row r="48" spans="1:8" ht="16.5" thickTop="1" thickBot="1" x14ac:dyDescent="0.3">
      <c r="A48" s="73"/>
      <c r="B48" s="79" t="s">
        <v>16</v>
      </c>
      <c r="C48" s="79">
        <v>1440</v>
      </c>
      <c r="D48" s="15">
        <v>1749.125</v>
      </c>
      <c r="E48" s="19">
        <v>97</v>
      </c>
      <c r="F48" s="19">
        <v>1</v>
      </c>
      <c r="G48" s="19">
        <f t="shared" si="0"/>
        <v>96</v>
      </c>
      <c r="H48" s="12"/>
    </row>
    <row r="49" spans="1:8" ht="16.5" thickTop="1" thickBot="1" x14ac:dyDescent="0.3">
      <c r="A49" s="80"/>
      <c r="B49" s="81" t="s">
        <v>17</v>
      </c>
      <c r="C49" s="81">
        <v>288</v>
      </c>
      <c r="D49" s="24">
        <v>1169</v>
      </c>
      <c r="E49" s="25">
        <v>79</v>
      </c>
      <c r="F49" s="44">
        <v>1</v>
      </c>
      <c r="G49" s="25">
        <f t="shared" si="0"/>
        <v>78</v>
      </c>
      <c r="H49" s="12"/>
    </row>
    <row r="50" spans="1:8" ht="16.5" thickTop="1" thickBot="1" x14ac:dyDescent="0.3">
      <c r="A50" s="48" t="s">
        <v>43</v>
      </c>
      <c r="B50" s="8" t="s">
        <v>15</v>
      </c>
      <c r="C50" s="9">
        <v>1440</v>
      </c>
      <c r="D50" s="10">
        <v>1169</v>
      </c>
      <c r="E50" s="9">
        <v>80</v>
      </c>
      <c r="F50" s="9"/>
      <c r="G50" s="54">
        <f t="shared" si="0"/>
        <v>80</v>
      </c>
      <c r="H50" s="12" t="s">
        <v>44</v>
      </c>
    </row>
    <row r="51" spans="1:8" ht="16.5" thickTop="1" thickBot="1" x14ac:dyDescent="0.3">
      <c r="A51" s="55"/>
      <c r="B51" s="17" t="s">
        <v>16</v>
      </c>
      <c r="C51" s="14">
        <v>1440</v>
      </c>
      <c r="D51" s="15">
        <v>1749</v>
      </c>
      <c r="E51" s="14">
        <v>99</v>
      </c>
      <c r="F51" s="14">
        <v>3</v>
      </c>
      <c r="G51" s="14">
        <f t="shared" si="0"/>
        <v>96</v>
      </c>
      <c r="H51" s="12"/>
    </row>
    <row r="52" spans="1:8" ht="16.5" customHeight="1" thickTop="1" thickBot="1" x14ac:dyDescent="0.3">
      <c r="A52" s="49"/>
      <c r="B52" s="50" t="s">
        <v>17</v>
      </c>
      <c r="C52" s="51">
        <v>288</v>
      </c>
      <c r="D52" s="24">
        <v>1169</v>
      </c>
      <c r="E52" s="51">
        <v>80</v>
      </c>
      <c r="F52" s="51"/>
      <c r="G52" s="58">
        <f t="shared" si="0"/>
        <v>80</v>
      </c>
      <c r="H52" s="12"/>
    </row>
    <row r="53" spans="1:8" ht="16.5" thickTop="1" thickBot="1" x14ac:dyDescent="0.3">
      <c r="A53" s="82" t="s">
        <v>45</v>
      </c>
      <c r="B53" s="83" t="s">
        <v>15</v>
      </c>
      <c r="C53" s="83">
        <v>1440</v>
      </c>
      <c r="D53" s="39">
        <v>1169</v>
      </c>
      <c r="E53" s="40">
        <v>30</v>
      </c>
      <c r="F53" s="33"/>
      <c r="G53" s="33">
        <f t="shared" si="0"/>
        <v>30</v>
      </c>
      <c r="H53" s="12" t="s">
        <v>46</v>
      </c>
    </row>
    <row r="54" spans="1:8" ht="16.5" thickTop="1" thickBot="1" x14ac:dyDescent="0.3">
      <c r="A54" s="84"/>
      <c r="B54" s="85" t="s">
        <v>16</v>
      </c>
      <c r="C54" s="85">
        <v>1440</v>
      </c>
      <c r="D54" s="15">
        <v>1749.125</v>
      </c>
      <c r="E54" s="19">
        <v>37</v>
      </c>
      <c r="F54" s="44"/>
      <c r="G54" s="44">
        <f>E54-F54</f>
        <v>37</v>
      </c>
      <c r="H54" s="12"/>
    </row>
    <row r="55" spans="1:8" ht="16.5" thickTop="1" thickBot="1" x14ac:dyDescent="0.3">
      <c r="A55" s="86"/>
      <c r="B55" s="87" t="s">
        <v>17</v>
      </c>
      <c r="C55" s="87">
        <v>288</v>
      </c>
      <c r="D55" s="24">
        <v>1169</v>
      </c>
      <c r="E55" s="25">
        <v>30</v>
      </c>
      <c r="F55" s="44"/>
      <c r="G55" s="25">
        <f t="shared" si="0"/>
        <v>30</v>
      </c>
      <c r="H55" s="12"/>
    </row>
    <row r="56" spans="1:8" ht="16.5" thickTop="1" thickBot="1" x14ac:dyDescent="0.3">
      <c r="A56" s="52" t="s">
        <v>47</v>
      </c>
      <c r="B56" s="88" t="s">
        <v>15</v>
      </c>
      <c r="C56" s="88">
        <v>1440</v>
      </c>
      <c r="D56" s="39">
        <v>1169</v>
      </c>
      <c r="E56" s="40">
        <v>79</v>
      </c>
      <c r="F56" s="33">
        <f>1+1+1+1+1</f>
        <v>5</v>
      </c>
      <c r="G56" s="33">
        <f t="shared" si="0"/>
        <v>74</v>
      </c>
      <c r="H56" s="12" t="s">
        <v>48</v>
      </c>
    </row>
    <row r="57" spans="1:8" ht="16.5" thickTop="1" thickBot="1" x14ac:dyDescent="0.3">
      <c r="A57" s="55"/>
      <c r="B57" s="89" t="s">
        <v>16</v>
      </c>
      <c r="C57" s="89">
        <v>1440</v>
      </c>
      <c r="D57" s="15">
        <v>1749.125</v>
      </c>
      <c r="E57" s="19">
        <v>95</v>
      </c>
      <c r="F57" s="19">
        <f>1+1+1</f>
        <v>3</v>
      </c>
      <c r="G57" s="19">
        <f t="shared" si="0"/>
        <v>92</v>
      </c>
      <c r="H57" s="12"/>
    </row>
    <row r="58" spans="1:8" ht="16.5" thickTop="1" thickBot="1" x14ac:dyDescent="0.3">
      <c r="A58" s="56"/>
      <c r="B58" s="90" t="s">
        <v>17</v>
      </c>
      <c r="C58" s="90">
        <v>288</v>
      </c>
      <c r="D58" s="43">
        <v>1169</v>
      </c>
      <c r="E58" s="44">
        <v>79</v>
      </c>
      <c r="F58" s="44">
        <f>1+1</f>
        <v>2</v>
      </c>
      <c r="G58" s="44">
        <f t="shared" si="0"/>
        <v>77</v>
      </c>
      <c r="H58" s="12"/>
    </row>
    <row r="59" spans="1:8" ht="16.5" thickTop="1" thickBot="1" x14ac:dyDescent="0.3">
      <c r="A59" s="48" t="s">
        <v>49</v>
      </c>
      <c r="B59" s="91" t="s">
        <v>15</v>
      </c>
      <c r="C59" s="91">
        <v>1440</v>
      </c>
      <c r="D59" s="10">
        <v>1169</v>
      </c>
      <c r="E59" s="33">
        <v>80</v>
      </c>
      <c r="F59" s="33">
        <f>1+1</f>
        <v>2</v>
      </c>
      <c r="G59" s="33">
        <f t="shared" si="0"/>
        <v>78</v>
      </c>
      <c r="H59" s="12" t="s">
        <v>50</v>
      </c>
    </row>
    <row r="60" spans="1:8" ht="16.5" thickTop="1" thickBot="1" x14ac:dyDescent="0.3">
      <c r="A60" s="55"/>
      <c r="B60" s="92" t="s">
        <v>16</v>
      </c>
      <c r="C60" s="92">
        <v>1440</v>
      </c>
      <c r="D60" s="15">
        <v>1749</v>
      </c>
      <c r="E60" s="19">
        <v>95</v>
      </c>
      <c r="F60" s="19">
        <f>1+1+2</f>
        <v>4</v>
      </c>
      <c r="G60" s="19">
        <f t="shared" si="0"/>
        <v>91</v>
      </c>
      <c r="H60" s="12"/>
    </row>
    <row r="61" spans="1:8" ht="16.5" thickTop="1" thickBot="1" x14ac:dyDescent="0.3">
      <c r="A61" s="49"/>
      <c r="B61" s="93" t="s">
        <v>17</v>
      </c>
      <c r="C61" s="93">
        <v>288</v>
      </c>
      <c r="D61" s="24">
        <v>1169</v>
      </c>
      <c r="E61" s="25">
        <v>83</v>
      </c>
      <c r="F61" s="25">
        <f>1+1+1</f>
        <v>3</v>
      </c>
      <c r="G61" s="25">
        <f t="shared" si="0"/>
        <v>80</v>
      </c>
      <c r="H61" s="12"/>
    </row>
    <row r="62" spans="1:8" ht="16.5" thickTop="1" thickBot="1" x14ac:dyDescent="0.3">
      <c r="A62" s="52" t="s">
        <v>51</v>
      </c>
      <c r="B62" s="94" t="s">
        <v>15</v>
      </c>
      <c r="C62" s="94">
        <v>1440</v>
      </c>
      <c r="D62" s="39">
        <v>1169</v>
      </c>
      <c r="E62" s="40">
        <v>80</v>
      </c>
      <c r="F62" s="40">
        <v>1</v>
      </c>
      <c r="G62" s="40">
        <f t="shared" si="0"/>
        <v>79</v>
      </c>
      <c r="H62" s="12" t="s">
        <v>52</v>
      </c>
    </row>
    <row r="63" spans="1:8" ht="16.5" thickTop="1" thickBot="1" x14ac:dyDescent="0.3">
      <c r="A63" s="55"/>
      <c r="B63" s="95" t="s">
        <v>16</v>
      </c>
      <c r="C63" s="95">
        <v>1440</v>
      </c>
      <c r="D63" s="15">
        <v>1749.125</v>
      </c>
      <c r="E63" s="19">
        <v>98</v>
      </c>
      <c r="F63" s="19">
        <v>1</v>
      </c>
      <c r="G63" s="19">
        <f t="shared" si="0"/>
        <v>97</v>
      </c>
      <c r="H63" s="12"/>
    </row>
    <row r="64" spans="1:8" ht="16.5" thickTop="1" thickBot="1" x14ac:dyDescent="0.3">
      <c r="A64" s="49"/>
      <c r="B64" s="96" t="s">
        <v>17</v>
      </c>
      <c r="C64" s="96">
        <v>288</v>
      </c>
      <c r="D64" s="24">
        <v>1169</v>
      </c>
      <c r="E64" s="25">
        <v>81</v>
      </c>
      <c r="F64" s="44"/>
      <c r="G64" s="25">
        <f t="shared" si="0"/>
        <v>81</v>
      </c>
      <c r="H64" s="12"/>
    </row>
    <row r="65" spans="1:8" ht="16.5" thickTop="1" thickBot="1" x14ac:dyDescent="0.3">
      <c r="A65" s="97" t="s">
        <v>53</v>
      </c>
      <c r="B65" s="98" t="s">
        <v>15</v>
      </c>
      <c r="C65" s="98">
        <v>1440</v>
      </c>
      <c r="D65" s="10">
        <v>1169</v>
      </c>
      <c r="E65" s="33">
        <v>80</v>
      </c>
      <c r="F65" s="33"/>
      <c r="G65" s="33">
        <f t="shared" si="0"/>
        <v>80</v>
      </c>
      <c r="H65" s="12" t="s">
        <v>54</v>
      </c>
    </row>
    <row r="66" spans="1:8" ht="16.5" thickTop="1" thickBot="1" x14ac:dyDescent="0.3">
      <c r="A66" s="99"/>
      <c r="B66" s="100" t="s">
        <v>16</v>
      </c>
      <c r="C66" s="100">
        <v>1440</v>
      </c>
      <c r="D66" s="15">
        <v>1749.125</v>
      </c>
      <c r="E66" s="19">
        <v>99</v>
      </c>
      <c r="F66" s="19">
        <f>2+1</f>
        <v>3</v>
      </c>
      <c r="G66" s="19">
        <f t="shared" si="0"/>
        <v>96</v>
      </c>
      <c r="H66" s="12"/>
    </row>
    <row r="67" spans="1:8" ht="16.5" thickTop="1" thickBot="1" x14ac:dyDescent="0.3">
      <c r="A67" s="101"/>
      <c r="B67" s="102" t="s">
        <v>17</v>
      </c>
      <c r="C67" s="102">
        <v>288</v>
      </c>
      <c r="D67" s="24">
        <v>1169</v>
      </c>
      <c r="E67" s="25">
        <v>77</v>
      </c>
      <c r="F67" s="25">
        <f>1+2</f>
        <v>3</v>
      </c>
      <c r="G67" s="25">
        <f t="shared" si="0"/>
        <v>74</v>
      </c>
      <c r="H67" s="12"/>
    </row>
    <row r="68" spans="1:8" ht="16.5" thickTop="1" thickBot="1" x14ac:dyDescent="0.3">
      <c r="A68" s="48" t="s">
        <v>55</v>
      </c>
      <c r="B68" s="8" t="s">
        <v>15</v>
      </c>
      <c r="C68" s="9">
        <v>1440</v>
      </c>
      <c r="D68" s="10">
        <v>1169</v>
      </c>
      <c r="E68" s="9">
        <v>40</v>
      </c>
      <c r="F68" s="9"/>
      <c r="G68" s="9">
        <f t="shared" ref="G68:G145" si="1">E68-F68</f>
        <v>40</v>
      </c>
      <c r="H68" s="12" t="s">
        <v>56</v>
      </c>
    </row>
    <row r="69" spans="1:8" ht="16.5" thickTop="1" thickBot="1" x14ac:dyDescent="0.3">
      <c r="A69" s="55"/>
      <c r="B69" s="17" t="s">
        <v>16</v>
      </c>
      <c r="C69" s="14">
        <v>1440</v>
      </c>
      <c r="D69" s="15">
        <v>1749</v>
      </c>
      <c r="E69" s="14">
        <v>49</v>
      </c>
      <c r="F69" s="14">
        <v>1</v>
      </c>
      <c r="G69" s="14">
        <f t="shared" si="1"/>
        <v>48</v>
      </c>
      <c r="H69" s="12"/>
    </row>
    <row r="70" spans="1:8" ht="16.5" thickTop="1" thickBot="1" x14ac:dyDescent="0.3">
      <c r="A70" s="49"/>
      <c r="B70" s="50" t="s">
        <v>17</v>
      </c>
      <c r="C70" s="51">
        <v>288</v>
      </c>
      <c r="D70" s="24">
        <v>1169</v>
      </c>
      <c r="E70" s="51">
        <v>40</v>
      </c>
      <c r="F70" s="51"/>
      <c r="G70" s="51">
        <f t="shared" si="1"/>
        <v>40</v>
      </c>
      <c r="H70" s="12"/>
    </row>
    <row r="71" spans="1:8" ht="16.5" thickTop="1" thickBot="1" x14ac:dyDescent="0.3">
      <c r="A71" s="103" t="s">
        <v>57</v>
      </c>
      <c r="B71" s="53" t="s">
        <v>15</v>
      </c>
      <c r="C71" s="54">
        <v>1440</v>
      </c>
      <c r="D71" s="39">
        <v>1169</v>
      </c>
      <c r="E71" s="54">
        <v>70</v>
      </c>
      <c r="F71" s="54"/>
      <c r="G71" s="54">
        <f t="shared" si="1"/>
        <v>70</v>
      </c>
      <c r="H71" s="12" t="s">
        <v>58</v>
      </c>
    </row>
    <row r="72" spans="1:8" ht="16.5" thickTop="1" thickBot="1" x14ac:dyDescent="0.3">
      <c r="A72" s="60"/>
      <c r="B72" s="17" t="s">
        <v>16</v>
      </c>
      <c r="C72" s="14">
        <v>1440</v>
      </c>
      <c r="D72" s="15">
        <v>1749</v>
      </c>
      <c r="E72" s="14">
        <v>72</v>
      </c>
      <c r="F72" s="14">
        <v>2</v>
      </c>
      <c r="G72" s="14">
        <f t="shared" si="1"/>
        <v>70</v>
      </c>
      <c r="H72" s="12"/>
    </row>
    <row r="73" spans="1:8" ht="16.5" thickTop="1" thickBot="1" x14ac:dyDescent="0.3">
      <c r="A73" s="104"/>
      <c r="B73" s="57" t="s">
        <v>17</v>
      </c>
      <c r="C73" s="58">
        <v>288</v>
      </c>
      <c r="D73" s="43">
        <v>1169</v>
      </c>
      <c r="E73" s="58">
        <v>50</v>
      </c>
      <c r="F73" s="58">
        <v>1</v>
      </c>
      <c r="G73" s="58">
        <f t="shared" si="1"/>
        <v>49</v>
      </c>
      <c r="H73" s="12"/>
    </row>
    <row r="74" spans="1:8" ht="16.5" thickTop="1" thickBot="1" x14ac:dyDescent="0.3">
      <c r="A74" s="105" t="s">
        <v>59</v>
      </c>
      <c r="B74" s="98" t="s">
        <v>15</v>
      </c>
      <c r="C74" s="98">
        <v>1440</v>
      </c>
      <c r="D74" s="10">
        <v>1279</v>
      </c>
      <c r="E74" s="33">
        <v>20</v>
      </c>
      <c r="F74" s="33"/>
      <c r="G74" s="33">
        <f t="shared" si="1"/>
        <v>20</v>
      </c>
      <c r="H74" s="12" t="s">
        <v>60</v>
      </c>
    </row>
    <row r="75" spans="1:8" ht="16.5" thickTop="1" thickBot="1" x14ac:dyDescent="0.3">
      <c r="A75" s="106"/>
      <c r="B75" s="100" t="s">
        <v>16</v>
      </c>
      <c r="C75" s="100">
        <v>1440</v>
      </c>
      <c r="D75" s="15">
        <v>2355</v>
      </c>
      <c r="E75" s="19">
        <v>24</v>
      </c>
      <c r="F75" s="19">
        <v>1</v>
      </c>
      <c r="G75" s="19">
        <f t="shared" si="1"/>
        <v>23</v>
      </c>
      <c r="H75" s="12"/>
    </row>
    <row r="76" spans="1:8" ht="16.5" thickTop="1" thickBot="1" x14ac:dyDescent="0.3">
      <c r="A76" s="107"/>
      <c r="B76" s="102" t="s">
        <v>17</v>
      </c>
      <c r="C76" s="102">
        <v>288</v>
      </c>
      <c r="D76" s="24">
        <v>1279</v>
      </c>
      <c r="E76" s="25">
        <v>20</v>
      </c>
      <c r="F76" s="25"/>
      <c r="G76" s="25">
        <f t="shared" si="1"/>
        <v>20</v>
      </c>
      <c r="H76" s="12"/>
    </row>
    <row r="77" spans="1:8" ht="16.5" thickTop="1" thickBot="1" x14ac:dyDescent="0.3">
      <c r="A77" s="52" t="s">
        <v>61</v>
      </c>
      <c r="B77" s="108" t="s">
        <v>15</v>
      </c>
      <c r="C77" s="108">
        <v>1440</v>
      </c>
      <c r="D77" s="39">
        <v>1224.25</v>
      </c>
      <c r="E77" s="40">
        <v>40</v>
      </c>
      <c r="F77" s="40"/>
      <c r="G77" s="40">
        <f t="shared" si="1"/>
        <v>40</v>
      </c>
      <c r="H77" s="12" t="s">
        <v>62</v>
      </c>
    </row>
    <row r="78" spans="1:8" ht="16.5" thickTop="1" thickBot="1" x14ac:dyDescent="0.3">
      <c r="A78" s="55"/>
      <c r="B78" s="109" t="s">
        <v>16</v>
      </c>
      <c r="C78" s="109">
        <v>1440</v>
      </c>
      <c r="D78" s="15">
        <v>1803.3125</v>
      </c>
      <c r="E78" s="19">
        <v>49</v>
      </c>
      <c r="F78" s="19"/>
      <c r="G78" s="19">
        <f t="shared" si="1"/>
        <v>49</v>
      </c>
      <c r="H78" s="12"/>
    </row>
    <row r="79" spans="1:8" ht="16.5" thickTop="1" thickBot="1" x14ac:dyDescent="0.3">
      <c r="A79" s="49"/>
      <c r="B79" s="110" t="s">
        <v>17</v>
      </c>
      <c r="C79" s="110">
        <v>288</v>
      </c>
      <c r="D79" s="43">
        <v>1224.25</v>
      </c>
      <c r="E79" s="44">
        <v>40</v>
      </c>
      <c r="F79" s="44"/>
      <c r="G79" s="44">
        <f t="shared" si="1"/>
        <v>40</v>
      </c>
      <c r="H79" s="12"/>
    </row>
    <row r="80" spans="1:8" ht="16.5" thickTop="1" thickBot="1" x14ac:dyDescent="0.3">
      <c r="A80" s="37" t="s">
        <v>63</v>
      </c>
      <c r="B80" s="111" t="s">
        <v>15</v>
      </c>
      <c r="C80" s="111">
        <v>1440</v>
      </c>
      <c r="D80" s="10">
        <v>1224.25</v>
      </c>
      <c r="E80" s="33">
        <v>40</v>
      </c>
      <c r="F80" s="33"/>
      <c r="G80" s="33">
        <v>40</v>
      </c>
      <c r="H80" s="12" t="s">
        <v>64</v>
      </c>
    </row>
    <row r="81" spans="1:8" ht="16.5" thickTop="1" thickBot="1" x14ac:dyDescent="0.3">
      <c r="A81" s="41"/>
      <c r="B81" s="112" t="s">
        <v>16</v>
      </c>
      <c r="C81" s="112">
        <v>1440</v>
      </c>
      <c r="D81" s="43">
        <v>1803</v>
      </c>
      <c r="E81" s="44">
        <v>49</v>
      </c>
      <c r="F81" s="44">
        <f>1+1</f>
        <v>2</v>
      </c>
      <c r="G81" s="44">
        <f t="shared" ref="G81" si="2">E81-F81</f>
        <v>47</v>
      </c>
      <c r="H81" s="12"/>
    </row>
    <row r="82" spans="1:8" ht="16.5" thickTop="1" thickBot="1" x14ac:dyDescent="0.3">
      <c r="A82" s="46"/>
      <c r="B82" s="113" t="s">
        <v>17</v>
      </c>
      <c r="C82" s="113">
        <v>288</v>
      </c>
      <c r="D82" s="24">
        <v>1224</v>
      </c>
      <c r="E82" s="25">
        <v>39</v>
      </c>
      <c r="F82" s="25">
        <f>1+1</f>
        <v>2</v>
      </c>
      <c r="G82" s="25">
        <f t="shared" si="1"/>
        <v>37</v>
      </c>
      <c r="H82" s="12"/>
    </row>
    <row r="83" spans="1:8" ht="16.5" thickTop="1" thickBot="1" x14ac:dyDescent="0.3">
      <c r="A83" s="48" t="s">
        <v>65</v>
      </c>
      <c r="B83" s="114" t="s">
        <v>15</v>
      </c>
      <c r="C83" s="114">
        <v>1440</v>
      </c>
      <c r="D83" s="39">
        <v>1224.25</v>
      </c>
      <c r="E83" s="40">
        <v>85</v>
      </c>
      <c r="F83" s="40">
        <f>1+1+3+1</f>
        <v>6</v>
      </c>
      <c r="G83" s="33">
        <f t="shared" si="1"/>
        <v>79</v>
      </c>
      <c r="H83" s="12" t="s">
        <v>66</v>
      </c>
    </row>
    <row r="84" spans="1:8" ht="16.5" thickTop="1" thickBot="1" x14ac:dyDescent="0.3">
      <c r="A84" s="55"/>
      <c r="B84" s="115" t="s">
        <v>16</v>
      </c>
      <c r="C84" s="115">
        <v>1440</v>
      </c>
      <c r="D84" s="15">
        <v>1803.3125</v>
      </c>
      <c r="E84" s="19">
        <v>109</v>
      </c>
      <c r="F84" s="19">
        <f>2+5+3+1+2</f>
        <v>13</v>
      </c>
      <c r="G84" s="19">
        <f t="shared" si="1"/>
        <v>96</v>
      </c>
      <c r="H84" s="12"/>
    </row>
    <row r="85" spans="1:8" ht="16.5" thickTop="1" thickBot="1" x14ac:dyDescent="0.3">
      <c r="A85" s="49"/>
      <c r="B85" s="116" t="s">
        <v>17</v>
      </c>
      <c r="C85" s="116">
        <v>288</v>
      </c>
      <c r="D85" s="24">
        <v>1224.25</v>
      </c>
      <c r="E85" s="25">
        <v>86</v>
      </c>
      <c r="F85" s="25">
        <f>2+1+2+1+2</f>
        <v>8</v>
      </c>
      <c r="G85" s="25">
        <f t="shared" si="1"/>
        <v>78</v>
      </c>
      <c r="H85" s="12"/>
    </row>
    <row r="86" spans="1:8" ht="16.5" thickTop="1" thickBot="1" x14ac:dyDescent="0.3">
      <c r="A86" s="48" t="s">
        <v>67</v>
      </c>
      <c r="B86" s="117" t="s">
        <v>15</v>
      </c>
      <c r="C86" s="117">
        <v>1440</v>
      </c>
      <c r="D86" s="10">
        <v>1224</v>
      </c>
      <c r="E86" s="33">
        <v>75</v>
      </c>
      <c r="F86" s="33">
        <f>1+1+1+1+1</f>
        <v>5</v>
      </c>
      <c r="G86" s="33">
        <f t="shared" si="1"/>
        <v>70</v>
      </c>
      <c r="H86" s="12" t="s">
        <v>68</v>
      </c>
    </row>
    <row r="87" spans="1:8" ht="16.5" thickTop="1" thickBot="1" x14ac:dyDescent="0.3">
      <c r="A87" s="55"/>
      <c r="B87" s="118" t="s">
        <v>16</v>
      </c>
      <c r="C87" s="118">
        <v>1440</v>
      </c>
      <c r="D87" s="15">
        <v>1803</v>
      </c>
      <c r="E87" s="19">
        <v>97</v>
      </c>
      <c r="F87" s="19">
        <f>1+2+1+2+2+1</f>
        <v>9</v>
      </c>
      <c r="G87" s="19">
        <f t="shared" si="1"/>
        <v>88</v>
      </c>
      <c r="H87" s="12"/>
    </row>
    <row r="88" spans="1:8" ht="16.5" thickTop="1" thickBot="1" x14ac:dyDescent="0.3">
      <c r="A88" s="49"/>
      <c r="B88" s="50" t="s">
        <v>17</v>
      </c>
      <c r="C88" s="51">
        <v>288</v>
      </c>
      <c r="D88" s="24">
        <v>1224</v>
      </c>
      <c r="E88" s="51">
        <v>75</v>
      </c>
      <c r="F88" s="51">
        <f>5+6+2+1+2+1</f>
        <v>17</v>
      </c>
      <c r="G88" s="51">
        <f t="shared" si="1"/>
        <v>58</v>
      </c>
      <c r="H88" s="12"/>
    </row>
    <row r="89" spans="1:8" ht="16.5" thickTop="1" thickBot="1" x14ac:dyDescent="0.3">
      <c r="A89" s="48" t="s">
        <v>69</v>
      </c>
      <c r="B89" s="119" t="s">
        <v>15</v>
      </c>
      <c r="C89" s="119">
        <v>1440</v>
      </c>
      <c r="D89" s="39">
        <v>1224.25</v>
      </c>
      <c r="E89" s="40">
        <v>59</v>
      </c>
      <c r="F89" s="40">
        <f>1+2</f>
        <v>3</v>
      </c>
      <c r="G89" s="40">
        <f t="shared" si="1"/>
        <v>56</v>
      </c>
      <c r="H89" s="12" t="s">
        <v>70</v>
      </c>
    </row>
    <row r="90" spans="1:8" ht="16.5" thickTop="1" thickBot="1" x14ac:dyDescent="0.3">
      <c r="A90" s="55"/>
      <c r="B90" s="120" t="s">
        <v>16</v>
      </c>
      <c r="C90" s="120">
        <v>1440</v>
      </c>
      <c r="D90" s="15">
        <v>1803.3125</v>
      </c>
      <c r="E90" s="19">
        <v>83</v>
      </c>
      <c r="F90" s="19">
        <v>1</v>
      </c>
      <c r="G90" s="19">
        <f t="shared" si="1"/>
        <v>82</v>
      </c>
      <c r="H90" s="12"/>
    </row>
    <row r="91" spans="1:8" ht="16.5" thickTop="1" thickBot="1" x14ac:dyDescent="0.3">
      <c r="A91" s="56"/>
      <c r="B91" s="121" t="s">
        <v>17</v>
      </c>
      <c r="C91" s="121">
        <v>288</v>
      </c>
      <c r="D91" s="43">
        <v>1224.25</v>
      </c>
      <c r="E91" s="44">
        <v>58</v>
      </c>
      <c r="F91" s="44">
        <v>1</v>
      </c>
      <c r="G91" s="44">
        <f t="shared" si="1"/>
        <v>57</v>
      </c>
      <c r="H91" s="12"/>
    </row>
    <row r="92" spans="1:8" ht="16.5" thickTop="1" thickBot="1" x14ac:dyDescent="0.3">
      <c r="A92" s="59" t="s">
        <v>71</v>
      </c>
      <c r="B92" s="8" t="s">
        <v>15</v>
      </c>
      <c r="C92" s="9">
        <v>1440</v>
      </c>
      <c r="D92" s="10">
        <v>1720</v>
      </c>
      <c r="E92" s="9">
        <v>37</v>
      </c>
      <c r="F92" s="9"/>
      <c r="G92" s="9">
        <f t="shared" si="1"/>
        <v>37</v>
      </c>
      <c r="H92" s="12" t="s">
        <v>72</v>
      </c>
    </row>
    <row r="93" spans="1:8" ht="16.5" thickTop="1" thickBot="1" x14ac:dyDescent="0.3">
      <c r="A93" s="60"/>
      <c r="B93" s="17" t="s">
        <v>16</v>
      </c>
      <c r="C93" s="14">
        <v>1440</v>
      </c>
      <c r="D93" s="15">
        <v>2906</v>
      </c>
      <c r="E93" s="14">
        <v>46</v>
      </c>
      <c r="F93" s="14"/>
      <c r="G93" s="14">
        <f t="shared" si="1"/>
        <v>46</v>
      </c>
      <c r="H93" s="12"/>
    </row>
    <row r="94" spans="1:8" ht="16.5" thickTop="1" thickBot="1" x14ac:dyDescent="0.3">
      <c r="A94" s="61"/>
      <c r="B94" s="50" t="s">
        <v>17</v>
      </c>
      <c r="C94" s="51">
        <v>288</v>
      </c>
      <c r="D94" s="24">
        <v>1720</v>
      </c>
      <c r="E94" s="51">
        <v>25</v>
      </c>
      <c r="F94" s="51"/>
      <c r="G94" s="51">
        <f t="shared" si="1"/>
        <v>25</v>
      </c>
      <c r="H94" s="12"/>
    </row>
    <row r="95" spans="1:8" ht="16.5" thickTop="1" thickBot="1" x14ac:dyDescent="0.3">
      <c r="A95" s="48" t="s">
        <v>73</v>
      </c>
      <c r="B95" s="9" t="s">
        <v>15</v>
      </c>
      <c r="C95" s="122">
        <v>1440</v>
      </c>
      <c r="D95" s="10">
        <v>1513</v>
      </c>
      <c r="E95" s="9">
        <v>40</v>
      </c>
      <c r="F95" s="9">
        <f>2+1+1+1</f>
        <v>5</v>
      </c>
      <c r="G95" s="9">
        <f t="shared" si="1"/>
        <v>35</v>
      </c>
      <c r="H95" s="12" t="s">
        <v>74</v>
      </c>
    </row>
    <row r="96" spans="1:8" ht="16.5" thickTop="1" thickBot="1" x14ac:dyDescent="0.3">
      <c r="A96" s="55"/>
      <c r="B96" s="14" t="s">
        <v>16</v>
      </c>
      <c r="C96" s="123">
        <v>1440</v>
      </c>
      <c r="D96" s="15">
        <v>2013</v>
      </c>
      <c r="E96" s="14">
        <v>49</v>
      </c>
      <c r="F96" s="14">
        <f>2+2+1+1</f>
        <v>6</v>
      </c>
      <c r="G96" s="14">
        <f t="shared" si="1"/>
        <v>43</v>
      </c>
      <c r="H96" s="12"/>
    </row>
    <row r="97" spans="1:8" ht="16.5" thickTop="1" thickBot="1" x14ac:dyDescent="0.3">
      <c r="A97" s="49"/>
      <c r="B97" s="51" t="s">
        <v>17</v>
      </c>
      <c r="C97" s="124">
        <v>288</v>
      </c>
      <c r="D97" s="43">
        <v>1513</v>
      </c>
      <c r="E97" s="58">
        <v>15</v>
      </c>
      <c r="F97" s="58">
        <f>1+1</f>
        <v>2</v>
      </c>
      <c r="G97" s="58">
        <f t="shared" si="1"/>
        <v>13</v>
      </c>
      <c r="H97" s="12"/>
    </row>
    <row r="98" spans="1:8" ht="16.5" thickTop="1" thickBot="1" x14ac:dyDescent="0.3">
      <c r="A98" s="48" t="s">
        <v>75</v>
      </c>
      <c r="B98" s="8" t="s">
        <v>15</v>
      </c>
      <c r="C98" s="9">
        <v>1440</v>
      </c>
      <c r="D98" s="10">
        <v>1776</v>
      </c>
      <c r="E98" s="9">
        <v>80</v>
      </c>
      <c r="F98" s="9">
        <f>1+1+1+1</f>
        <v>4</v>
      </c>
      <c r="G98" s="9">
        <f t="shared" si="1"/>
        <v>76</v>
      </c>
      <c r="H98" s="12" t="s">
        <v>76</v>
      </c>
    </row>
    <row r="99" spans="1:8" ht="16.5" thickTop="1" thickBot="1" x14ac:dyDescent="0.3">
      <c r="A99" s="55"/>
      <c r="B99" s="17" t="s">
        <v>16</v>
      </c>
      <c r="C99" s="14">
        <v>1440</v>
      </c>
      <c r="D99" s="15">
        <v>2906</v>
      </c>
      <c r="E99" s="14">
        <v>99</v>
      </c>
      <c r="F99" s="14">
        <f>1+1+1</f>
        <v>3</v>
      </c>
      <c r="G99" s="14">
        <f t="shared" si="1"/>
        <v>96</v>
      </c>
      <c r="H99" s="12"/>
    </row>
    <row r="100" spans="1:8" ht="16.5" thickTop="1" thickBot="1" x14ac:dyDescent="0.3">
      <c r="A100" s="49"/>
      <c r="B100" s="50" t="s">
        <v>17</v>
      </c>
      <c r="C100" s="51">
        <v>288</v>
      </c>
      <c r="D100" s="24">
        <v>1776</v>
      </c>
      <c r="E100" s="51">
        <v>50</v>
      </c>
      <c r="F100" s="51">
        <f>1+1</f>
        <v>2</v>
      </c>
      <c r="G100" s="58">
        <f t="shared" si="1"/>
        <v>48</v>
      </c>
      <c r="H100" s="12"/>
    </row>
    <row r="101" spans="1:8" ht="15.75" customHeight="1" thickTop="1" thickBot="1" x14ac:dyDescent="0.3">
      <c r="A101" s="125" t="s">
        <v>77</v>
      </c>
      <c r="B101" s="9" t="s">
        <v>15</v>
      </c>
      <c r="C101" s="122">
        <v>1440</v>
      </c>
      <c r="D101" s="10">
        <v>1113</v>
      </c>
      <c r="E101" s="9">
        <f>76+40</f>
        <v>116</v>
      </c>
      <c r="F101" s="9">
        <v>2</v>
      </c>
      <c r="G101" s="9">
        <f t="shared" si="1"/>
        <v>114</v>
      </c>
      <c r="H101" s="12" t="s">
        <v>78</v>
      </c>
    </row>
    <row r="102" spans="1:8" ht="16.5" thickTop="1" thickBot="1" x14ac:dyDescent="0.3">
      <c r="A102" s="126"/>
      <c r="B102" s="14" t="s">
        <v>16</v>
      </c>
      <c r="C102" s="123">
        <v>1440</v>
      </c>
      <c r="D102" s="15">
        <v>1638</v>
      </c>
      <c r="E102" s="14">
        <f>50+90</f>
        <v>140</v>
      </c>
      <c r="F102" s="14">
        <v>2</v>
      </c>
      <c r="G102" s="14">
        <f t="shared" si="1"/>
        <v>138</v>
      </c>
      <c r="H102" s="12"/>
    </row>
    <row r="103" spans="1:8" ht="16.5" thickTop="1" thickBot="1" x14ac:dyDescent="0.3">
      <c r="A103" s="126"/>
      <c r="B103" s="14" t="s">
        <v>17</v>
      </c>
      <c r="C103" s="123">
        <v>288</v>
      </c>
      <c r="D103" s="15">
        <v>1113</v>
      </c>
      <c r="E103" s="14">
        <v>117</v>
      </c>
      <c r="F103" s="14">
        <f>1+2</f>
        <v>3</v>
      </c>
      <c r="G103" s="14">
        <f t="shared" si="1"/>
        <v>114</v>
      </c>
      <c r="H103" s="12"/>
    </row>
    <row r="104" spans="1:8" ht="16.5" thickTop="1" thickBot="1" x14ac:dyDescent="0.3">
      <c r="A104" s="127"/>
      <c r="B104" s="51" t="s">
        <v>18</v>
      </c>
      <c r="C104" s="124">
        <v>144</v>
      </c>
      <c r="D104" s="24">
        <v>1528</v>
      </c>
      <c r="E104" s="51">
        <v>120</v>
      </c>
      <c r="F104" s="51">
        <f>1+2</f>
        <v>3</v>
      </c>
      <c r="G104" s="51">
        <f t="shared" si="1"/>
        <v>117</v>
      </c>
      <c r="H104" s="12"/>
    </row>
    <row r="105" spans="1:8" ht="16.5" thickTop="1" thickBot="1" x14ac:dyDescent="0.3">
      <c r="A105" s="48" t="s">
        <v>79</v>
      </c>
      <c r="B105" s="9" t="s">
        <v>15</v>
      </c>
      <c r="C105" s="9">
        <v>1440</v>
      </c>
      <c r="D105" s="39">
        <v>1335</v>
      </c>
      <c r="E105" s="54">
        <v>138</v>
      </c>
      <c r="F105" s="54"/>
      <c r="G105" s="54">
        <f t="shared" si="1"/>
        <v>138</v>
      </c>
      <c r="H105" s="12" t="s">
        <v>80</v>
      </c>
    </row>
    <row r="106" spans="1:8" ht="16.5" thickTop="1" thickBot="1" x14ac:dyDescent="0.3">
      <c r="A106" s="55"/>
      <c r="B106" s="14" t="s">
        <v>16</v>
      </c>
      <c r="C106" s="14">
        <v>1440</v>
      </c>
      <c r="D106" s="15">
        <v>1913</v>
      </c>
      <c r="E106" s="14">
        <v>165</v>
      </c>
      <c r="F106" s="14">
        <v>3</v>
      </c>
      <c r="G106" s="14">
        <f t="shared" si="1"/>
        <v>162</v>
      </c>
      <c r="H106" s="12"/>
    </row>
    <row r="107" spans="1:8" ht="16.5" thickTop="1" thickBot="1" x14ac:dyDescent="0.3">
      <c r="A107" s="55"/>
      <c r="B107" s="14" t="s">
        <v>17</v>
      </c>
      <c r="C107" s="14">
        <v>288</v>
      </c>
      <c r="D107" s="15">
        <v>1335</v>
      </c>
      <c r="E107" s="14">
        <v>117</v>
      </c>
      <c r="F107" s="14">
        <v>3</v>
      </c>
      <c r="G107" s="14">
        <f t="shared" si="1"/>
        <v>114</v>
      </c>
      <c r="H107" s="12"/>
    </row>
    <row r="108" spans="1:8" ht="16.5" thickTop="1" thickBot="1" x14ac:dyDescent="0.3">
      <c r="A108" s="49"/>
      <c r="B108" s="51" t="s">
        <v>18</v>
      </c>
      <c r="C108" s="51">
        <v>144</v>
      </c>
      <c r="D108" s="24">
        <v>1743</v>
      </c>
      <c r="E108" s="51">
        <v>119</v>
      </c>
      <c r="F108" s="51"/>
      <c r="G108" s="51">
        <f t="shared" si="1"/>
        <v>119</v>
      </c>
      <c r="H108" s="12"/>
    </row>
    <row r="109" spans="1:8" ht="15.75" thickTop="1" x14ac:dyDescent="0.25">
      <c r="A109" s="128"/>
      <c r="B109" s="128"/>
      <c r="C109" s="128"/>
      <c r="D109" s="128"/>
      <c r="E109" s="128"/>
      <c r="F109" s="128"/>
      <c r="G109" s="128"/>
      <c r="H109" s="128"/>
    </row>
    <row r="110" spans="1:8" x14ac:dyDescent="0.25">
      <c r="A110" s="128"/>
      <c r="B110" s="128"/>
      <c r="C110" s="128"/>
      <c r="D110" s="128"/>
      <c r="E110" s="128"/>
      <c r="F110" s="128"/>
      <c r="G110" s="128"/>
      <c r="H110" s="128"/>
    </row>
    <row r="111" spans="1:8" x14ac:dyDescent="0.25">
      <c r="A111" s="128"/>
      <c r="B111" s="128"/>
      <c r="C111" s="128"/>
      <c r="D111" s="128"/>
      <c r="E111" s="128"/>
      <c r="F111" s="128"/>
      <c r="G111" s="128"/>
      <c r="H111" s="128"/>
    </row>
    <row r="112" spans="1:8" ht="16.5" customHeight="1" x14ac:dyDescent="0.25">
      <c r="A112" s="128"/>
      <c r="B112" s="128"/>
      <c r="C112" s="128"/>
      <c r="D112" s="128"/>
      <c r="E112" s="128"/>
      <c r="F112" s="128"/>
      <c r="G112" s="128"/>
      <c r="H112" s="128"/>
    </row>
  </sheetData>
  <mergeCells count="61">
    <mergeCell ref="A98:A100"/>
    <mergeCell ref="H98:H100"/>
    <mergeCell ref="A101:A104"/>
    <mergeCell ref="H101:H104"/>
    <mergeCell ref="A105:A108"/>
    <mergeCell ref="H105:H108"/>
    <mergeCell ref="A89:A91"/>
    <mergeCell ref="H89:H91"/>
    <mergeCell ref="A92:A94"/>
    <mergeCell ref="H92:H94"/>
    <mergeCell ref="A95:A97"/>
    <mergeCell ref="H95:H97"/>
    <mergeCell ref="A80:A82"/>
    <mergeCell ref="H80:H82"/>
    <mergeCell ref="A83:A85"/>
    <mergeCell ref="H83:H85"/>
    <mergeCell ref="A86:A88"/>
    <mergeCell ref="H86:H88"/>
    <mergeCell ref="A71:A73"/>
    <mergeCell ref="H71:H73"/>
    <mergeCell ref="A74:A76"/>
    <mergeCell ref="H74:H76"/>
    <mergeCell ref="A77:A79"/>
    <mergeCell ref="H77:H79"/>
    <mergeCell ref="A62:A64"/>
    <mergeCell ref="H62:H64"/>
    <mergeCell ref="A65:A67"/>
    <mergeCell ref="H65:H67"/>
    <mergeCell ref="A68:A70"/>
    <mergeCell ref="H68:H70"/>
    <mergeCell ref="A53:A55"/>
    <mergeCell ref="H53:H55"/>
    <mergeCell ref="A56:A58"/>
    <mergeCell ref="H56:H58"/>
    <mergeCell ref="A59:A61"/>
    <mergeCell ref="H59:H61"/>
    <mergeCell ref="A44:A46"/>
    <mergeCell ref="H44:H46"/>
    <mergeCell ref="A47:A49"/>
    <mergeCell ref="H47:H49"/>
    <mergeCell ref="A50:A52"/>
    <mergeCell ref="H50:H52"/>
    <mergeCell ref="A35:A37"/>
    <mergeCell ref="H35:H37"/>
    <mergeCell ref="A38:A40"/>
    <mergeCell ref="H38:H40"/>
    <mergeCell ref="A41:A43"/>
    <mergeCell ref="H41:H43"/>
    <mergeCell ref="A27:A28"/>
    <mergeCell ref="H27:H28"/>
    <mergeCell ref="A29:A31"/>
    <mergeCell ref="H29:H31"/>
    <mergeCell ref="A32:A34"/>
    <mergeCell ref="H32:H34"/>
    <mergeCell ref="A1:D1"/>
    <mergeCell ref="A3:A12"/>
    <mergeCell ref="H3:H12"/>
    <mergeCell ref="A14:A22"/>
    <mergeCell ref="H14:H22"/>
    <mergeCell ref="A23:A26"/>
    <mergeCell ref="H23:H26"/>
  </mergeCells>
  <pageMargins left="0.70866141732283472" right="0.70866141732283472" top="0.74803149606299213" bottom="0.74803149606299213" header="0.31496062992125984" footer="0.31496062992125984"/>
  <pageSetup paperSize="9" scale="85" fitToHeight="2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16 граней холодные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2026-07-01T11:21:18Z</dcterms:created>
  <dcterms:modified xsi:type="dcterms:W3CDTF">2026-07-01T11:21:30Z</dcterms:modified>
</cp:coreProperties>
</file>