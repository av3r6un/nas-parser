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6 граней горячие А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3" pivotButton="0" quotePrefix="0" xfId="0"/>
    <xf numFmtId="0" fontId="0" fillId="0" borderId="29" pivotButton="0" quotePrefix="0" xfId="0"/>
    <xf numFmtId="0" fontId="0" fillId="0" borderId="4" pivotButton="0" quotePrefix="0" xfId="0"/>
    <xf numFmtId="0" fontId="0" fillId="0" borderId="30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5"/>
  <sheetViews>
    <sheetView workbookViewId="0">
      <selection activeCell="E33" sqref="E33"/>
    </sheetView>
  </sheetViews>
  <sheetFormatPr baseColWidth="8" defaultRowHeight="15"/>
  <cols>
    <col width="19.85546875" customWidth="1" min="1" max="1"/>
    <col width="10.28515625" customWidth="1" min="2" max="2"/>
    <col width="11.140625" customWidth="1" min="3" max="3"/>
    <col width="10.7109375" customWidth="1" min="4" max="4"/>
    <col width="10.140625" customWidth="1" min="5" max="5"/>
    <col width="9.85546875" customWidth="1" min="6" max="6"/>
    <col width="10.42578125" customWidth="1" min="7" max="7"/>
    <col width="35.85546875" customWidth="1" style="282" min="8" max="8"/>
  </cols>
  <sheetData>
    <row r="1" ht="15.75" customHeight="1">
      <c r="A1" s="318" t="inlineStr">
        <is>
          <t>16 граней горячая фиксация АВ</t>
        </is>
      </c>
      <c r="B1" s="427" t="n"/>
      <c r="C1" s="427" t="n"/>
      <c r="D1" s="427" t="n"/>
    </row>
    <row r="2" ht="43.5" customHeight="1" thickBot="1">
      <c r="A2" s="37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83" t="inlineStr">
        <is>
          <t>артикул</t>
        </is>
      </c>
      <c r="I2" s="25" t="inlineStr">
        <is>
          <t>код цвета</t>
        </is>
      </c>
    </row>
    <row r="3" ht="16.5" customHeight="1" thickBot="1" thickTop="1">
      <c r="A3" s="310" t="inlineStr">
        <is>
          <t>JET BLACK AB</t>
        </is>
      </c>
      <c r="B3" s="310" t="inlineStr">
        <is>
          <t>SS16</t>
        </is>
      </c>
      <c r="C3" s="310" t="n">
        <v>1440</v>
      </c>
      <c r="D3" s="85" t="n">
        <v>1485</v>
      </c>
      <c r="E3" s="310" t="n">
        <v>20</v>
      </c>
      <c r="F3" s="310" t="n"/>
      <c r="G3" s="243">
        <f>E3-F3</f>
        <v/>
      </c>
      <c r="H3" s="284" t="inlineStr">
        <is>
          <t>16cut/Jet Black AB/SS16/Hot/002+</t>
        </is>
      </c>
      <c r="I3" s="316" t="inlineStr">
        <is>
          <t>002+</t>
        </is>
      </c>
    </row>
    <row r="4" ht="16.5" customHeight="1" thickBot="1" thickTop="1">
      <c r="A4" s="428" t="n"/>
      <c r="B4" s="311" t="inlineStr">
        <is>
          <t>SS20</t>
        </is>
      </c>
      <c r="C4" s="311" t="n">
        <v>1440</v>
      </c>
      <c r="D4" s="86" t="n">
        <v>1972</v>
      </c>
      <c r="E4" s="311">
        <f>15+8-3</f>
        <v/>
      </c>
      <c r="F4" s="311" t="n"/>
      <c r="G4" s="245">
        <f>E4-F4</f>
        <v/>
      </c>
      <c r="H4" s="289" t="inlineStr">
        <is>
          <t>16cut/Jet Black AB/SS20/Hot/002+</t>
        </is>
      </c>
      <c r="I4" s="429" t="n"/>
    </row>
    <row r="5" ht="16.5" customHeight="1" thickBot="1" thickTop="1">
      <c r="A5" s="430" t="n"/>
      <c r="B5" s="312" t="inlineStr">
        <is>
          <t>SS30</t>
        </is>
      </c>
      <c r="C5" s="312" t="n">
        <v>288</v>
      </c>
      <c r="D5" s="88" t="n">
        <v>1485</v>
      </c>
      <c r="E5" s="312" t="n">
        <v>20</v>
      </c>
      <c r="F5" s="312" t="n"/>
      <c r="G5" s="246">
        <f>E5-F5</f>
        <v/>
      </c>
      <c r="H5" s="287" t="inlineStr">
        <is>
          <t>16cut/Jet Black AB/SS30/Hot/002+</t>
        </is>
      </c>
      <c r="I5" s="431" t="n"/>
    </row>
    <row r="6" ht="16.5" customHeight="1" thickBot="1" thickTop="1">
      <c r="A6" s="319" t="inlineStr">
        <is>
          <t>TOPAZ AB</t>
        </is>
      </c>
      <c r="B6" s="319" t="inlineStr">
        <is>
          <t>SS16</t>
        </is>
      </c>
      <c r="C6" s="319" t="n">
        <v>1440</v>
      </c>
      <c r="D6" s="140" t="n">
        <v>1647</v>
      </c>
      <c r="E6" s="319" t="n">
        <v>20</v>
      </c>
      <c r="F6" s="319" t="n"/>
      <c r="G6" s="244">
        <f>E6-F6</f>
        <v/>
      </c>
      <c r="H6" s="284" t="inlineStr">
        <is>
          <t>16cut/Topaz AB/SS16/Hot/008+</t>
        </is>
      </c>
      <c r="I6" s="316" t="inlineStr">
        <is>
          <t>008+</t>
        </is>
      </c>
    </row>
    <row r="7" ht="16.5" customHeight="1" thickBot="1" thickTop="1">
      <c r="A7" s="428" t="n"/>
      <c r="B7" s="311" t="inlineStr">
        <is>
          <t>SS20</t>
        </is>
      </c>
      <c r="C7" s="311" t="n">
        <v>1440</v>
      </c>
      <c r="D7" s="86" t="n">
        <v>2133</v>
      </c>
      <c r="E7" s="311">
        <f>5+15</f>
        <v/>
      </c>
      <c r="F7" s="311" t="n"/>
      <c r="G7" s="245">
        <f>E7-F7</f>
        <v/>
      </c>
      <c r="H7" s="285" t="inlineStr">
        <is>
          <t>16cut/Topaz AB/SS20/Hot/008+</t>
        </is>
      </c>
      <c r="I7" s="429" t="n"/>
    </row>
    <row r="8" ht="16.5" customHeight="1" thickBot="1" thickTop="1">
      <c r="A8" s="430" t="n"/>
      <c r="B8" s="320" t="inlineStr">
        <is>
          <t>SS30</t>
        </is>
      </c>
      <c r="C8" s="320" t="n">
        <v>288</v>
      </c>
      <c r="D8" s="87" t="n">
        <v>1647</v>
      </c>
      <c r="E8" s="320" t="n">
        <v>20</v>
      </c>
      <c r="F8" s="320" t="n"/>
      <c r="G8" s="246">
        <f>E8-F8</f>
        <v/>
      </c>
      <c r="H8" s="287" t="inlineStr">
        <is>
          <t>16cut/Topaz AB/SS30/Hot/008+</t>
        </is>
      </c>
      <c r="I8" s="431" t="n"/>
    </row>
    <row r="9" ht="16.5" customHeight="1" thickBot="1" thickTop="1">
      <c r="A9" s="310" t="inlineStr">
        <is>
          <t>Lt. Sapphire AB</t>
        </is>
      </c>
      <c r="B9" s="310" t="inlineStr">
        <is>
          <t>SS16</t>
        </is>
      </c>
      <c r="C9" s="310" t="n">
        <v>1440</v>
      </c>
      <c r="D9" s="85" t="n">
        <v>1647</v>
      </c>
      <c r="E9" s="329" t="n">
        <v>20</v>
      </c>
      <c r="F9" s="310">
        <f>1+1</f>
        <v/>
      </c>
      <c r="G9" s="244">
        <f>E9-F9</f>
        <v/>
      </c>
      <c r="H9" s="284" t="inlineStr">
        <is>
          <t>16cut/Lt.Sapphire AB/SS16/Hot/011+</t>
        </is>
      </c>
      <c r="I9" s="316" t="inlineStr">
        <is>
          <t>011+</t>
        </is>
      </c>
    </row>
    <row r="10" ht="16.5" customHeight="1" thickBot="1" thickTop="1">
      <c r="A10" s="428" t="n"/>
      <c r="B10" s="311" t="inlineStr">
        <is>
          <t>SS20</t>
        </is>
      </c>
      <c r="C10" s="311" t="n">
        <v>1440</v>
      </c>
      <c r="D10" s="86" t="n">
        <v>2133</v>
      </c>
      <c r="E10" s="330">
        <f>5+15</f>
        <v/>
      </c>
      <c r="F10" s="311" t="n">
        <v>1</v>
      </c>
      <c r="G10" s="245">
        <f>E10-F10</f>
        <v/>
      </c>
      <c r="H10" s="285" t="inlineStr">
        <is>
          <t>16cut/Lt.Sapphire AB/SS20/Hot/011+</t>
        </is>
      </c>
      <c r="I10" s="429" t="n"/>
    </row>
    <row r="11" ht="16.5" customHeight="1" thickBot="1" thickTop="1">
      <c r="A11" s="430" t="n"/>
      <c r="B11" s="312" t="inlineStr">
        <is>
          <t>SS30</t>
        </is>
      </c>
      <c r="C11" s="312" t="n">
        <v>288</v>
      </c>
      <c r="D11" s="88" t="n">
        <v>1647</v>
      </c>
      <c r="E11" s="331" t="n">
        <v>20</v>
      </c>
      <c r="F11" s="312" t="n">
        <v>1</v>
      </c>
      <c r="G11" s="246">
        <f>E11-F11</f>
        <v/>
      </c>
      <c r="H11" s="287" t="inlineStr">
        <is>
          <t>16cut/Lt.Sapphire AB/SS30/Hot/011+</t>
        </is>
      </c>
      <c r="I11" s="431" t="n"/>
    </row>
    <row r="12" ht="16.5" customHeight="1" thickBot="1" thickTop="1">
      <c r="A12" s="319" t="inlineStr">
        <is>
          <t>INDICOLITE AB</t>
        </is>
      </c>
      <c r="B12" s="319" t="inlineStr">
        <is>
          <t>SS16</t>
        </is>
      </c>
      <c r="C12" s="319" t="n">
        <v>1440</v>
      </c>
      <c r="D12" s="140" t="n">
        <v>1647</v>
      </c>
      <c r="E12" s="346" t="n">
        <v>20</v>
      </c>
      <c r="F12" s="319" t="n"/>
      <c r="G12" s="244">
        <f>E12-F12</f>
        <v/>
      </c>
      <c r="H12" s="284" t="inlineStr">
        <is>
          <t>16cut/Indicolite AB/SS16/Hot/014+</t>
        </is>
      </c>
      <c r="I12" s="316" t="inlineStr">
        <is>
          <t>014+</t>
        </is>
      </c>
    </row>
    <row r="13" ht="16.5" customHeight="1" thickBot="1" thickTop="1">
      <c r="A13" s="428" t="n"/>
      <c r="B13" s="311" t="inlineStr">
        <is>
          <t>SS20</t>
        </is>
      </c>
      <c r="C13" s="311" t="n">
        <v>1440</v>
      </c>
      <c r="D13" s="86" t="n">
        <v>2133</v>
      </c>
      <c r="E13" s="330">
        <f>5+15</f>
        <v/>
      </c>
      <c r="F13" s="311" t="n"/>
      <c r="G13" s="245">
        <f>E13-F13</f>
        <v/>
      </c>
      <c r="H13" s="285" t="inlineStr">
        <is>
          <t>16cut/Indicolite AB/SS20/Hot/014+</t>
        </is>
      </c>
      <c r="I13" s="429" t="n"/>
    </row>
    <row r="14" ht="16.5" customHeight="1" thickBot="1" thickTop="1">
      <c r="A14" s="430" t="n"/>
      <c r="B14" s="320" t="inlineStr">
        <is>
          <t>SS30</t>
        </is>
      </c>
      <c r="C14" s="320" t="n">
        <v>288</v>
      </c>
      <c r="D14" s="87" t="n">
        <v>1647</v>
      </c>
      <c r="E14" s="347" t="n">
        <v>20</v>
      </c>
      <c r="F14" s="320" t="n"/>
      <c r="G14" s="246">
        <f>E14-F14</f>
        <v/>
      </c>
      <c r="H14" s="287" t="inlineStr">
        <is>
          <t>16cut/Indicolite AB/SS30/Hot/014+</t>
        </is>
      </c>
      <c r="I14" s="431" t="n"/>
    </row>
    <row r="15" ht="16.5" customHeight="1" thickBot="1" thickTop="1">
      <c r="A15" s="310" t="inlineStr">
        <is>
          <t>AQUAMARINE AB</t>
        </is>
      </c>
      <c r="B15" s="310" t="inlineStr">
        <is>
          <t>SS16</t>
        </is>
      </c>
      <c r="C15" s="310" t="n">
        <v>1440</v>
      </c>
      <c r="D15" s="85" t="n">
        <v>1252</v>
      </c>
      <c r="E15" s="329" t="n">
        <v>20</v>
      </c>
      <c r="F15" s="310" t="n">
        <v>1</v>
      </c>
      <c r="G15" s="244">
        <f>E15-F15</f>
        <v/>
      </c>
      <c r="H15" s="284" t="inlineStr">
        <is>
          <t>16cut/Aquamarine AB/SS16/Hot/016+</t>
        </is>
      </c>
      <c r="I15" s="316" t="inlineStr">
        <is>
          <t>016+</t>
        </is>
      </c>
    </row>
    <row r="16" ht="16.5" customHeight="1" thickBot="1" thickTop="1">
      <c r="A16" s="428" t="n"/>
      <c r="B16" s="311" t="inlineStr">
        <is>
          <t>SS20</t>
        </is>
      </c>
      <c r="C16" s="311" t="n">
        <v>1440</v>
      </c>
      <c r="D16" s="86" t="n">
        <v>1858</v>
      </c>
      <c r="E16" s="330">
        <f>5+15</f>
        <v/>
      </c>
      <c r="F16" s="311" t="n"/>
      <c r="G16" s="245">
        <f>E16-F16</f>
        <v/>
      </c>
      <c r="H16" s="285" t="inlineStr">
        <is>
          <t>16cut/Aquamarine AB/SS20/Hot/016+</t>
        </is>
      </c>
      <c r="I16" s="429" t="n"/>
    </row>
    <row r="17" ht="16.5" customHeight="1" thickBot="1" thickTop="1">
      <c r="A17" s="430" t="n"/>
      <c r="B17" s="312" t="inlineStr">
        <is>
          <t>SS30</t>
        </is>
      </c>
      <c r="C17" s="312" t="n">
        <v>288</v>
      </c>
      <c r="D17" s="88" t="n">
        <v>1252</v>
      </c>
      <c r="E17" s="331" t="n">
        <v>20</v>
      </c>
      <c r="F17" s="312" t="n"/>
      <c r="G17" s="246">
        <f>E17-F17</f>
        <v/>
      </c>
      <c r="H17" s="287" t="inlineStr">
        <is>
          <t>16cut/Aquamarine AB/SS30/Hot/016+</t>
        </is>
      </c>
      <c r="I17" s="431" t="n"/>
    </row>
    <row r="18" ht="16.5" customHeight="1" thickBot="1" thickTop="1">
      <c r="A18" s="319" t="inlineStr">
        <is>
          <t>BLUE ZIRCON AB</t>
        </is>
      </c>
      <c r="B18" s="319" t="inlineStr">
        <is>
          <t>SS16</t>
        </is>
      </c>
      <c r="C18" s="319" t="n">
        <v>1440</v>
      </c>
      <c r="D18" s="140" t="n">
        <v>1647</v>
      </c>
      <c r="E18" s="346" t="n">
        <v>20</v>
      </c>
      <c r="F18" s="319" t="n">
        <v>1</v>
      </c>
      <c r="G18" s="244">
        <f>E18-F18</f>
        <v/>
      </c>
      <c r="H18" s="284" t="inlineStr">
        <is>
          <t>16cut/Blue Zircon AB/SS16/Hot/015+</t>
        </is>
      </c>
      <c r="I18" s="316" t="inlineStr">
        <is>
          <t>015+</t>
        </is>
      </c>
    </row>
    <row r="19" ht="16.5" customHeight="1" thickBot="1" thickTop="1">
      <c r="A19" s="428" t="n"/>
      <c r="B19" s="311" t="inlineStr">
        <is>
          <t>SS20</t>
        </is>
      </c>
      <c r="C19" s="311" t="n">
        <v>1440</v>
      </c>
      <c r="D19" s="86" t="n">
        <v>2133</v>
      </c>
      <c r="E19" s="330">
        <f>5+15</f>
        <v/>
      </c>
      <c r="F19" s="311" t="n"/>
      <c r="G19" s="245">
        <f>E19-F19</f>
        <v/>
      </c>
      <c r="H19" s="285" t="inlineStr">
        <is>
          <t>16cut/Blue Zircon AB/SS20/Hot/015+</t>
        </is>
      </c>
      <c r="I19" s="429" t="n"/>
    </row>
    <row r="20" ht="16.5" customHeight="1" thickBot="1" thickTop="1">
      <c r="A20" s="430" t="n"/>
      <c r="B20" s="320" t="inlineStr">
        <is>
          <t>SS30</t>
        </is>
      </c>
      <c r="C20" s="320" t="n">
        <v>288</v>
      </c>
      <c r="D20" s="87" t="n">
        <v>1647</v>
      </c>
      <c r="E20" s="347" t="n">
        <v>20</v>
      </c>
      <c r="F20" s="320" t="n"/>
      <c r="G20" s="246">
        <f>E20-F20</f>
        <v/>
      </c>
      <c r="H20" s="287" t="inlineStr">
        <is>
          <t>16cut/Blue Zircon AB/SS30/Hot/015+</t>
        </is>
      </c>
      <c r="I20" s="431" t="n"/>
    </row>
    <row r="21" ht="16.5" customHeight="1" thickBot="1" thickTop="1">
      <c r="A21" s="310" t="inlineStr">
        <is>
          <t>CAPRI BLUE AB</t>
        </is>
      </c>
      <c r="B21" s="310" t="inlineStr">
        <is>
          <t>SS16</t>
        </is>
      </c>
      <c r="C21" s="310" t="n">
        <v>1440</v>
      </c>
      <c r="D21" s="85" t="n">
        <v>1647</v>
      </c>
      <c r="E21" s="329" t="n">
        <v>20</v>
      </c>
      <c r="F21" s="310" t="n">
        <v>1</v>
      </c>
      <c r="G21" s="244">
        <f>E21-F21</f>
        <v/>
      </c>
      <c r="H21" s="284" t="inlineStr">
        <is>
          <t>16cut/Capri Blue AB/SS16/Hot/017+</t>
        </is>
      </c>
      <c r="I21" s="316" t="inlineStr">
        <is>
          <t>017+</t>
        </is>
      </c>
    </row>
    <row r="22" ht="16.5" customHeight="1" thickBot="1" thickTop="1">
      <c r="A22" s="428" t="n"/>
      <c r="B22" s="311" t="inlineStr">
        <is>
          <t>SS20</t>
        </is>
      </c>
      <c r="C22" s="311" t="n">
        <v>1440</v>
      </c>
      <c r="D22" s="86" t="n">
        <v>2133</v>
      </c>
      <c r="E22" s="330">
        <f>5+15</f>
        <v/>
      </c>
      <c r="F22" s="311" t="n">
        <v>1</v>
      </c>
      <c r="G22" s="245">
        <f>E22-F22</f>
        <v/>
      </c>
      <c r="H22" s="285" t="inlineStr">
        <is>
          <t>16cut/Capri Blue AB/SS20/Hot/017+</t>
        </is>
      </c>
      <c r="I22" s="429" t="n"/>
    </row>
    <row r="23" ht="16.5" customHeight="1" thickBot="1" thickTop="1">
      <c r="A23" s="430" t="n"/>
      <c r="B23" s="312" t="inlineStr">
        <is>
          <t>SS30</t>
        </is>
      </c>
      <c r="C23" s="312" t="n">
        <v>288</v>
      </c>
      <c r="D23" s="88" t="n">
        <v>1647</v>
      </c>
      <c r="E23" s="331" t="n">
        <v>20</v>
      </c>
      <c r="F23" s="312" t="n"/>
      <c r="G23" s="246">
        <f>E23-F23</f>
        <v/>
      </c>
      <c r="H23" s="287" t="inlineStr">
        <is>
          <t>16cut/Capri Blue AB/SS30/Hot/017+</t>
        </is>
      </c>
      <c r="I23" s="431" t="n"/>
    </row>
    <row r="24" ht="16.5" customHeight="1" thickBot="1" thickTop="1">
      <c r="A24" s="319" t="inlineStr">
        <is>
          <t>OLIVINE AB</t>
        </is>
      </c>
      <c r="B24" s="319" t="inlineStr">
        <is>
          <t>SS16</t>
        </is>
      </c>
      <c r="C24" s="319" t="n">
        <v>1440</v>
      </c>
      <c r="D24" s="140" t="n">
        <v>1647</v>
      </c>
      <c r="E24" s="346" t="n">
        <v>20</v>
      </c>
      <c r="F24" s="319" t="n"/>
      <c r="G24" s="244">
        <f>E24-F24</f>
        <v/>
      </c>
      <c r="H24" s="284" t="inlineStr">
        <is>
          <t>16cut/Olivine AB/SS16/Hot/027+</t>
        </is>
      </c>
      <c r="I24" s="316" t="inlineStr">
        <is>
          <t>027+</t>
        </is>
      </c>
    </row>
    <row r="25" ht="16.5" customHeight="1" thickBot="1" thickTop="1">
      <c r="A25" s="428" t="n"/>
      <c r="B25" s="311" t="inlineStr">
        <is>
          <t>SS20</t>
        </is>
      </c>
      <c r="C25" s="311" t="n">
        <v>1440</v>
      </c>
      <c r="D25" s="86" t="n">
        <v>2133</v>
      </c>
      <c r="E25" s="330">
        <f>5+15</f>
        <v/>
      </c>
      <c r="F25" s="311" t="n"/>
      <c r="G25" s="245">
        <f>E25-F25</f>
        <v/>
      </c>
      <c r="H25" s="285" t="inlineStr">
        <is>
          <t>16cut/Olivine AB/SS20/Hot/027+</t>
        </is>
      </c>
      <c r="I25" s="429" t="n"/>
    </row>
    <row r="26" ht="16.5" customHeight="1" thickBot="1" thickTop="1">
      <c r="A26" s="430" t="n"/>
      <c r="B26" s="320" t="inlineStr">
        <is>
          <t>SS30</t>
        </is>
      </c>
      <c r="C26" s="320" t="n">
        <v>288</v>
      </c>
      <c r="D26" s="87" t="n">
        <v>1647</v>
      </c>
      <c r="E26" s="347" t="n">
        <v>20</v>
      </c>
      <c r="F26" s="320" t="n"/>
      <c r="G26" s="246">
        <f>E26-F26</f>
        <v/>
      </c>
      <c r="H26" s="287" t="inlineStr">
        <is>
          <t>16cut/Olivine AB/SS30/Hot/027+</t>
        </is>
      </c>
      <c r="I26" s="431" t="n"/>
    </row>
    <row r="27" ht="16.5" customHeight="1" thickBot="1" thickTop="1">
      <c r="A27" s="310" t="inlineStr">
        <is>
          <t>HYACINTH AB</t>
        </is>
      </c>
      <c r="B27" s="310" t="inlineStr">
        <is>
          <t>SS16</t>
        </is>
      </c>
      <c r="C27" s="310" t="n">
        <v>1440</v>
      </c>
      <c r="D27" s="85" t="n">
        <v>1679</v>
      </c>
      <c r="E27" s="329" t="n">
        <v>20</v>
      </c>
      <c r="F27" s="310" t="n"/>
      <c r="G27" s="244">
        <f>E27-F27</f>
        <v/>
      </c>
      <c r="H27" s="284" t="inlineStr">
        <is>
          <t>16cut/Hyacinth AB/SS16/Hot/031+</t>
        </is>
      </c>
      <c r="I27" s="316" t="inlineStr">
        <is>
          <t>031+</t>
        </is>
      </c>
    </row>
    <row r="28" ht="16.5" customHeight="1" thickBot="1" thickTop="1">
      <c r="A28" s="428" t="n"/>
      <c r="B28" s="311" t="inlineStr">
        <is>
          <t>SS20</t>
        </is>
      </c>
      <c r="C28" s="311" t="n">
        <v>1440</v>
      </c>
      <c r="D28" s="86" t="n">
        <v>2166</v>
      </c>
      <c r="E28" s="330">
        <f>5+15</f>
        <v/>
      </c>
      <c r="F28" s="311" t="n"/>
      <c r="G28" s="245">
        <f>E28-F28</f>
        <v/>
      </c>
      <c r="H28" s="285" t="inlineStr">
        <is>
          <t>16cut/Hyacinth AB/SS20/Hot/031+</t>
        </is>
      </c>
      <c r="I28" s="429" t="n"/>
    </row>
    <row r="29" ht="16.5" customHeight="1" thickBot="1" thickTop="1">
      <c r="A29" s="430" t="n"/>
      <c r="B29" s="312" t="inlineStr">
        <is>
          <t>SS30</t>
        </is>
      </c>
      <c r="C29" s="312" t="n">
        <v>288</v>
      </c>
      <c r="D29" s="88" t="n">
        <v>1679</v>
      </c>
      <c r="E29" s="331" t="n">
        <v>20</v>
      </c>
      <c r="F29" s="312" t="n"/>
      <c r="G29" s="246">
        <f>E29-F29</f>
        <v/>
      </c>
      <c r="H29" s="287" t="inlineStr">
        <is>
          <t>16cut/Hyacinth AB/SS30/Hot/031+</t>
        </is>
      </c>
      <c r="I29" s="431" t="n"/>
    </row>
    <row r="30" ht="16.5" customHeight="1" thickBot="1" thickTop="1">
      <c r="A30" s="319" t="inlineStr">
        <is>
          <t>Lt. Siam AB</t>
        </is>
      </c>
      <c r="B30" s="319" t="inlineStr">
        <is>
          <t>SS16</t>
        </is>
      </c>
      <c r="C30" s="319" t="n">
        <v>1440</v>
      </c>
      <c r="D30" s="140" t="n">
        <v>1809</v>
      </c>
      <c r="E30" s="346" t="n">
        <v>20</v>
      </c>
      <c r="F30" s="319" t="n">
        <v>1</v>
      </c>
      <c r="G30" s="244">
        <f>E30-F30</f>
        <v/>
      </c>
      <c r="H30" s="284" t="inlineStr">
        <is>
          <t>16cut/Lt.Siam AB/SS16/Hot/039+</t>
        </is>
      </c>
      <c r="I30" s="317" t="inlineStr">
        <is>
          <t>039+</t>
        </is>
      </c>
    </row>
    <row r="31" ht="16.5" customHeight="1" thickBot="1" thickTop="1">
      <c r="A31" s="428" t="n"/>
      <c r="B31" s="311" t="inlineStr">
        <is>
          <t>SS20</t>
        </is>
      </c>
      <c r="C31" s="311" t="n">
        <v>1440</v>
      </c>
      <c r="D31" s="86" t="n">
        <v>2133</v>
      </c>
      <c r="E31" s="330" t="n">
        <v>20</v>
      </c>
      <c r="F31" s="311" t="n">
        <v>1</v>
      </c>
      <c r="G31" s="245">
        <f>E31-F31</f>
        <v/>
      </c>
      <c r="H31" s="285" t="inlineStr">
        <is>
          <t>16cut/Lt.Siam AB/SS20/Hot/039+</t>
        </is>
      </c>
      <c r="I31" s="429" t="n"/>
    </row>
    <row r="32" ht="16.5" customHeight="1" thickBot="1" thickTop="1">
      <c r="A32" s="430" t="n"/>
      <c r="B32" s="320" t="inlineStr">
        <is>
          <t>SS30</t>
        </is>
      </c>
      <c r="C32" s="320" t="n">
        <v>288</v>
      </c>
      <c r="D32" s="87" t="n">
        <v>1809</v>
      </c>
      <c r="E32" s="347" t="n">
        <v>20</v>
      </c>
      <c r="F32" s="320" t="n">
        <v>1</v>
      </c>
      <c r="G32" s="246">
        <f>E32-F32</f>
        <v/>
      </c>
      <c r="H32" s="287" t="inlineStr">
        <is>
          <t>16cut/Lt.Siam AB/SS30/Hot/039+</t>
        </is>
      </c>
      <c r="I32" s="431" t="n"/>
    </row>
    <row r="33" ht="16.5" customHeight="1" thickBot="1" thickTop="1">
      <c r="A33" s="310" t="inlineStr">
        <is>
          <t>CITRINE AB</t>
        </is>
      </c>
      <c r="B33" s="310" t="inlineStr">
        <is>
          <t>SS16</t>
        </is>
      </c>
      <c r="C33" s="310" t="n">
        <v>1440</v>
      </c>
      <c r="D33" s="85" t="n">
        <v>1809</v>
      </c>
      <c r="E33" s="329" t="n">
        <v>20</v>
      </c>
      <c r="F33" s="310" t="n">
        <v>1</v>
      </c>
      <c r="G33" s="244">
        <f>E33-F33</f>
        <v/>
      </c>
      <c r="H33" s="284" t="inlineStr">
        <is>
          <t>16cut/Citrine AB/SS16/Hot/035+</t>
        </is>
      </c>
      <c r="I33" s="316" t="inlineStr">
        <is>
          <t>035+</t>
        </is>
      </c>
    </row>
    <row r="34" ht="16.5" customHeight="1" thickBot="1" thickTop="1">
      <c r="A34" s="428" t="n"/>
      <c r="B34" s="311" t="inlineStr">
        <is>
          <t>SS20</t>
        </is>
      </c>
      <c r="C34" s="311" t="n">
        <v>1440</v>
      </c>
      <c r="D34" s="86" t="n">
        <v>2133</v>
      </c>
      <c r="E34" s="311">
        <f>15+5</f>
        <v/>
      </c>
      <c r="F34" s="311" t="n"/>
      <c r="G34" s="245">
        <f>E34-F34</f>
        <v/>
      </c>
      <c r="H34" s="285" t="inlineStr">
        <is>
          <t>16cut/Citrine AB/SS20/Hot/035+</t>
        </is>
      </c>
      <c r="I34" s="429" t="n"/>
    </row>
    <row r="35" ht="16.5" customHeight="1" thickBot="1" thickTop="1">
      <c r="A35" s="430" t="n"/>
      <c r="B35" s="312" t="inlineStr">
        <is>
          <t>SS30</t>
        </is>
      </c>
      <c r="C35" s="312" t="n">
        <v>288</v>
      </c>
      <c r="D35" s="88" t="n">
        <v>1809</v>
      </c>
      <c r="E35" s="331" t="n">
        <v>20</v>
      </c>
      <c r="F35" s="312" t="n"/>
      <c r="G35" s="246">
        <f>E35-F35</f>
        <v/>
      </c>
      <c r="H35" s="287" t="inlineStr">
        <is>
          <t>16cut/Citrine AB/SS30/Hot/035+</t>
        </is>
      </c>
      <c r="I35" s="431" t="n"/>
    </row>
    <row r="36" ht="15.75" customHeight="1" thickTop="1"/>
  </sheetData>
  <mergeCells count="23">
    <mergeCell ref="A21:A23"/>
    <mergeCell ref="I18:I20"/>
    <mergeCell ref="A12:A14"/>
    <mergeCell ref="A33:A35"/>
    <mergeCell ref="I6:I8"/>
    <mergeCell ref="A15:A17"/>
    <mergeCell ref="A24:A26"/>
    <mergeCell ref="I15:I17"/>
    <mergeCell ref="I9:I11"/>
    <mergeCell ref="A9:A11"/>
    <mergeCell ref="I27:I29"/>
    <mergeCell ref="A1:D1"/>
    <mergeCell ref="A30:A32"/>
    <mergeCell ref="I30:I32"/>
    <mergeCell ref="I3:I5"/>
    <mergeCell ref="A6:A8"/>
    <mergeCell ref="A3:A5"/>
    <mergeCell ref="I12:I14"/>
    <mergeCell ref="A27:A29"/>
    <mergeCell ref="I21:I23"/>
    <mergeCell ref="I33:I35"/>
    <mergeCell ref="A18:A20"/>
    <mergeCell ref="I24:I26"/>
  </mergeCells>
  <pageMargins left="0.7086614173228347" right="0.7086614173228347" top="0.7480314960629921" bottom="0.7480314960629921" header="0.3149606299212598" footer="0.3149606299212598"/>
  <pageSetup orientation="portrait" paperSize="9" scale="9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2026-07-07T03:45:43Z</dcterms:modified>
  <cp:lastModifiedBy>Alexandr</cp:lastModifiedBy>
  <cp:lastPrinted>2026-04-22T12:43:34Z</cp:lastPrinted>
</cp:coreProperties>
</file>