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8" activeTab="0" autoFilterDateGrouping="1"/>
  </bookViews>
  <sheets>
    <sheet name="16 граней горячие АВ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#,##0&quot;р.&quot;"/>
  </numFmts>
  <fonts count="13">
    <font>
      <name val="Calibri"/>
      <charset val="204"/>
      <family val="2"/>
      <color theme="1"/>
      <sz val="11"/>
      <scheme val="minor"/>
    </font>
    <font>
      <name val="Calibri"/>
      <charset val="204"/>
      <family val="2"/>
      <color theme="1"/>
      <sz val="11"/>
      <scheme val="minor"/>
    </font>
    <font>
      <name val="Calibri"/>
      <charset val="204"/>
      <family val="2"/>
      <b val="1"/>
      <color theme="1"/>
      <sz val="16"/>
      <scheme val="minor"/>
    </font>
    <font>
      <name val="Times New Roman"/>
      <charset val="204"/>
      <family val="1"/>
      <color theme="1"/>
      <sz val="11"/>
    </font>
    <font>
      <name val="Times New Roman"/>
      <charset val="204"/>
      <family val="1"/>
      <sz val="11"/>
    </font>
    <font>
      <name val="Times New Roman"/>
      <charset val="204"/>
      <family val="1"/>
      <b val="1"/>
      <color theme="1"/>
      <sz val="11"/>
    </font>
    <font>
      <name val="Times New Roman"/>
      <charset val="204"/>
      <family val="1"/>
      <color rgb="FF000000"/>
      <sz val="10"/>
    </font>
    <font>
      <name val="Times New Roman"/>
      <charset val="204"/>
      <family val="1"/>
      <b val="1"/>
      <sz val="12"/>
    </font>
    <font>
      <name val="Times New Roman"/>
      <charset val="204"/>
      <family val="1"/>
      <b val="1"/>
      <color theme="1"/>
      <sz val="12"/>
    </font>
    <font>
      <name val="Times New Roman"/>
      <charset val="204"/>
      <family val="1"/>
      <b val="1"/>
      <sz val="14"/>
    </font>
    <font>
      <name val="Times New Roman"/>
      <charset val="204"/>
      <family val="1"/>
      <b val="1"/>
      <sz val="11"/>
    </font>
    <font>
      <name val="Calibri"/>
      <charset val="204"/>
      <family val="2"/>
      <b val="1"/>
      <color theme="1"/>
      <sz val="11"/>
      <scheme val="minor"/>
    </font>
    <font>
      <name val="Calibri"/>
      <charset val="204"/>
      <family val="2"/>
      <sz val="8"/>
      <scheme val="minor"/>
    </font>
  </fonts>
  <fills count="3">
    <fill>
      <patternFill/>
    </fill>
    <fill>
      <patternFill patternType="gray125"/>
    </fill>
    <fill>
      <patternFill patternType="solid">
        <fgColor theme="0"/>
        <bgColor indexed="64"/>
      </patternFill>
    </fill>
  </fills>
  <borders count="5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ck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 style="thick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ck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ck">
        <color auto="1"/>
      </top>
      <bottom/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/>
      <top/>
      <bottom style="thick">
        <color auto="1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 style="thin">
        <color auto="1"/>
      </top>
      <bottom style="thick">
        <color auto="1"/>
      </bottom>
      <diagonal/>
    </border>
    <border>
      <left style="thin">
        <color auto="1"/>
      </left>
      <right/>
      <top style="thick">
        <color auto="1"/>
      </top>
      <bottom style="thick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ck">
        <color auto="1"/>
      </top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ck">
        <color auto="1"/>
      </top>
      <bottom style="thick">
        <color auto="1"/>
      </bottom>
      <diagonal/>
    </border>
    <border>
      <left style="medium">
        <color indexed="64"/>
      </left>
      <right style="medium">
        <color indexed="64"/>
      </right>
      <top style="thick">
        <color auto="1"/>
      </top>
      <bottom style="medium">
        <color indexed="64"/>
      </bottom>
      <diagonal/>
    </border>
    <border>
      <left/>
      <right style="thin">
        <color auto="1"/>
      </right>
      <top style="thick">
        <color auto="1"/>
      </top>
      <bottom style="thick">
        <color auto="1"/>
      </bottom>
      <diagonal/>
    </border>
    <border>
      <left/>
      <right style="thin">
        <color auto="1"/>
      </right>
      <top style="thick">
        <color auto="1"/>
      </top>
      <bottom/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/>
      <bottom style="thick">
        <color auto="1"/>
      </bottom>
      <diagonal/>
    </border>
    <border>
      <left/>
      <right style="thin">
        <color auto="1"/>
      </right>
      <top style="thick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ck">
        <color auto="1"/>
      </bottom>
      <diagonal/>
    </border>
    <border>
      <left style="medium">
        <color indexed="64"/>
      </left>
      <right style="medium">
        <color indexed="64"/>
      </right>
      <top/>
      <bottom style="thick">
        <color auto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/>
      <top/>
      <bottom style="thick">
        <color auto="1"/>
      </bottom>
      <diagonal/>
    </border>
    <border>
      <left/>
      <right style="medium">
        <color indexed="64"/>
      </right>
      <top style="medium">
        <color indexed="64"/>
      </top>
      <bottom style="thick">
        <color auto="1"/>
      </bottom>
      <diagonal/>
    </border>
    <border>
      <left/>
      <right style="medium">
        <color indexed="64"/>
      </right>
      <top style="thick">
        <color auto="1"/>
      </top>
      <bottom style="thick">
        <color auto="1"/>
      </bottom>
      <diagonal/>
    </border>
    <border>
      <left/>
      <right style="medium">
        <color indexed="64"/>
      </right>
      <top style="thick">
        <color auto="1"/>
      </top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thick">
        <color auto="1"/>
      </bottom>
      <diagonal/>
    </border>
    <border>
      <left/>
      <right style="medium">
        <color indexed="64"/>
      </right>
      <top style="thick">
        <color auto="1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ck">
        <color auto="1"/>
      </bottom>
      <diagonal/>
    </border>
    <border>
      <left style="thin">
        <color auto="1"/>
      </left>
      <right/>
      <top style="thick">
        <color auto="1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thin">
        <color auto="1"/>
      </right>
      <top/>
      <bottom style="thin">
        <color auto="1"/>
      </bottom>
      <diagonal/>
    </border>
  </borders>
  <cellStyleXfs count="63">
    <xf numFmtId="0" fontId="1" fillId="0" borderId="0"/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6" fillId="0" borderId="0"/>
  </cellStyleXfs>
  <cellXfs count="432"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0" fillId="0" borderId="1" pivotButton="0" quotePrefix="0" xfId="0"/>
    <xf numFmtId="0" fontId="4" fillId="0" borderId="7" applyAlignment="1" pivotButton="0" quotePrefix="0" xfId="12">
      <alignment horizontal="center" vertical="center"/>
    </xf>
    <xf numFmtId="0" fontId="4" fillId="0" borderId="1" applyAlignment="1" pivotButton="0" quotePrefix="0" xfId="12">
      <alignment horizontal="center" vertical="center"/>
    </xf>
    <xf numFmtId="0" fontId="4" fillId="0" borderId="6" applyAlignment="1" pivotButton="0" quotePrefix="0" xfId="12">
      <alignment horizontal="center" vertical="center"/>
    </xf>
    <xf numFmtId="0" fontId="4" fillId="0" borderId="6" applyAlignment="1" pivotButton="0" quotePrefix="0" xfId="19">
      <alignment horizontal="center" vertical="center"/>
    </xf>
    <xf numFmtId="0" fontId="4" fillId="0" borderId="4" applyAlignment="1" pivotButton="0" quotePrefix="0" xfId="20">
      <alignment horizontal="center" vertical="center"/>
    </xf>
    <xf numFmtId="0" fontId="4" fillId="0" borderId="2" applyAlignment="1" pivotButton="0" quotePrefix="0" xfId="20">
      <alignment horizontal="center" vertical="center"/>
    </xf>
    <xf numFmtId="0" fontId="4" fillId="0" borderId="5" applyAlignment="1" pivotButton="0" quotePrefix="0" xfId="22">
      <alignment horizontal="center" vertical="center"/>
    </xf>
    <xf numFmtId="0" fontId="4" fillId="0" borderId="2" applyAlignment="1" pivotButton="0" quotePrefix="0" xfId="22">
      <alignment horizontal="center" vertical="center"/>
    </xf>
    <xf numFmtId="0" fontId="4" fillId="0" borderId="4" applyAlignment="1" pivotButton="0" quotePrefix="0" xfId="35">
      <alignment horizontal="center" vertical="center"/>
    </xf>
    <xf numFmtId="0" fontId="4" fillId="0" borderId="2" applyAlignment="1" pivotButton="0" quotePrefix="0" xfId="35">
      <alignment horizontal="center" vertical="center"/>
    </xf>
    <xf numFmtId="0" fontId="4" fillId="0" borderId="5" applyAlignment="1" pivotButton="0" quotePrefix="0" xfId="26">
      <alignment horizontal="center" vertical="center"/>
    </xf>
    <xf numFmtId="0" fontId="4" fillId="0" borderId="6" applyAlignment="1" pivotButton="0" quotePrefix="0" xfId="26">
      <alignment horizontal="center" vertical="center"/>
    </xf>
    <xf numFmtId="0" fontId="4" fillId="0" borderId="4" applyAlignment="1" pivotButton="0" quotePrefix="0" xfId="27">
      <alignment horizontal="center" vertical="center"/>
    </xf>
    <xf numFmtId="0" fontId="4" fillId="0" borderId="2" applyAlignment="1" pivotButton="0" quotePrefix="0" xfId="29">
      <alignment horizontal="center" vertical="center"/>
    </xf>
    <xf numFmtId="0" fontId="4" fillId="0" borderId="6" applyAlignment="1" pivotButton="0" quotePrefix="0" xfId="34">
      <alignment horizontal="center" vertical="center"/>
    </xf>
    <xf numFmtId="0" fontId="4" fillId="0" borderId="4" applyAlignment="1" pivotButton="0" quotePrefix="0" xfId="16">
      <alignment horizontal="center" vertical="center"/>
    </xf>
    <xf numFmtId="0" fontId="4" fillId="2" borderId="6" applyAlignment="1" pivotButton="0" quotePrefix="0" xfId="15">
      <alignment horizontal="center" vertical="center"/>
    </xf>
    <xf numFmtId="0" fontId="4" fillId="0" borderId="4" applyAlignment="1" pivotButton="0" quotePrefix="0" xfId="30">
      <alignment horizontal="center" vertical="center"/>
    </xf>
    <xf numFmtId="0" fontId="4" fillId="0" borderId="5" applyAlignment="1" pivotButton="0" quotePrefix="0" xfId="29">
      <alignment horizontal="center" vertical="center"/>
    </xf>
    <xf numFmtId="0" fontId="4" fillId="0" borderId="6" applyAlignment="1" pivotButton="0" quotePrefix="0" xfId="29">
      <alignment horizontal="center" vertical="center"/>
    </xf>
    <xf numFmtId="0" fontId="4" fillId="0" borderId="6" applyAlignment="1" pivotButton="0" quotePrefix="0" xfId="41">
      <alignment horizontal="center" vertical="center"/>
    </xf>
    <xf numFmtId="0" fontId="5" fillId="0" borderId="2" applyAlignment="1" pivotButton="0" quotePrefix="0" xfId="0">
      <alignment horizontal="center" vertical="center" wrapText="1"/>
    </xf>
    <xf numFmtId="1" fontId="3" fillId="0" borderId="4" applyAlignment="1" pivotButton="0" quotePrefix="0" xfId="0">
      <alignment horizontal="center" vertical="center"/>
    </xf>
    <xf numFmtId="1" fontId="3" fillId="0" borderId="1" applyAlignment="1" pivotButton="0" quotePrefix="0" xfId="0">
      <alignment horizontal="center" vertical="center"/>
    </xf>
    <xf numFmtId="1" fontId="3" fillId="0" borderId="6" applyAlignment="1" pivotButton="0" quotePrefix="0" xfId="0">
      <alignment horizontal="center" vertical="center"/>
    </xf>
    <xf numFmtId="1" fontId="3" fillId="0" borderId="2" applyAlignment="1" pivotButton="0" quotePrefix="0" xfId="0">
      <alignment horizontal="center" vertical="center"/>
    </xf>
    <xf numFmtId="1" fontId="3" fillId="0" borderId="5" applyAlignment="1" pivotButton="0" quotePrefix="0" xfId="0">
      <alignment horizontal="center" vertical="center"/>
    </xf>
    <xf numFmtId="0" fontId="3" fillId="0" borderId="7" applyAlignment="1" pivotButton="0" quotePrefix="0" xfId="0">
      <alignment horizontal="center" vertical="center"/>
    </xf>
    <xf numFmtId="0" fontId="3" fillId="0" borderId="5" pivotButton="0" quotePrefix="0" xfId="0"/>
    <xf numFmtId="0" fontId="3" fillId="0" borderId="6" pivotButton="0" quotePrefix="0" xfId="0"/>
    <xf numFmtId="0" fontId="3" fillId="0" borderId="1" pivotButton="0" quotePrefix="0" xfId="0"/>
    <xf numFmtId="0" fontId="3" fillId="0" borderId="7" pivotButton="0" quotePrefix="0" xfId="0"/>
    <xf numFmtId="0" fontId="3" fillId="0" borderId="7" applyAlignment="1" pivotButton="0" quotePrefix="0" xfId="0">
      <alignment horizontal="center" vertical="center" wrapText="1"/>
    </xf>
    <xf numFmtId="0" fontId="5" fillId="0" borderId="9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4" fillId="0" borderId="4" applyAlignment="1" pivotButton="0" quotePrefix="0" xfId="12">
      <alignment horizontal="center" vertical="center"/>
    </xf>
    <xf numFmtId="0" fontId="4" fillId="0" borderId="2" applyAlignment="1" pivotButton="0" quotePrefix="0" xfId="41">
      <alignment horizontal="center" vertical="center"/>
    </xf>
    <xf numFmtId="0" fontId="0" fillId="0" borderId="1" applyAlignment="1" pivotButton="0" quotePrefix="0" xfId="0">
      <alignment wrapText="1"/>
    </xf>
    <xf numFmtId="0" fontId="3" fillId="0" borderId="4" pivotButton="0" quotePrefix="0" xfId="0"/>
    <xf numFmtId="0" fontId="4" fillId="0" borderId="3" applyAlignment="1" pivotButton="0" quotePrefix="0" xfId="0">
      <alignment horizontal="center" vertical="center"/>
    </xf>
    <xf numFmtId="0" fontId="4" fillId="0" borderId="1" applyAlignment="1" pivotButton="0" quotePrefix="0" xfId="29">
      <alignment horizontal="center" vertical="center"/>
    </xf>
    <xf numFmtId="0" fontId="4" fillId="0" borderId="5" applyAlignment="1" pivotButton="0" quotePrefix="0" xfId="0">
      <alignment horizontal="center" vertical="center"/>
    </xf>
    <xf numFmtId="0" fontId="4" fillId="0" borderId="6" applyAlignment="1" pivotButton="0" quotePrefix="0" xfId="0">
      <alignment horizontal="center" vertical="center"/>
    </xf>
    <xf numFmtId="17" fontId="3" fillId="0" borderId="1" applyAlignment="1" pivotButton="0" quotePrefix="0" xfId="0">
      <alignment horizontal="center" vertical="center"/>
    </xf>
    <xf numFmtId="0" fontId="4" fillId="0" borderId="5" applyAlignment="1" pivotButton="0" quotePrefix="0" xfId="9">
      <alignment horizontal="center" vertical="center"/>
    </xf>
    <xf numFmtId="0" fontId="4" fillId="0" borderId="1" applyAlignment="1" pivotButton="0" quotePrefix="0" xfId="10">
      <alignment horizontal="center" vertical="center"/>
    </xf>
    <xf numFmtId="0" fontId="4" fillId="0" borderId="1" applyAlignment="1" pivotButton="0" quotePrefix="0" xfId="9">
      <alignment horizontal="center" vertical="center"/>
    </xf>
    <xf numFmtId="0" fontId="4" fillId="0" borderId="1" applyAlignment="1" pivotButton="0" quotePrefix="0" xfId="13">
      <alignment horizontal="center" vertical="center"/>
    </xf>
    <xf numFmtId="0" fontId="4" fillId="0" borderId="2" applyAlignment="1" pivotButton="0" quotePrefix="0" xfId="9">
      <alignment horizontal="center" vertical="center"/>
    </xf>
    <xf numFmtId="0" fontId="4" fillId="0" borderId="7" applyAlignment="1" pivotButton="0" quotePrefix="0" xfId="8">
      <alignment horizontal="center" vertical="center" wrapText="1"/>
    </xf>
    <xf numFmtId="0" fontId="4" fillId="0" borderId="7" applyAlignment="1" pivotButton="0" quotePrefix="0" xfId="9">
      <alignment horizontal="center" vertical="center"/>
    </xf>
    <xf numFmtId="0" fontId="4" fillId="0" borderId="6" applyAlignment="1" pivotButton="0" quotePrefix="0" xfId="9">
      <alignment horizontal="center" vertical="center"/>
    </xf>
    <xf numFmtId="0" fontId="4" fillId="2" borderId="4" applyAlignment="1" pivotButton="0" quotePrefix="0" xfId="15">
      <alignment horizontal="center" vertical="center"/>
    </xf>
    <xf numFmtId="0" fontId="4" fillId="0" borderId="4" applyAlignment="1" pivotButton="0" quotePrefix="0" xfId="9">
      <alignment horizontal="center" vertical="center"/>
    </xf>
    <xf numFmtId="0" fontId="4" fillId="2" borderId="2" applyAlignment="1" pivotButton="0" quotePrefix="0" xfId="15">
      <alignment horizontal="center" vertical="center"/>
    </xf>
    <xf numFmtId="0" fontId="4" fillId="2" borderId="1" applyAlignment="1" pivotButton="0" quotePrefix="0" xfId="15">
      <alignment horizontal="center" vertical="center"/>
    </xf>
    <xf numFmtId="0" fontId="4" fillId="0" borderId="1" applyAlignment="1" pivotButton="0" quotePrefix="0" xfId="17">
      <alignment horizontal="center" vertical="center"/>
    </xf>
    <xf numFmtId="0" fontId="4" fillId="0" borderId="1" applyAlignment="1" pivotButton="0" quotePrefix="0" xfId="20">
      <alignment horizontal="center" vertical="center"/>
    </xf>
    <xf numFmtId="0" fontId="4" fillId="0" borderId="1" applyAlignment="1" pivotButton="0" quotePrefix="0" xfId="28">
      <alignment horizontal="center" vertical="center"/>
    </xf>
    <xf numFmtId="0" fontId="4" fillId="0" borderId="1" applyAlignment="1" pivotButton="0" quotePrefix="0" xfId="24">
      <alignment horizontal="center" vertical="center"/>
    </xf>
    <xf numFmtId="0" fontId="4" fillId="0" borderId="1" applyAlignment="1" pivotButton="0" quotePrefix="0" xfId="35">
      <alignment horizontal="center" vertical="center"/>
    </xf>
    <xf numFmtId="0" fontId="4" fillId="0" borderId="1" applyAlignment="1" pivotButton="0" quotePrefix="0" xfId="26">
      <alignment horizontal="center" vertical="center"/>
    </xf>
    <xf numFmtId="0" fontId="4" fillId="0" borderId="1" applyAlignment="1" pivotButton="0" quotePrefix="0" xfId="27">
      <alignment horizontal="center" vertical="center"/>
    </xf>
    <xf numFmtId="0" fontId="4" fillId="0" borderId="1" applyAlignment="1" pivotButton="0" quotePrefix="0" xfId="32">
      <alignment horizontal="center" vertical="center"/>
    </xf>
    <xf numFmtId="0" fontId="4" fillId="2" borderId="4" applyAlignment="1" pivotButton="0" quotePrefix="0" xfId="38">
      <alignment horizontal="center" vertical="center"/>
    </xf>
    <xf numFmtId="0" fontId="4" fillId="2" borderId="1" applyAlignment="1" pivotButton="0" quotePrefix="0" xfId="39">
      <alignment horizontal="center" vertical="center"/>
    </xf>
    <xf numFmtId="0" fontId="4" fillId="2" borderId="2" applyAlignment="1" pivotButton="0" quotePrefix="0" xfId="40">
      <alignment horizontal="center" vertical="center"/>
    </xf>
    <xf numFmtId="0" fontId="4" fillId="2" borderId="5" applyAlignment="1" pivotButton="0" quotePrefix="0" xfId="40">
      <alignment horizontal="center" vertical="center"/>
    </xf>
    <xf numFmtId="0" fontId="4" fillId="0" borderId="5" applyAlignment="1" pivotButton="0" quotePrefix="0" xfId="42">
      <alignment horizontal="center" vertical="center"/>
    </xf>
    <xf numFmtId="0" fontId="4" fillId="0" borderId="1" applyAlignment="1" pivotButton="0" quotePrefix="0" xfId="43">
      <alignment horizontal="center" vertical="center"/>
    </xf>
    <xf numFmtId="0" fontId="4" fillId="0" borderId="6" applyAlignment="1" pivotButton="0" quotePrefix="0" xfId="44">
      <alignment horizontal="center" vertical="center"/>
    </xf>
    <xf numFmtId="0" fontId="4" fillId="0" borderId="5" applyAlignment="1" pivotButton="0" quotePrefix="0" xfId="44">
      <alignment horizontal="center" vertical="center"/>
    </xf>
    <xf numFmtId="0" fontId="4" fillId="0" borderId="1" applyAlignment="1" pivotButton="0" quotePrefix="0" xfId="44">
      <alignment horizontal="center" vertical="center"/>
    </xf>
    <xf numFmtId="0" fontId="4" fillId="0" borderId="4" applyAlignment="1" pivotButton="0" quotePrefix="0" xfId="46">
      <alignment horizontal="center" vertical="center"/>
    </xf>
    <xf numFmtId="0" fontId="4" fillId="0" borderId="1" applyAlignment="1" pivotButton="0" quotePrefix="0" xfId="47">
      <alignment horizontal="center" vertical="center"/>
    </xf>
    <xf numFmtId="0" fontId="4" fillId="0" borderId="2" applyAlignment="1" pivotButton="0" quotePrefix="0" xfId="48">
      <alignment horizontal="center" vertical="center"/>
    </xf>
    <xf numFmtId="0" fontId="4" fillId="0" borderId="5" applyAlignment="1" pivotButton="0" quotePrefix="0" xfId="48">
      <alignment horizontal="center" vertical="center"/>
    </xf>
    <xf numFmtId="0" fontId="4" fillId="0" borderId="1" applyAlignment="1" pivotButton="0" quotePrefix="0" xfId="48">
      <alignment horizontal="center" vertical="center"/>
    </xf>
    <xf numFmtId="0" fontId="4" fillId="0" borderId="6" applyAlignment="1" pivotButton="0" quotePrefix="0" xfId="48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3" fillId="0" borderId="2" pivotButton="0" quotePrefix="0" xfId="0"/>
    <xf numFmtId="0" fontId="4" fillId="0" borderId="5" applyAlignment="1" pivotButton="0" quotePrefix="0" xfId="50">
      <alignment horizontal="center" vertical="center"/>
    </xf>
    <xf numFmtId="0" fontId="4" fillId="0" borderId="1" applyAlignment="1" pivotButton="0" quotePrefix="0" xfId="50">
      <alignment horizontal="center" vertical="center"/>
    </xf>
    <xf numFmtId="0" fontId="4" fillId="0" borderId="2" applyAlignment="1" pivotButton="0" quotePrefix="0" xfId="50">
      <alignment horizontal="center" vertical="center"/>
    </xf>
    <xf numFmtId="0" fontId="4" fillId="0" borderId="6" applyAlignment="1" pivotButton="0" quotePrefix="0" xfId="50">
      <alignment horizontal="center" vertical="center"/>
    </xf>
    <xf numFmtId="0" fontId="4" fillId="0" borderId="4" applyAlignment="1" pivotButton="0" quotePrefix="0" xfId="51">
      <alignment horizontal="center" vertical="center"/>
    </xf>
    <xf numFmtId="0" fontId="4" fillId="0" borderId="1" applyAlignment="1" pivotButton="0" quotePrefix="0" xfId="51">
      <alignment horizontal="center" vertical="center"/>
    </xf>
    <xf numFmtId="0" fontId="4" fillId="0" borderId="2" applyAlignment="1" pivotButton="0" quotePrefix="0" xfId="51">
      <alignment horizontal="center" vertical="center"/>
    </xf>
    <xf numFmtId="0" fontId="4" fillId="0" borderId="1" applyAlignment="1" pivotButton="0" quotePrefix="0" xfId="53">
      <alignment horizontal="center" vertical="center"/>
    </xf>
    <xf numFmtId="0" fontId="4" fillId="0" borderId="6" applyAlignment="1" pivotButton="0" quotePrefix="0" xfId="55">
      <alignment horizontal="center" vertical="center"/>
    </xf>
    <xf numFmtId="0" fontId="4" fillId="0" borderId="4" applyAlignment="1" pivotButton="0" quotePrefix="0" xfId="56">
      <alignment horizontal="center" vertical="center"/>
    </xf>
    <xf numFmtId="0" fontId="4" fillId="0" borderId="1" applyAlignment="1" pivotButton="0" quotePrefix="0" xfId="56">
      <alignment horizontal="center" vertical="center"/>
    </xf>
    <xf numFmtId="0" fontId="4" fillId="0" borderId="2" applyAlignment="1" pivotButton="0" quotePrefix="0" xfId="56">
      <alignment horizontal="center" vertical="center"/>
    </xf>
    <xf numFmtId="0" fontId="4" fillId="0" borderId="5" applyAlignment="1" pivotButton="0" quotePrefix="0" xfId="56">
      <alignment horizontal="center" vertical="center"/>
    </xf>
    <xf numFmtId="0" fontId="4" fillId="0" borderId="6" applyAlignment="1" pivotButton="0" quotePrefix="0" xfId="56">
      <alignment horizontal="center" vertical="center"/>
    </xf>
    <xf numFmtId="0" fontId="4" fillId="0" borderId="4" applyAlignment="1" pivotButton="0" quotePrefix="0" xfId="58">
      <alignment horizontal="center" vertical="center"/>
    </xf>
    <xf numFmtId="0" fontId="4" fillId="0" borderId="3" applyAlignment="1" pivotButton="0" quotePrefix="0" xfId="58">
      <alignment horizontal="center" vertical="center"/>
    </xf>
    <xf numFmtId="0" fontId="4" fillId="0" borderId="1" applyAlignment="1" pivotButton="0" quotePrefix="0" xfId="61">
      <alignment horizontal="center" vertical="center"/>
    </xf>
    <xf numFmtId="0" fontId="4" fillId="0" borderId="6" applyAlignment="1" pivotButton="0" quotePrefix="0" xfId="61">
      <alignment horizontal="center" vertical="center"/>
    </xf>
    <xf numFmtId="0" fontId="4" fillId="0" borderId="1" applyAlignment="1" pivotButton="0" quotePrefix="0" xfId="1">
      <alignment horizontal="center" vertical="center" wrapText="1"/>
    </xf>
    <xf numFmtId="0" fontId="4" fillId="0" borderId="1" applyAlignment="1" pivotButton="0" quotePrefix="0" xfId="62">
      <alignment horizontal="center" vertical="center" wrapText="1"/>
    </xf>
    <xf numFmtId="164" fontId="3" fillId="0" borderId="1" applyAlignment="1" pivotButton="0" quotePrefix="0" xfId="0">
      <alignment horizontal="center" vertical="center"/>
    </xf>
    <xf numFmtId="164" fontId="3" fillId="0" borderId="2" applyAlignment="1" pivotButton="0" quotePrefix="0" xfId="0">
      <alignment horizontal="center" vertical="center"/>
    </xf>
    <xf numFmtId="164" fontId="3" fillId="0" borderId="6" applyAlignment="1" pivotButton="0" quotePrefix="0" xfId="0">
      <alignment horizontal="center" vertical="center"/>
    </xf>
    <xf numFmtId="164" fontId="3" fillId="0" borderId="5" applyAlignment="1" pivotButton="0" quotePrefix="0" xfId="0">
      <alignment horizontal="center" vertical="center"/>
    </xf>
    <xf numFmtId="164" fontId="3" fillId="0" borderId="4" applyAlignment="1" pivotButton="0" quotePrefix="0" xfId="0">
      <alignment horizontal="center" vertical="center"/>
    </xf>
    <xf numFmtId="164" fontId="3" fillId="0" borderId="7" applyAlignment="1" pivotButton="0" quotePrefix="0" xfId="0">
      <alignment horizontal="center" vertical="center"/>
    </xf>
    <xf numFmtId="164" fontId="3" fillId="0" borderId="5" applyAlignment="1" pivotButton="0" quotePrefix="0" xfId="0">
      <alignment horizontal="center" vertical="center" wrapText="1"/>
    </xf>
    <xf numFmtId="0" fontId="3" fillId="0" borderId="5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164" fontId="3" fillId="0" borderId="6" applyAlignment="1" pivotButton="0" quotePrefix="0" xfId="0">
      <alignment horizontal="center" vertical="center" wrapText="1"/>
    </xf>
    <xf numFmtId="0" fontId="3" fillId="0" borderId="6" applyAlignment="1" pivotButton="0" quotePrefix="0" xfId="0">
      <alignment horizontal="center" vertical="center" wrapText="1"/>
    </xf>
    <xf numFmtId="164" fontId="3" fillId="0" borderId="2" applyAlignment="1" pivotButton="0" quotePrefix="0" xfId="0">
      <alignment horizontal="center" vertical="center" wrapText="1"/>
    </xf>
    <xf numFmtId="0" fontId="3" fillId="0" borderId="2" applyAlignment="1" pivotButton="0" quotePrefix="0" xfId="0">
      <alignment horizontal="center" vertical="center" wrapText="1"/>
    </xf>
    <xf numFmtId="164" fontId="4" fillId="0" borderId="4" applyAlignment="1" pivotButton="0" quotePrefix="0" xfId="0">
      <alignment horizontal="center" vertical="center"/>
    </xf>
    <xf numFmtId="164" fontId="3" fillId="0" borderId="10" applyAlignment="1" pivotButton="0" quotePrefix="0" xfId="0">
      <alignment horizontal="center" vertical="center" wrapText="1"/>
    </xf>
    <xf numFmtId="0" fontId="3" fillId="0" borderId="10" applyAlignment="1" pivotButton="0" quotePrefix="0" xfId="0">
      <alignment horizontal="center" vertical="center" wrapText="1"/>
    </xf>
    <xf numFmtId="164" fontId="3" fillId="0" borderId="4" applyAlignment="1" pivotButton="0" quotePrefix="0" xfId="0">
      <alignment horizontal="center" vertical="center" wrapText="1"/>
    </xf>
    <xf numFmtId="0" fontId="3" fillId="0" borderId="4" applyAlignment="1" pivotButton="0" quotePrefix="0" xfId="0">
      <alignment horizontal="center" vertical="center" wrapText="1"/>
    </xf>
    <xf numFmtId="164" fontId="3" fillId="0" borderId="3" applyAlignment="1" pivotButton="0" quotePrefix="0" xfId="0">
      <alignment horizontal="center" vertical="center"/>
    </xf>
    <xf numFmtId="0" fontId="3" fillId="0" borderId="3" applyAlignment="1" pivotButton="0" quotePrefix="0" xfId="0">
      <alignment horizontal="center" vertical="center" wrapText="1"/>
    </xf>
    <xf numFmtId="0" fontId="3" fillId="0" borderId="6" applyAlignment="1" pivotButton="0" quotePrefix="0" xfId="0">
      <alignment horizontal="center" vertical="center"/>
    </xf>
    <xf numFmtId="0" fontId="4" fillId="0" borderId="2" applyAlignment="1" pivotButton="0" quotePrefix="0" xfId="0">
      <alignment horizontal="center" vertical="center"/>
    </xf>
    <xf numFmtId="164" fontId="3" fillId="0" borderId="3" applyAlignment="1" pivotButton="0" quotePrefix="0" xfId="0">
      <alignment horizontal="center" vertical="center" wrapText="1"/>
    </xf>
    <xf numFmtId="164" fontId="3" fillId="0" borderId="10" applyAlignment="1" pivotButton="0" quotePrefix="0" xfId="0">
      <alignment horizontal="center" vertical="center"/>
    </xf>
    <xf numFmtId="164" fontId="3" fillId="0" borderId="7" applyAlignment="1" pivotButton="0" quotePrefix="0" xfId="0">
      <alignment horizontal="center" vertical="center" wrapText="1"/>
    </xf>
    <xf numFmtId="164" fontId="3" fillId="0" borderId="8" applyAlignment="1" pivotButton="0" quotePrefix="0" xfId="0">
      <alignment horizontal="center" vertical="center"/>
    </xf>
    <xf numFmtId="0" fontId="3" fillId="0" borderId="8" applyAlignment="1" pivotButton="0" quotePrefix="0" xfId="0">
      <alignment horizontal="center" vertical="center" wrapText="1"/>
    </xf>
    <xf numFmtId="1" fontId="3" fillId="0" borderId="5" applyAlignment="1" pivotButton="0" quotePrefix="0" xfId="0">
      <alignment horizontal="center" vertical="center" wrapText="1"/>
    </xf>
    <xf numFmtId="1" fontId="3" fillId="0" borderId="1" applyAlignment="1" pivotButton="0" quotePrefix="0" xfId="0">
      <alignment horizontal="center" vertical="center" wrapText="1"/>
    </xf>
    <xf numFmtId="1" fontId="3" fillId="0" borderId="6" applyAlignment="1" pivotButton="0" quotePrefix="0" xfId="0">
      <alignment horizontal="center" vertical="center" wrapText="1"/>
    </xf>
    <xf numFmtId="1" fontId="3" fillId="0" borderId="7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1" fontId="3" fillId="0" borderId="2" applyAlignment="1" pivotButton="0" quotePrefix="0" xfId="0">
      <alignment horizontal="center" vertical="center" wrapText="1"/>
    </xf>
    <xf numFmtId="1" fontId="3" fillId="0" borderId="10" applyAlignment="1" pivotButton="0" quotePrefix="0" xfId="0">
      <alignment horizontal="center" vertical="center"/>
    </xf>
    <xf numFmtId="0" fontId="4" fillId="0" borderId="4" applyAlignment="1" pivotButton="0" quotePrefix="0" xfId="50">
      <alignment horizontal="center" vertical="center"/>
    </xf>
    <xf numFmtId="0" fontId="4" fillId="0" borderId="3" applyAlignment="1" pivotButton="0" quotePrefix="0" xfId="50">
      <alignment horizontal="center" vertical="center"/>
    </xf>
    <xf numFmtId="1" fontId="3" fillId="0" borderId="3" applyAlignment="1" pivotButton="0" quotePrefix="0" xfId="0">
      <alignment horizontal="center" vertical="center"/>
    </xf>
    <xf numFmtId="0" fontId="4" fillId="0" borderId="4" applyAlignment="1" pivotButton="0" quotePrefix="0" xfId="52">
      <alignment horizontal="center" vertical="center"/>
    </xf>
    <xf numFmtId="0" fontId="4" fillId="0" borderId="4" applyAlignment="1" pivotButton="0" quotePrefix="0" xfId="61">
      <alignment horizontal="center" vertical="center"/>
    </xf>
    <xf numFmtId="0" fontId="4" fillId="0" borderId="2" applyAlignment="1" pivotButton="0" quotePrefix="0" xfId="0">
      <alignment horizontal="center" vertical="center" wrapText="1"/>
    </xf>
    <xf numFmtId="0" fontId="5" fillId="0" borderId="6" applyAlignment="1" pivotButton="0" quotePrefix="0" xfId="0">
      <alignment horizontal="center" vertical="center" wrapText="1"/>
    </xf>
    <xf numFmtId="49" fontId="3" fillId="0" borderId="1" applyAlignment="1" pivotButton="0" quotePrefix="0" xfId="0">
      <alignment horizontal="center" vertical="center" wrapText="1"/>
    </xf>
    <xf numFmtId="0" fontId="3" fillId="0" borderId="10" applyAlignment="1" pivotButton="0" quotePrefix="0" xfId="0">
      <alignment horizontal="center" vertical="center"/>
    </xf>
    <xf numFmtId="0" fontId="3" fillId="0" borderId="3" applyAlignment="1" pivotButton="0" quotePrefix="0" xfId="0">
      <alignment horizontal="center" vertical="center"/>
    </xf>
    <xf numFmtId="0" fontId="3" fillId="0" borderId="8" applyAlignment="1" pivotButton="0" quotePrefix="0" xfId="0">
      <alignment horizontal="center" vertical="center"/>
    </xf>
    <xf numFmtId="0" fontId="3" fillId="0" borderId="5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0" fontId="3" fillId="0" borderId="4" applyAlignment="1" pivotButton="0" quotePrefix="0" xfId="0">
      <alignment horizontal="center" vertical="center"/>
    </xf>
    <xf numFmtId="0" fontId="3" fillId="0" borderId="2" applyAlignment="1" pivotButton="0" quotePrefix="0" xfId="0">
      <alignment horizontal="center" vertical="center"/>
    </xf>
    <xf numFmtId="0" fontId="4" fillId="0" borderId="5" applyAlignment="1" pivotButton="0" quotePrefix="0" xfId="23">
      <alignment horizontal="center" vertical="center"/>
    </xf>
    <xf numFmtId="0" fontId="4" fillId="0" borderId="6" applyAlignment="1" pivotButton="0" quotePrefix="0" xfId="23">
      <alignment horizontal="center" vertical="center"/>
    </xf>
    <xf numFmtId="0" fontId="4" fillId="0" borderId="5" applyAlignment="1" pivotButton="0" quotePrefix="0" xfId="36">
      <alignment horizontal="center" vertical="center"/>
    </xf>
    <xf numFmtId="0" fontId="4" fillId="0" borderId="1" applyAlignment="1" pivotButton="0" quotePrefix="0" xfId="36">
      <alignment horizontal="center" vertical="center"/>
    </xf>
    <xf numFmtId="0" fontId="4" fillId="0" borderId="6" applyAlignment="1" pivotButton="0" quotePrefix="0" xfId="36">
      <alignment horizontal="center" vertical="center"/>
    </xf>
    <xf numFmtId="0" fontId="4" fillId="0" borderId="4" applyAlignment="1" pivotButton="0" quotePrefix="0" xfId="0">
      <alignment horizontal="center" vertical="center"/>
    </xf>
    <xf numFmtId="0" fontId="3" fillId="0" borderId="0" pivotButton="0" quotePrefix="0" xfId="0"/>
    <xf numFmtId="0" fontId="5" fillId="0" borderId="11" applyAlignment="1" pivotButton="0" quotePrefix="0" xfId="0">
      <alignment vertical="center"/>
    </xf>
    <xf numFmtId="0" fontId="4" fillId="0" borderId="5" applyAlignment="1" pivotButton="0" quotePrefix="0" xfId="20">
      <alignment horizontal="center" vertical="center"/>
    </xf>
    <xf numFmtId="0" fontId="4" fillId="0" borderId="6" applyAlignment="1" pivotButton="0" quotePrefix="0" xfId="20">
      <alignment horizontal="center" vertical="center"/>
    </xf>
    <xf numFmtId="0" fontId="4" fillId="0" borderId="5" applyAlignment="1" pivotButton="0" quotePrefix="0" xfId="27">
      <alignment horizontal="center" vertical="center"/>
    </xf>
    <xf numFmtId="0" fontId="4" fillId="0" borderId="5" applyAlignment="1" pivotButton="0" quotePrefix="0" xfId="46">
      <alignment horizontal="center" vertical="center"/>
    </xf>
    <xf numFmtId="0" fontId="5" fillId="0" borderId="0" applyAlignment="1" pivotButton="0" quotePrefix="0" xfId="0">
      <alignment vertical="center"/>
    </xf>
    <xf numFmtId="0" fontId="7" fillId="0" borderId="11" applyAlignment="1" pivotButton="0" quotePrefix="0" xfId="0">
      <alignment vertical="center"/>
    </xf>
    <xf numFmtId="0" fontId="10" fillId="0" borderId="11" applyAlignment="1" pivotButton="0" quotePrefix="0" xfId="0">
      <alignment vertical="center"/>
    </xf>
    <xf numFmtId="0" fontId="10" fillId="0" borderId="11" applyAlignment="1" pivotButton="0" quotePrefix="0" xfId="0">
      <alignment horizontal="center" vertical="center"/>
    </xf>
    <xf numFmtId="49" fontId="3" fillId="0" borderId="1" applyAlignment="1" pivotButton="0" quotePrefix="0" xfId="0">
      <alignment horizontal="center" vertical="center"/>
    </xf>
    <xf numFmtId="0" fontId="3" fillId="0" borderId="11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49" fontId="4" fillId="0" borderId="1" applyAlignment="1" pivotButton="0" quotePrefix="0" xfId="0">
      <alignment horizontal="center" vertical="center"/>
    </xf>
    <xf numFmtId="0" fontId="4" fillId="0" borderId="5" applyAlignment="1" pivotButton="0" quotePrefix="0" xfId="62">
      <alignment horizontal="center" vertical="center" wrapText="1"/>
    </xf>
    <xf numFmtId="0" fontId="4" fillId="0" borderId="4" applyAlignment="1" pivotButton="0" quotePrefix="0" xfId="62">
      <alignment horizontal="center" vertical="center" wrapText="1"/>
    </xf>
    <xf numFmtId="0" fontId="4" fillId="0" borderId="2" applyAlignment="1" pivotButton="0" quotePrefix="0" xfId="62">
      <alignment horizontal="center" vertical="center" wrapText="1"/>
    </xf>
    <xf numFmtId="0" fontId="4" fillId="0" borderId="6" applyAlignment="1" pivotButton="0" quotePrefix="0" xfId="62">
      <alignment horizontal="center" vertical="center" wrapText="1"/>
    </xf>
    <xf numFmtId="0" fontId="5" fillId="0" borderId="7" applyAlignment="1" pivotButton="0" quotePrefix="0" xfId="0">
      <alignment horizontal="center" vertical="center" wrapText="1"/>
    </xf>
    <xf numFmtId="0" fontId="3" fillId="0" borderId="5" applyAlignment="1" pivotButton="0" quotePrefix="0" xfId="18">
      <alignment horizontal="center" vertical="center"/>
    </xf>
    <xf numFmtId="164" fontId="4" fillId="0" borderId="5" applyAlignment="1" pivotButton="0" quotePrefix="0" xfId="22">
      <alignment horizontal="center" vertical="center"/>
    </xf>
    <xf numFmtId="0" fontId="3" fillId="0" borderId="5" applyAlignment="1" pivotButton="0" quotePrefix="0" xfId="19">
      <alignment horizontal="center" vertical="center"/>
    </xf>
    <xf numFmtId="0" fontId="3" fillId="0" borderId="1" applyAlignment="1" pivotButton="0" quotePrefix="0" xfId="18">
      <alignment horizontal="center" vertical="center"/>
    </xf>
    <xf numFmtId="164" fontId="4" fillId="0" borderId="1" applyAlignment="1" pivotButton="0" quotePrefix="0" xfId="22">
      <alignment horizontal="center" vertical="center"/>
    </xf>
    <xf numFmtId="0" fontId="3" fillId="0" borderId="1" applyAlignment="1" pivotButton="0" quotePrefix="0" xfId="19">
      <alignment horizontal="center" vertical="center"/>
    </xf>
    <xf numFmtId="0" fontId="3" fillId="0" borderId="6" applyAlignment="1" pivotButton="0" quotePrefix="0" xfId="18">
      <alignment horizontal="center" vertical="center"/>
    </xf>
    <xf numFmtId="164" fontId="4" fillId="0" borderId="6" applyAlignment="1" pivotButton="0" quotePrefix="0" xfId="22">
      <alignment horizontal="center" vertical="center"/>
    </xf>
    <xf numFmtId="0" fontId="3" fillId="0" borderId="6" applyAlignment="1" pivotButton="0" quotePrefix="0" xfId="19">
      <alignment horizontal="center" vertical="center"/>
    </xf>
    <xf numFmtId="0" fontId="3" fillId="0" borderId="4" applyAlignment="1" pivotButton="0" quotePrefix="0" xfId="23">
      <alignment horizontal="center" vertical="center"/>
    </xf>
    <xf numFmtId="164" fontId="3" fillId="0" borderId="4" applyAlignment="1" pivotButton="0" quotePrefix="0" xfId="25">
      <alignment horizontal="center" vertical="center"/>
    </xf>
    <xf numFmtId="0" fontId="3" fillId="0" borderId="1" applyAlignment="1" pivotButton="0" quotePrefix="0" xfId="23">
      <alignment horizontal="center" vertical="center"/>
    </xf>
    <xf numFmtId="164" fontId="3" fillId="0" borderId="1" applyAlignment="1" pivotButton="0" quotePrefix="0" xfId="25">
      <alignment horizontal="center" vertical="center"/>
    </xf>
    <xf numFmtId="0" fontId="3" fillId="0" borderId="2" applyAlignment="1" pivotButton="0" quotePrefix="0" xfId="23">
      <alignment horizontal="center" vertical="center"/>
    </xf>
    <xf numFmtId="164" fontId="3" fillId="0" borderId="2" applyAlignment="1" pivotButton="0" quotePrefix="0" xfId="25">
      <alignment horizontal="center" vertical="center"/>
    </xf>
    <xf numFmtId="0" fontId="3" fillId="0" borderId="5" applyAlignment="1" pivotButton="0" quotePrefix="0" xfId="30">
      <alignment horizontal="center" vertical="center"/>
    </xf>
    <xf numFmtId="164" fontId="3" fillId="0" borderId="5" applyAlignment="1" pivotButton="0" quotePrefix="0" xfId="33">
      <alignment horizontal="center" vertical="center"/>
    </xf>
    <xf numFmtId="0" fontId="3" fillId="0" borderId="1" applyAlignment="1" pivotButton="0" quotePrefix="0" xfId="30">
      <alignment horizontal="center" vertical="center"/>
    </xf>
    <xf numFmtId="164" fontId="3" fillId="0" borderId="1" applyAlignment="1" pivotButton="0" quotePrefix="0" xfId="33">
      <alignment horizontal="center" vertical="center"/>
    </xf>
    <xf numFmtId="0" fontId="3" fillId="0" borderId="6" applyAlignment="1" pivotButton="0" quotePrefix="0" xfId="30">
      <alignment horizontal="center" vertical="center"/>
    </xf>
    <xf numFmtId="164" fontId="3" fillId="0" borderId="6" applyAlignment="1" pivotButton="0" quotePrefix="0" xfId="33">
      <alignment horizontal="center" vertical="center"/>
    </xf>
    <xf numFmtId="0" fontId="3" fillId="0" borderId="5" applyAlignment="1" pivotButton="0" quotePrefix="0" xfId="36">
      <alignment horizontal="center" vertical="center"/>
    </xf>
    <xf numFmtId="164" fontId="3" fillId="0" borderId="5" applyAlignment="1" pivotButton="0" quotePrefix="0" xfId="37">
      <alignment horizontal="center" vertical="center"/>
    </xf>
    <xf numFmtId="0" fontId="3" fillId="0" borderId="1" applyAlignment="1" pivotButton="0" quotePrefix="0" xfId="36">
      <alignment horizontal="center" vertical="center"/>
    </xf>
    <xf numFmtId="164" fontId="3" fillId="0" borderId="1" applyAlignment="1" pivotButton="0" quotePrefix="0" xfId="37">
      <alignment horizontal="center" vertical="center"/>
    </xf>
    <xf numFmtId="0" fontId="3" fillId="0" borderId="6" applyAlignment="1" pivotButton="0" quotePrefix="0" xfId="36">
      <alignment horizontal="center" vertical="center"/>
    </xf>
    <xf numFmtId="164" fontId="3" fillId="0" borderId="6" applyAlignment="1" pivotButton="0" quotePrefix="0" xfId="37">
      <alignment horizontal="center" vertical="center"/>
    </xf>
    <xf numFmtId="0" fontId="3" fillId="0" borderId="4" applyAlignment="1" pivotButton="0" quotePrefix="0" xfId="36">
      <alignment horizontal="center" vertical="center"/>
    </xf>
    <xf numFmtId="164" fontId="3" fillId="0" borderId="4" applyAlignment="1" pivotButton="0" quotePrefix="0" xfId="37">
      <alignment horizontal="center" vertical="center"/>
    </xf>
    <xf numFmtId="0" fontId="3" fillId="0" borderId="2" applyAlignment="1" pivotButton="0" quotePrefix="0" xfId="36">
      <alignment horizontal="center" vertical="center"/>
    </xf>
    <xf numFmtId="164" fontId="3" fillId="0" borderId="2" applyAlignment="1" pivotButton="0" quotePrefix="0" xfId="37">
      <alignment horizontal="center" vertical="center"/>
    </xf>
    <xf numFmtId="0" fontId="5" fillId="0" borderId="0" applyAlignment="1" pivotButton="0" quotePrefix="0" xfId="0">
      <alignment horizontal="center"/>
    </xf>
    <xf numFmtId="0" fontId="5" fillId="0" borderId="1" applyAlignment="1" pivotButton="0" quotePrefix="0" xfId="0">
      <alignment horizontal="center" vertical="center"/>
    </xf>
    <xf numFmtId="0" fontId="4" fillId="0" borderId="1" pivotButton="0" quotePrefix="0" xfId="0"/>
    <xf numFmtId="3" fontId="3" fillId="0" borderId="1" applyAlignment="1" pivotButton="0" quotePrefix="0" xfId="0">
      <alignment horizontal="center" vertical="center"/>
    </xf>
    <xf numFmtId="3" fontId="3" fillId="0" borderId="1" pivotButton="0" quotePrefix="0" xfId="0"/>
    <xf numFmtId="0" fontId="3" fillId="0" borderId="12" applyAlignment="1" pivotButton="0" quotePrefix="0" xfId="0">
      <alignment horizontal="center" vertical="center"/>
    </xf>
    <xf numFmtId="0" fontId="3" fillId="0" borderId="12" pivotButton="0" quotePrefix="0" xfId="0"/>
    <xf numFmtId="0" fontId="4" fillId="0" borderId="1" applyAlignment="1" pivotButton="0" quotePrefix="0" xfId="19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 wrapText="1"/>
    </xf>
    <xf numFmtId="0" fontId="0" fillId="0" borderId="5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 vertical="center"/>
    </xf>
    <xf numFmtId="0" fontId="0" fillId="0" borderId="2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 vertical="center"/>
    </xf>
    <xf numFmtId="0" fontId="3" fillId="0" borderId="12" applyAlignment="1" pivotButton="0" quotePrefix="0" xfId="0">
      <alignment vertical="center" wrapText="1"/>
    </xf>
    <xf numFmtId="0" fontId="0" fillId="0" borderId="3" applyAlignment="1" pivotButton="0" quotePrefix="0" xfId="0">
      <alignment horizontal="center" vertical="center"/>
    </xf>
    <xf numFmtId="0" fontId="0" fillId="0" borderId="5" pivotButton="0" quotePrefix="0" xfId="0"/>
    <xf numFmtId="0" fontId="0" fillId="0" borderId="6" pivotButton="0" quotePrefix="0" xfId="0"/>
    <xf numFmtId="0" fontId="0" fillId="0" borderId="7" applyAlignment="1" pivotButton="0" quotePrefix="0" xfId="0">
      <alignment horizontal="center" vertical="center"/>
    </xf>
    <xf numFmtId="0" fontId="0" fillId="0" borderId="7" pivotButton="0" quotePrefix="0" xfId="0"/>
    <xf numFmtId="0" fontId="0" fillId="0" borderId="2" pivotButton="0" quotePrefix="0" xfId="0"/>
    <xf numFmtId="0" fontId="3" fillId="0" borderId="7" applyAlignment="1" pivotButton="0" quotePrefix="0" xfId="36">
      <alignment horizontal="center" vertical="center"/>
    </xf>
    <xf numFmtId="164" fontId="3" fillId="0" borderId="7" applyAlignment="1" pivotButton="0" quotePrefix="0" xfId="37">
      <alignment horizontal="center" vertical="center"/>
    </xf>
    <xf numFmtId="0" fontId="0" fillId="0" borderId="1" applyAlignment="1" pivotButton="0" quotePrefix="0" xfId="0">
      <alignment horizontal="center" vertical="center" wrapText="1"/>
    </xf>
    <xf numFmtId="0" fontId="4" fillId="0" borderId="7" applyAlignment="1" pivotButton="0" quotePrefix="0" xfId="0">
      <alignment horizontal="center" vertical="center"/>
    </xf>
    <xf numFmtId="0" fontId="4" fillId="0" borderId="10" applyAlignment="1" pivotButton="0" quotePrefix="0" xfId="0">
      <alignment horizontal="center" vertical="center"/>
    </xf>
    <xf numFmtId="0" fontId="4" fillId="0" borderId="7" applyAlignment="1" pivotButton="0" quotePrefix="0" xfId="0">
      <alignment horizontal="center" vertical="center" wrapText="1"/>
    </xf>
    <xf numFmtId="0" fontId="4" fillId="0" borderId="3" applyAlignment="1" pivotButton="0" quotePrefix="0" xfId="0">
      <alignment horizontal="center" vertical="center" wrapText="1"/>
    </xf>
    <xf numFmtId="0" fontId="4" fillId="0" borderId="10" applyAlignment="1" pivotButton="0" quotePrefix="0" xfId="0">
      <alignment horizontal="center" vertical="center" wrapText="1"/>
    </xf>
    <xf numFmtId="0" fontId="4" fillId="0" borderId="8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/>
    </xf>
    <xf numFmtId="0" fontId="3" fillId="0" borderId="14" applyAlignment="1" pivotButton="0" quotePrefix="0" xfId="0">
      <alignment horizontal="center" vertical="center"/>
    </xf>
    <xf numFmtId="0" fontId="3" fillId="0" borderId="19" applyAlignment="1" pivotButton="0" quotePrefix="0" xfId="0">
      <alignment horizontal="center" vertical="center"/>
    </xf>
    <xf numFmtId="0" fontId="3" fillId="0" borderId="20" applyAlignment="1" pivotButton="0" quotePrefix="0" xfId="0">
      <alignment horizontal="center" vertical="center"/>
    </xf>
    <xf numFmtId="0" fontId="3" fillId="0" borderId="18" applyAlignment="1" pivotButton="0" quotePrefix="0" xfId="0">
      <alignment horizontal="center" vertical="center"/>
    </xf>
    <xf numFmtId="0" fontId="3" fillId="0" borderId="15" applyAlignment="1" pivotButton="0" quotePrefix="0" xfId="0">
      <alignment horizontal="center" vertical="center"/>
    </xf>
    <xf numFmtId="0" fontId="3" fillId="0" borderId="21" applyAlignment="1" pivotButton="0" quotePrefix="0" xfId="0">
      <alignment horizontal="center" vertical="center"/>
    </xf>
    <xf numFmtId="0" fontId="0" fillId="0" borderId="23" pivotButton="0" quotePrefix="0" xfId="0"/>
    <xf numFmtId="0" fontId="0" fillId="0" borderId="24" pivotButton="0" quotePrefix="0" xfId="0"/>
    <xf numFmtId="49" fontId="3" fillId="0" borderId="25" applyAlignment="1" pivotButton="0" quotePrefix="0" xfId="0">
      <alignment horizontal="center" vertical="center"/>
    </xf>
    <xf numFmtId="49" fontId="3" fillId="0" borderId="26" applyAlignment="1" pivotButton="0" quotePrefix="0" xfId="0">
      <alignment horizontal="center" vertical="center"/>
    </xf>
    <xf numFmtId="0" fontId="0" fillId="0" borderId="22" applyAlignment="1" pivotButton="0" quotePrefix="0" xfId="0">
      <alignment horizontal="center"/>
    </xf>
    <xf numFmtId="0" fontId="0" fillId="0" borderId="23" applyAlignment="1" pivotButton="0" quotePrefix="0" xfId="0">
      <alignment horizontal="center"/>
    </xf>
    <xf numFmtId="0" fontId="0" fillId="0" borderId="24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3" fillId="0" borderId="16" applyAlignment="1" pivotButton="0" quotePrefix="0" xfId="0">
      <alignment horizontal="center" vertical="center"/>
    </xf>
    <xf numFmtId="0" fontId="3" fillId="0" borderId="27" applyAlignment="1" pivotButton="0" quotePrefix="0" xfId="0">
      <alignment horizontal="center" vertical="center" wrapText="1"/>
    </xf>
    <xf numFmtId="0" fontId="0" fillId="0" borderId="22" applyAlignment="1" pivotButton="0" quotePrefix="0" xfId="0">
      <alignment horizontal="center" vertical="center"/>
    </xf>
    <xf numFmtId="0" fontId="0" fillId="0" borderId="23" applyAlignment="1" pivotButton="0" quotePrefix="0" xfId="0">
      <alignment horizontal="center" vertical="center"/>
    </xf>
    <xf numFmtId="0" fontId="3" fillId="0" borderId="35" applyAlignment="1" pivotButton="0" quotePrefix="0" xfId="0">
      <alignment horizontal="center" vertical="center"/>
    </xf>
    <xf numFmtId="49" fontId="3" fillId="0" borderId="37" applyAlignment="1" pivotButton="0" quotePrefix="0" xfId="0">
      <alignment horizontal="center" vertical="center"/>
    </xf>
    <xf numFmtId="0" fontId="0" fillId="0" borderId="22" pivotButton="0" quotePrefix="0" xfId="0"/>
    <xf numFmtId="0" fontId="3" fillId="0" borderId="19" applyAlignment="1" pivotButton="0" quotePrefix="0" xfId="0">
      <alignment horizontal="center" vertical="center" wrapText="1"/>
    </xf>
    <xf numFmtId="0" fontId="3" fillId="0" borderId="18" applyAlignment="1" pivotButton="0" quotePrefix="0" xfId="0">
      <alignment horizontal="center" vertical="center" wrapText="1"/>
    </xf>
    <xf numFmtId="0" fontId="3" fillId="0" borderId="15" applyAlignment="1" pivotButton="0" quotePrefix="0" xfId="0">
      <alignment horizontal="center" vertical="center" wrapText="1"/>
    </xf>
    <xf numFmtId="0" fontId="3" fillId="0" borderId="26" applyAlignment="1" pivotButton="0" quotePrefix="0" xfId="0">
      <alignment horizontal="center" vertical="center"/>
    </xf>
    <xf numFmtId="0" fontId="4" fillId="0" borderId="16" applyAlignment="1" pivotButton="0" quotePrefix="0" xfId="9">
      <alignment horizontal="center" vertical="center"/>
    </xf>
    <xf numFmtId="0" fontId="4" fillId="0" borderId="19" applyAlignment="1" pivotButton="0" quotePrefix="0" xfId="9">
      <alignment horizontal="center" vertical="center"/>
    </xf>
    <xf numFmtId="0" fontId="4" fillId="0" borderId="18" applyAlignment="1" pivotButton="0" quotePrefix="0" xfId="9">
      <alignment horizontal="center" vertical="center"/>
    </xf>
    <xf numFmtId="0" fontId="4" fillId="0" borderId="15" applyAlignment="1" pivotButton="0" quotePrefix="0" xfId="9">
      <alignment horizontal="center" vertical="center"/>
    </xf>
    <xf numFmtId="0" fontId="4" fillId="0" borderId="20" applyAlignment="1" pivotButton="0" quotePrefix="0" xfId="9">
      <alignment horizontal="center" vertical="center"/>
    </xf>
    <xf numFmtId="0" fontId="4" fillId="0" borderId="21" applyAlignment="1" pivotButton="0" quotePrefix="0" xfId="9">
      <alignment horizontal="center" vertical="center"/>
    </xf>
    <xf numFmtId="0" fontId="0" fillId="0" borderId="45" pivotButton="0" quotePrefix="0" xfId="0"/>
    <xf numFmtId="0" fontId="0" fillId="0" borderId="44" pivotButton="0" quotePrefix="0" xfId="0"/>
    <xf numFmtId="0" fontId="0" fillId="0" borderId="34" pivotButton="0" quotePrefix="0" xfId="0"/>
    <xf numFmtId="0" fontId="3" fillId="0" borderId="47" applyAlignment="1" pivotButton="0" quotePrefix="0" xfId="0">
      <alignment horizontal="center" vertical="center"/>
    </xf>
    <xf numFmtId="0" fontId="0" fillId="0" borderId="48" pivotButton="0" quotePrefix="0" xfId="0"/>
    <xf numFmtId="0" fontId="0" fillId="0" borderId="42" pivotButton="0" quotePrefix="0" xfId="0"/>
    <xf numFmtId="0" fontId="0" fillId="0" borderId="34" applyAlignment="1" pivotButton="0" quotePrefix="0" xfId="0">
      <alignment horizontal="center"/>
    </xf>
    <xf numFmtId="0" fontId="0" fillId="0" borderId="44" applyAlignment="1" pivotButton="0" quotePrefix="0" xfId="0">
      <alignment horizontal="center" vertical="center"/>
    </xf>
    <xf numFmtId="0" fontId="0" fillId="0" borderId="24" applyAlignment="1" pivotButton="0" quotePrefix="0" xfId="0">
      <alignment horizontal="center" vertical="center"/>
    </xf>
    <xf numFmtId="0" fontId="0" fillId="0" borderId="0" applyAlignment="1" pivotButton="0" quotePrefix="0" xfId="0">
      <alignment horizontal="right" vertical="center"/>
    </xf>
    <xf numFmtId="0" fontId="5" fillId="0" borderId="2" applyAlignment="1" pivotButton="0" quotePrefix="0" xfId="0">
      <alignment horizontal="right" vertical="center" wrapText="1"/>
    </xf>
    <xf numFmtId="0" fontId="0" fillId="0" borderId="22" applyAlignment="1" pivotButton="0" quotePrefix="0" xfId="0">
      <alignment horizontal="right" vertical="center"/>
    </xf>
    <xf numFmtId="0" fontId="0" fillId="0" borderId="23" applyAlignment="1" pivotButton="0" quotePrefix="0" xfId="0">
      <alignment horizontal="right" vertical="center"/>
    </xf>
    <xf numFmtId="0" fontId="0" fillId="0" borderId="45" applyAlignment="1" pivotButton="0" quotePrefix="0" xfId="0">
      <alignment horizontal="right" vertical="center"/>
    </xf>
    <xf numFmtId="0" fontId="0" fillId="0" borderId="24" applyAlignment="1" pivotButton="0" quotePrefix="0" xfId="0">
      <alignment horizontal="right" vertical="center"/>
    </xf>
    <xf numFmtId="0" fontId="0" fillId="0" borderId="34" applyAlignment="1" pivotButton="0" quotePrefix="0" xfId="0">
      <alignment horizontal="right" vertical="center"/>
    </xf>
    <xf numFmtId="0" fontId="0" fillId="0" borderId="44" applyAlignment="1" pivotButton="0" quotePrefix="0" xfId="0">
      <alignment horizontal="right" vertical="center"/>
    </xf>
    <xf numFmtId="0" fontId="2" fillId="0" borderId="0" applyAlignment="1" pivotButton="0" quotePrefix="0" xfId="0">
      <alignment horizontal="right" vertical="center"/>
    </xf>
    <xf numFmtId="0" fontId="0" fillId="0" borderId="22" applyAlignment="1" pivotButton="0" quotePrefix="0" xfId="0">
      <alignment horizontal="right"/>
    </xf>
    <xf numFmtId="0" fontId="0" fillId="0" borderId="23" applyAlignment="1" pivotButton="0" quotePrefix="0" xfId="0">
      <alignment horizontal="right"/>
    </xf>
    <xf numFmtId="0" fontId="0" fillId="0" borderId="45" applyAlignment="1" pivotButton="0" quotePrefix="0" xfId="0">
      <alignment horizontal="right"/>
    </xf>
    <xf numFmtId="0" fontId="0" fillId="0" borderId="42" applyAlignment="1" pivotButton="0" quotePrefix="0" xfId="0">
      <alignment horizontal="right"/>
    </xf>
    <xf numFmtId="0" fontId="0" fillId="0" borderId="24" applyAlignment="1" pivotButton="0" quotePrefix="0" xfId="0">
      <alignment horizontal="right"/>
    </xf>
    <xf numFmtId="0" fontId="0" fillId="0" borderId="34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" fillId="0" borderId="0" applyAlignment="1" pivotButton="0" quotePrefix="0" xfId="0">
      <alignment horizontal="right" vertical="center"/>
    </xf>
    <xf numFmtId="0" fontId="5" fillId="0" borderId="1" applyAlignment="1" pivotButton="0" quotePrefix="0" xfId="0">
      <alignment horizontal="right" vertical="center" wrapText="1"/>
    </xf>
    <xf numFmtId="0" fontId="5" fillId="0" borderId="0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0" fontId="3" fillId="0" borderId="6" applyAlignment="1" pivotButton="0" quotePrefix="0" xfId="0">
      <alignment horizontal="center" vertical="center"/>
    </xf>
    <xf numFmtId="0" fontId="3" fillId="0" borderId="5" applyAlignment="1" pivotButton="0" quotePrefix="0" xfId="0">
      <alignment horizontal="center" vertical="center"/>
    </xf>
    <xf numFmtId="0" fontId="3" fillId="0" borderId="10" applyAlignment="1" pivotButton="0" quotePrefix="0" xfId="0">
      <alignment horizontal="center" vertical="center"/>
    </xf>
    <xf numFmtId="0" fontId="3" fillId="0" borderId="3" applyAlignment="1" pivotButton="0" quotePrefix="0" xfId="0">
      <alignment horizontal="center" vertical="center"/>
    </xf>
    <xf numFmtId="0" fontId="3" fillId="0" borderId="8" applyAlignment="1" pivotButton="0" quotePrefix="0" xfId="0">
      <alignment horizontal="center" vertical="center"/>
    </xf>
    <xf numFmtId="0" fontId="9" fillId="0" borderId="11" applyAlignment="1" pivotButton="0" quotePrefix="0" xfId="0">
      <alignment horizontal="center" vertical="center"/>
    </xf>
    <xf numFmtId="0" fontId="3" fillId="0" borderId="10" applyAlignment="1" pivotButton="0" quotePrefix="0" xfId="0">
      <alignment horizontal="center" vertical="center" wrapText="1"/>
    </xf>
    <xf numFmtId="0" fontId="3" fillId="0" borderId="3" applyAlignment="1" pivotButton="0" quotePrefix="0" xfId="0">
      <alignment horizontal="center" vertical="center" wrapText="1"/>
    </xf>
    <xf numFmtId="0" fontId="3" fillId="0" borderId="8" applyAlignment="1" pivotButton="0" quotePrefix="0" xfId="0">
      <alignment horizontal="center" vertical="center" wrapText="1"/>
    </xf>
    <xf numFmtId="0" fontId="3" fillId="0" borderId="5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6" applyAlignment="1" pivotButton="0" quotePrefix="0" xfId="0">
      <alignment horizontal="center" vertical="center" wrapText="1"/>
    </xf>
    <xf numFmtId="49" fontId="3" fillId="0" borderId="46" applyAlignment="1" pivotButton="0" quotePrefix="0" xfId="0">
      <alignment horizontal="center" vertical="center"/>
    </xf>
    <xf numFmtId="49" fontId="3" fillId="0" borderId="25" applyAlignment="1" pivotButton="0" quotePrefix="0" xfId="0">
      <alignment horizontal="center" vertical="center"/>
    </xf>
    <xf numFmtId="0" fontId="7" fillId="0" borderId="11" applyAlignment="1" pivotButton="0" quotePrefix="0" xfId="0">
      <alignment horizontal="center"/>
    </xf>
    <xf numFmtId="0" fontId="3" fillId="0" borderId="4" applyAlignment="1" pivotButton="0" quotePrefix="0" xfId="0">
      <alignment horizontal="center" vertical="center"/>
    </xf>
    <xf numFmtId="0" fontId="3" fillId="0" borderId="2" applyAlignment="1" pivotButton="0" quotePrefix="0" xfId="0">
      <alignment horizontal="center" vertical="center"/>
    </xf>
    <xf numFmtId="0" fontId="0" fillId="0" borderId="27" applyAlignment="1" pivotButton="0" quotePrefix="0" xfId="0">
      <alignment horizontal="center" vertical="center"/>
    </xf>
    <xf numFmtId="0" fontId="0" fillId="0" borderId="27" applyAlignment="1" pivotButton="0" quotePrefix="0" xfId="0">
      <alignment horizontal="center"/>
    </xf>
    <xf numFmtId="0" fontId="4" fillId="0" borderId="5" applyAlignment="1" pivotButton="0" quotePrefix="0" xfId="23">
      <alignment horizontal="center" vertical="center"/>
    </xf>
    <xf numFmtId="0" fontId="4" fillId="0" borderId="1" applyAlignment="1" pivotButton="0" quotePrefix="0" xfId="23">
      <alignment horizontal="center" vertical="center"/>
    </xf>
    <xf numFmtId="0" fontId="4" fillId="0" borderId="6" applyAlignment="1" pivotButton="0" quotePrefix="0" xfId="23">
      <alignment horizontal="center" vertical="center"/>
    </xf>
    <xf numFmtId="0" fontId="4" fillId="0" borderId="4" applyAlignment="1" pivotButton="0" quotePrefix="0" xfId="23">
      <alignment horizontal="center" vertical="center"/>
    </xf>
    <xf numFmtId="0" fontId="4" fillId="0" borderId="2" applyAlignment="1" pivotButton="0" quotePrefix="0" xfId="23">
      <alignment horizontal="center" vertical="center"/>
    </xf>
    <xf numFmtId="0" fontId="4" fillId="0" borderId="10" applyAlignment="1" pivotButton="0" quotePrefix="0" xfId="36">
      <alignment horizontal="center" vertical="center"/>
    </xf>
    <xf numFmtId="0" fontId="4" fillId="0" borderId="3" applyAlignment="1" pivotButton="0" quotePrefix="0" xfId="36">
      <alignment horizontal="center" vertical="center"/>
    </xf>
    <xf numFmtId="0" fontId="4" fillId="0" borderId="8" applyAlignment="1" pivotButton="0" quotePrefix="0" xfId="36">
      <alignment horizontal="center" vertical="center"/>
    </xf>
    <xf numFmtId="0" fontId="4" fillId="0" borderId="5" applyAlignment="1" pivotButton="0" quotePrefix="0" xfId="25">
      <alignment horizontal="center" vertical="center"/>
    </xf>
    <xf numFmtId="0" fontId="4" fillId="0" borderId="1" applyAlignment="1" pivotButton="0" quotePrefix="0" xfId="25">
      <alignment horizontal="center" vertical="center"/>
    </xf>
    <xf numFmtId="0" fontId="4" fillId="0" borderId="6" applyAlignment="1" pivotButton="0" quotePrefix="0" xfId="25">
      <alignment horizontal="center" vertical="center"/>
    </xf>
    <xf numFmtId="0" fontId="4" fillId="0" borderId="5" applyAlignment="1" pivotButton="0" quotePrefix="0" xfId="36">
      <alignment horizontal="center" vertical="center"/>
    </xf>
    <xf numFmtId="0" fontId="4" fillId="0" borderId="1" applyAlignment="1" pivotButton="0" quotePrefix="0" xfId="36">
      <alignment horizontal="center" vertical="center"/>
    </xf>
    <xf numFmtId="0" fontId="4" fillId="0" borderId="6" applyAlignment="1" pivotButton="0" quotePrefix="0" xfId="36">
      <alignment horizontal="center" vertical="center"/>
    </xf>
    <xf numFmtId="0" fontId="4" fillId="0" borderId="4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2" applyAlignment="1" pivotButton="0" quotePrefix="0" xfId="0">
      <alignment horizontal="center" vertical="center"/>
    </xf>
    <xf numFmtId="0" fontId="4" fillId="0" borderId="5" applyAlignment="1" pivotButton="0" quotePrefix="0" xfId="0">
      <alignment horizontal="center" vertical="center"/>
    </xf>
    <xf numFmtId="0" fontId="4" fillId="0" borderId="6" applyAlignment="1" pivotButton="0" quotePrefix="0" xfId="0">
      <alignment horizontal="center" vertical="center"/>
    </xf>
    <xf numFmtId="0" fontId="4" fillId="0" borderId="10" applyAlignment="1" pivotButton="0" quotePrefix="0" xfId="8">
      <alignment horizontal="center" vertical="center"/>
    </xf>
    <xf numFmtId="0" fontId="4" fillId="0" borderId="3" applyAlignment="1" pivotButton="0" quotePrefix="0" xfId="8">
      <alignment horizontal="center" vertical="center"/>
    </xf>
    <xf numFmtId="0" fontId="4" fillId="0" borderId="8" applyAlignment="1" pivotButton="0" quotePrefix="0" xfId="8">
      <alignment horizontal="center" vertical="center"/>
    </xf>
    <xf numFmtId="0" fontId="7" fillId="0" borderId="11" applyAlignment="1" pivotButton="0" quotePrefix="0" xfId="0">
      <alignment horizontal="center" vertical="center"/>
    </xf>
    <xf numFmtId="0" fontId="4" fillId="0" borderId="10" applyAlignment="1" pivotButton="0" quotePrefix="0" xfId="8">
      <alignment horizontal="center" vertical="center" wrapText="1"/>
    </xf>
    <xf numFmtId="0" fontId="4" fillId="0" borderId="3" applyAlignment="1" pivotButton="0" quotePrefix="0" xfId="8">
      <alignment horizontal="center" vertical="center" wrapText="1"/>
    </xf>
    <xf numFmtId="0" fontId="4" fillId="0" borderId="8" applyAlignment="1" pivotButton="0" quotePrefix="0" xfId="8">
      <alignment horizontal="center" vertical="center" wrapText="1"/>
    </xf>
    <xf numFmtId="49" fontId="3" fillId="0" borderId="26" applyAlignment="1" pivotButton="0" quotePrefix="0" xfId="0">
      <alignment horizontal="center" vertical="center"/>
    </xf>
    <xf numFmtId="0" fontId="4" fillId="0" borderId="10" applyAlignment="1" pivotButton="0" quotePrefix="0" xfId="56">
      <alignment horizontal="center" vertical="center"/>
    </xf>
    <xf numFmtId="0" fontId="4" fillId="0" borderId="3" applyAlignment="1" pivotButton="0" quotePrefix="0" xfId="56">
      <alignment horizontal="center" vertical="center"/>
    </xf>
    <xf numFmtId="0" fontId="4" fillId="0" borderId="8" applyAlignment="1" pivotButton="0" quotePrefix="0" xfId="56">
      <alignment horizontal="center" vertical="center"/>
    </xf>
    <xf numFmtId="0" fontId="4" fillId="0" borderId="5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6" applyAlignment="1" pivotButton="0" quotePrefix="0" xfId="0">
      <alignment horizontal="center" vertical="center" wrapText="1"/>
    </xf>
    <xf numFmtId="0" fontId="4" fillId="0" borderId="3" applyAlignment="1" pivotButton="0" quotePrefix="0" xfId="57">
      <alignment horizontal="center" vertical="center"/>
    </xf>
    <xf numFmtId="0" fontId="3" fillId="0" borderId="27" applyAlignment="1" pivotButton="0" quotePrefix="0" xfId="0">
      <alignment horizontal="center" vertical="center"/>
    </xf>
    <xf numFmtId="49" fontId="3" fillId="0" borderId="33" applyAlignment="1" pivotButton="0" quotePrefix="0" xfId="0">
      <alignment horizontal="center" vertical="center"/>
    </xf>
    <xf numFmtId="0" fontId="4" fillId="0" borderId="10" applyAlignment="1" pivotButton="0" quotePrefix="0" xfId="0">
      <alignment horizontal="center" vertical="center" wrapText="1"/>
    </xf>
    <xf numFmtId="0" fontId="4" fillId="0" borderId="3" applyAlignment="1" pivotButton="0" quotePrefix="0" xfId="0">
      <alignment horizontal="center" vertical="center" wrapText="1"/>
    </xf>
    <xf numFmtId="0" fontId="4" fillId="0" borderId="8" applyAlignment="1" pivotButton="0" quotePrefix="0" xfId="0">
      <alignment horizontal="center" vertical="center" wrapText="1"/>
    </xf>
    <xf numFmtId="0" fontId="3" fillId="0" borderId="2" applyAlignment="1" pivotButton="0" quotePrefix="0" xfId="0">
      <alignment horizontal="center" vertical="center" wrapText="1"/>
    </xf>
    <xf numFmtId="0" fontId="3" fillId="0" borderId="4" applyAlignment="1" pivotButton="0" quotePrefix="0" xfId="0">
      <alignment horizontal="center" vertical="center" wrapText="1"/>
    </xf>
    <xf numFmtId="0" fontId="3" fillId="0" borderId="27" applyAlignment="1" pivotButton="0" quotePrefix="0" xfId="0">
      <alignment horizontal="center" vertical="center" wrapText="1"/>
    </xf>
    <xf numFmtId="0" fontId="3" fillId="0" borderId="28" applyAlignment="1" pivotButton="0" quotePrefix="0" xfId="0">
      <alignment horizontal="center" vertical="center" wrapText="1"/>
    </xf>
    <xf numFmtId="0" fontId="3" fillId="0" borderId="31" applyAlignment="1" pivotButton="0" quotePrefix="0" xfId="0">
      <alignment horizontal="center" vertical="center" wrapText="1"/>
    </xf>
    <xf numFmtId="0" fontId="3" fillId="0" borderId="17" applyAlignment="1" pivotButton="0" quotePrefix="0" xfId="0">
      <alignment horizontal="center" vertical="center" wrapText="1"/>
    </xf>
    <xf numFmtId="0" fontId="3" fillId="0" borderId="32" applyAlignment="1" pivotButton="0" quotePrefix="0" xfId="0">
      <alignment horizontal="center" vertical="center" wrapText="1"/>
    </xf>
    <xf numFmtId="0" fontId="3" fillId="0" borderId="29" applyAlignment="1" pivotButton="0" quotePrefix="0" xfId="0">
      <alignment horizontal="center" vertical="center" wrapText="1"/>
    </xf>
    <xf numFmtId="0" fontId="3" fillId="0" borderId="30" applyAlignment="1" pivotButton="0" quotePrefix="0" xfId="0">
      <alignment horizontal="center" vertical="center" wrapText="1"/>
    </xf>
    <xf numFmtId="49" fontId="3" fillId="0" borderId="27" applyAlignment="1" pivotButton="0" quotePrefix="0" xfId="0">
      <alignment horizontal="center" vertical="center" wrapText="1"/>
    </xf>
    <xf numFmtId="49" fontId="3" fillId="0" borderId="38" applyAlignment="1" pivotButton="0" quotePrefix="0" xfId="0">
      <alignment horizontal="center" vertical="center"/>
    </xf>
    <xf numFmtId="49" fontId="3" fillId="0" borderId="39" applyAlignment="1" pivotButton="0" quotePrefix="0" xfId="0">
      <alignment horizontal="center" vertical="center"/>
    </xf>
    <xf numFmtId="49" fontId="3" fillId="0" borderId="40" applyAlignment="1" pivotButton="0" quotePrefix="0" xfId="0">
      <alignment horizontal="center" vertical="center"/>
    </xf>
    <xf numFmtId="49" fontId="3" fillId="0" borderId="37" applyAlignment="1" pivotButton="0" quotePrefix="0" xfId="0">
      <alignment horizontal="center" vertical="center"/>
    </xf>
    <xf numFmtId="49" fontId="3" fillId="0" borderId="41" applyAlignment="1" pivotButton="0" quotePrefix="0" xfId="0">
      <alignment horizontal="center" vertical="center"/>
    </xf>
    <xf numFmtId="49" fontId="3" fillId="0" borderId="36" applyAlignment="1" pivotButton="0" quotePrefix="0" xfId="0">
      <alignment horizontal="center" vertical="center"/>
    </xf>
    <xf numFmtId="0" fontId="3" fillId="0" borderId="45" applyAlignment="1" pivotButton="0" quotePrefix="0" xfId="0">
      <alignment horizontal="center" vertical="center"/>
    </xf>
    <xf numFmtId="0" fontId="3" fillId="0" borderId="43" applyAlignment="1" pivotButton="0" quotePrefix="0" xfId="0">
      <alignment horizontal="center" vertical="center"/>
    </xf>
    <xf numFmtId="0" fontId="3" fillId="0" borderId="44" applyAlignment="1" pivotButton="0" quotePrefix="0" xfId="0">
      <alignment horizontal="center" vertical="center"/>
    </xf>
    <xf numFmtId="49" fontId="3" fillId="0" borderId="45" applyAlignment="1" pivotButton="0" quotePrefix="0" xfId="0">
      <alignment horizontal="center" vertical="center"/>
    </xf>
    <xf numFmtId="49" fontId="3" fillId="0" borderId="43" applyAlignment="1" pivotButton="0" quotePrefix="0" xfId="0">
      <alignment horizontal="center" vertical="center"/>
    </xf>
    <xf numFmtId="49" fontId="3" fillId="0" borderId="44" applyAlignment="1" pivotButton="0" quotePrefix="0" xfId="0">
      <alignment horizontal="center" vertical="center"/>
    </xf>
    <xf numFmtId="0" fontId="3" fillId="0" borderId="42" applyAlignment="1" pivotButton="0" quotePrefix="0" xfId="0">
      <alignment horizontal="center" vertical="center"/>
    </xf>
    <xf numFmtId="0" fontId="4" fillId="0" borderId="10" applyAlignment="1" pivotButton="0" quotePrefix="0" xfId="0">
      <alignment horizontal="center" vertical="center"/>
    </xf>
    <xf numFmtId="0" fontId="4" fillId="0" borderId="8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0" fontId="4" fillId="0" borderId="4" applyAlignment="1" pivotButton="0" quotePrefix="0" xfId="0">
      <alignment horizontal="center" vertical="center" wrapText="1"/>
    </xf>
    <xf numFmtId="0" fontId="4" fillId="0" borderId="3" applyAlignment="1" pivotButton="0" quotePrefix="0" xfId="0">
      <alignment horizontal="center" vertical="center"/>
    </xf>
    <xf numFmtId="0" fontId="3" fillId="0" borderId="1" applyAlignment="1" pivotButton="0" quotePrefix="0" xfId="36">
      <alignment horizontal="center" vertical="center"/>
    </xf>
    <xf numFmtId="0" fontId="3" fillId="0" borderId="6" applyAlignment="1" pivotButton="0" quotePrefix="0" xfId="36">
      <alignment horizontal="center" vertical="center"/>
    </xf>
    <xf numFmtId="0" fontId="3" fillId="0" borderId="5" applyAlignment="1" pivotButton="0" quotePrefix="0" xfId="18">
      <alignment horizontal="center" vertical="center"/>
    </xf>
    <xf numFmtId="0" fontId="3" fillId="0" borderId="1" applyAlignment="1" pivotButton="0" quotePrefix="0" xfId="18">
      <alignment horizontal="center" vertical="center"/>
    </xf>
    <xf numFmtId="0" fontId="3" fillId="0" borderId="1" applyAlignment="1" pivotButton="0" quotePrefix="0" xfId="23">
      <alignment horizontal="center" vertical="center"/>
    </xf>
    <xf numFmtId="0" fontId="3" fillId="0" borderId="2" applyAlignment="1" pivotButton="0" quotePrefix="0" xfId="23">
      <alignment horizontal="center" vertical="center"/>
    </xf>
    <xf numFmtId="0" fontId="3" fillId="0" borderId="1" applyAlignment="1" pivotButton="0" quotePrefix="0" xfId="30">
      <alignment horizontal="center" vertical="center"/>
    </xf>
    <xf numFmtId="0" fontId="3" fillId="0" borderId="6" applyAlignment="1" pivotButton="0" quotePrefix="0" xfId="30">
      <alignment horizontal="center" vertical="center"/>
    </xf>
    <xf numFmtId="0" fontId="4" fillId="0" borderId="5" applyAlignment="1" pivotButton="0" quotePrefix="0" xfId="40">
      <alignment horizontal="center" vertical="center"/>
    </xf>
    <xf numFmtId="0" fontId="4" fillId="0" borderId="1" applyAlignment="1" pivotButton="0" quotePrefix="0" xfId="40">
      <alignment horizontal="center" vertical="center"/>
    </xf>
    <xf numFmtId="0" fontId="4" fillId="0" borderId="6" applyAlignment="1" pivotButton="0" quotePrefix="0" xfId="40">
      <alignment horizontal="center" vertical="center"/>
    </xf>
    <xf numFmtId="0" fontId="5" fillId="0" borderId="0" applyAlignment="1" pivotButton="0" quotePrefix="0" xfId="0">
      <alignment horizontal="center"/>
    </xf>
    <xf numFmtId="0" fontId="4" fillId="0" borderId="5" applyAlignment="1" pivotButton="0" quotePrefix="0" xfId="39">
      <alignment horizontal="center" vertical="center"/>
    </xf>
    <xf numFmtId="0" fontId="4" fillId="0" borderId="1" applyAlignment="1" pivotButton="0" quotePrefix="0" xfId="39">
      <alignment horizontal="center" vertical="center"/>
    </xf>
    <xf numFmtId="0" fontId="4" fillId="0" borderId="6" applyAlignment="1" pivotButton="0" quotePrefix="0" xfId="39">
      <alignment horizontal="center" vertical="center"/>
    </xf>
    <xf numFmtId="0" fontId="3" fillId="0" borderId="5" applyAlignment="1" pivotButton="0" quotePrefix="0" xfId="36">
      <alignment horizontal="center" vertical="center"/>
    </xf>
    <xf numFmtId="0" fontId="3" fillId="0" borderId="5" applyAlignment="1" pivotButton="0" quotePrefix="0" xfId="30">
      <alignment horizontal="center" vertical="center"/>
    </xf>
    <xf numFmtId="0" fontId="3" fillId="0" borderId="6" applyAlignment="1" pivotButton="0" quotePrefix="0" xfId="18">
      <alignment horizontal="center" vertical="center"/>
    </xf>
    <xf numFmtId="0" fontId="3" fillId="0" borderId="4" applyAlignment="1" pivotButton="0" quotePrefix="0" xfId="23">
      <alignment horizontal="center" vertical="center"/>
    </xf>
    <xf numFmtId="0" fontId="4" fillId="0" borderId="10" applyAlignment="1" pivotButton="0" quotePrefix="0" xfId="40">
      <alignment horizontal="center" vertical="center"/>
    </xf>
    <xf numFmtId="0" fontId="4" fillId="0" borderId="3" applyAlignment="1" pivotButton="0" quotePrefix="0" xfId="40">
      <alignment horizontal="center" vertical="center"/>
    </xf>
    <xf numFmtId="0" fontId="4" fillId="0" borderId="8" applyAlignment="1" pivotButton="0" quotePrefix="0" xfId="40">
      <alignment horizontal="center" vertical="center"/>
    </xf>
    <xf numFmtId="0" fontId="4" fillId="0" borderId="4" applyAlignment="1" pivotButton="0" quotePrefix="0" xfId="40">
      <alignment horizontal="center" vertical="center"/>
    </xf>
    <xf numFmtId="0" fontId="4" fillId="0" borderId="2" applyAlignment="1" pivotButton="0" quotePrefix="0" xfId="40">
      <alignment horizontal="center" vertical="center"/>
    </xf>
    <xf numFmtId="0" fontId="4" fillId="0" borderId="4" applyAlignment="1" pivotButton="0" quotePrefix="0" xfId="39">
      <alignment horizontal="center" vertical="center"/>
    </xf>
    <xf numFmtId="0" fontId="4" fillId="0" borderId="2" applyAlignment="1" pivotButton="0" quotePrefix="0" xfId="39">
      <alignment horizontal="center" vertical="center"/>
    </xf>
    <xf numFmtId="0" fontId="11" fillId="0" borderId="13" applyAlignment="1" pivotButton="0" quotePrefix="0" xfId="0">
      <alignment horizontal="center" vertical="center"/>
    </xf>
    <xf numFmtId="0" fontId="0" fillId="0" borderId="5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0" fillId="0" borderId="2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 vertical="center"/>
    </xf>
    <xf numFmtId="0" fontId="0" fillId="0" borderId="8" applyAlignment="1" pivotButton="0" quotePrefix="0" xfId="0">
      <alignment horizontal="center" vertical="center"/>
    </xf>
    <xf numFmtId="0" fontId="0" fillId="0" borderId="10" applyAlignment="1" pivotButton="0" quotePrefix="0" xfId="0">
      <alignment horizontal="center" vertical="center"/>
    </xf>
    <xf numFmtId="0" fontId="0" fillId="0" borderId="3" applyAlignment="1" pivotButton="0" quotePrefix="0" xfId="0">
      <alignment horizontal="center" vertical="center"/>
    </xf>
    <xf numFmtId="0" fontId="8" fillId="0" borderId="0" applyAlignment="1" pivotButton="0" quotePrefix="0" xfId="0">
      <alignment horizontal="center"/>
    </xf>
    <xf numFmtId="0" fontId="0" fillId="0" borderId="1" applyAlignment="1" pivotButton="0" quotePrefix="0" xfId="0">
      <alignment horizontal="center" vertical="center" wrapText="1"/>
    </xf>
    <xf numFmtId="0" fontId="8" fillId="0" borderId="11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/>
    </xf>
    <xf numFmtId="0" fontId="0" fillId="0" borderId="11" pivotButton="0" quotePrefix="0" xfId="0"/>
    <xf numFmtId="0" fontId="0" fillId="0" borderId="3" pivotButton="0" quotePrefix="0" xfId="0"/>
    <xf numFmtId="0" fontId="0" fillId="0" borderId="29" pivotButton="0" quotePrefix="0" xfId="0"/>
    <xf numFmtId="0" fontId="0" fillId="0" borderId="4" pivotButton="0" quotePrefix="0" xfId="0"/>
    <xf numFmtId="0" fontId="0" fillId="0" borderId="30" pivotButton="0" quotePrefix="0" xfId="0"/>
  </cellXfs>
  <cellStyles count="63">
    <cellStyle name="Обычный" xfId="0" builtinId="0"/>
    <cellStyle name="Обычный 2" xfId="1"/>
    <cellStyle name="Обычный 3" xfId="2"/>
    <cellStyle name="Обычный 4" xfId="3"/>
    <cellStyle name="Обычный 5" xfId="4"/>
    <cellStyle name="Обычный 6" xfId="5"/>
    <cellStyle name="Обычный 7" xfId="6"/>
    <cellStyle name="Обычный 8" xfId="7"/>
    <cellStyle name="Обычный 9" xfId="8"/>
    <cellStyle name="Обычный 10" xfId="9"/>
    <cellStyle name="Обычный 11" xfId="10"/>
    <cellStyle name="Обычный 12" xfId="11"/>
    <cellStyle name="Обычный 13" xfId="12"/>
    <cellStyle name="Обычный 14" xfId="13"/>
    <cellStyle name="Обычный 15" xfId="14"/>
    <cellStyle name="Обычный 16" xfId="15"/>
    <cellStyle name="Обычный 17" xfId="16"/>
    <cellStyle name="Обычный 18" xfId="17"/>
    <cellStyle name="Обычный 19" xfId="18"/>
    <cellStyle name="Обычный 20" xfId="19"/>
    <cellStyle name="Обычный 21" xfId="20"/>
    <cellStyle name="Обычный 22" xfId="21"/>
    <cellStyle name="Обычный 23" xfId="22"/>
    <cellStyle name="Обычный 24" xfId="23"/>
    <cellStyle name="Обычный 25" xfId="24"/>
    <cellStyle name="Обычный 26" xfId="25"/>
    <cellStyle name="Обычный 27" xfId="26"/>
    <cellStyle name="Обычный 28" xfId="27"/>
    <cellStyle name="Обычный 29" xfId="28"/>
    <cellStyle name="Обычный 30" xfId="29"/>
    <cellStyle name="Обычный 31" xfId="30"/>
    <cellStyle name="Обычный 32" xfId="31"/>
    <cellStyle name="Обычный 33" xfId="32"/>
    <cellStyle name="Обычный 34" xfId="33"/>
    <cellStyle name="Обычный 35" xfId="34"/>
    <cellStyle name="Обычный 36" xfId="35"/>
    <cellStyle name="Обычный 37" xfId="36"/>
    <cellStyle name="Обычный 38" xfId="37"/>
    <cellStyle name="Обычный 39" xfId="38"/>
    <cellStyle name="Обычный 40" xfId="39"/>
    <cellStyle name="Обычный 41" xfId="40"/>
    <cellStyle name="Обычный 42" xfId="41"/>
    <cellStyle name="Обычный 43" xfId="42"/>
    <cellStyle name="Обычный 44" xfId="43"/>
    <cellStyle name="Обычный 45" xfId="44"/>
    <cellStyle name="Обычный 46" xfId="45"/>
    <cellStyle name="Обычный 47" xfId="46"/>
    <cellStyle name="Обычный 48" xfId="47"/>
    <cellStyle name="Обычный 49" xfId="48"/>
    <cellStyle name="Обычный 50" xfId="49"/>
    <cellStyle name="Обычный 51" xfId="50"/>
    <cellStyle name="Обычный 52" xfId="51"/>
    <cellStyle name="Обычный 53" xfId="52"/>
    <cellStyle name="Обычный 54" xfId="53"/>
    <cellStyle name="Обычный 55" xfId="54"/>
    <cellStyle name="Обычный 56" xfId="55"/>
    <cellStyle name="Обычный 57" xfId="56"/>
    <cellStyle name="Обычный 58" xfId="57"/>
    <cellStyle name="Обычный 59" xfId="58"/>
    <cellStyle name="Обычный 60" xfId="59"/>
    <cellStyle name="Обычный 61" xfId="60"/>
    <cellStyle name="Обычный 62" xfId="61"/>
    <cellStyle name="Обычный 63" xfId="62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35"/>
  <sheetViews>
    <sheetView workbookViewId="0">
      <selection activeCell="E33" sqref="E33"/>
    </sheetView>
  </sheetViews>
  <sheetFormatPr baseColWidth="8" defaultRowHeight="15"/>
  <cols>
    <col width="19.85546875" customWidth="1" min="1" max="1"/>
    <col width="10.28515625" customWidth="1" min="2" max="2"/>
    <col width="11.140625" customWidth="1" min="3" max="3"/>
    <col width="10.7109375" customWidth="1" min="4" max="4"/>
    <col width="10.140625" customWidth="1" min="5" max="5"/>
    <col width="9.85546875" customWidth="1" min="6" max="6"/>
    <col width="10.42578125" customWidth="1" min="7" max="7"/>
    <col width="35.85546875" customWidth="1" style="282" min="8" max="8"/>
  </cols>
  <sheetData>
    <row r="1" ht="15.75" customHeight="1">
      <c r="A1" s="316" t="inlineStr">
        <is>
          <t>16 граней горячая фиксация АВ</t>
        </is>
      </c>
      <c r="B1" s="427" t="n"/>
      <c r="C1" s="427" t="n"/>
      <c r="D1" s="427" t="n"/>
    </row>
    <row r="2" ht="43.5" customHeight="1" thickBot="1">
      <c r="A2" s="37" t="inlineStr">
        <is>
          <t>цвет</t>
        </is>
      </c>
      <c r="B2" s="25" t="inlineStr">
        <is>
          <t>размер</t>
        </is>
      </c>
      <c r="C2" s="25" t="inlineStr">
        <is>
          <t>штук в пачке</t>
        </is>
      </c>
      <c r="D2" s="25" t="inlineStr">
        <is>
          <t>цена продажи в руб</t>
        </is>
      </c>
      <c r="E2" s="25" t="inlineStr">
        <is>
          <t>всего шт пришло</t>
        </is>
      </c>
      <c r="F2" s="25" t="inlineStr">
        <is>
          <t>продано</t>
        </is>
      </c>
      <c r="G2" s="25" t="inlineStr">
        <is>
          <t>остаток на складе</t>
        </is>
      </c>
      <c r="H2" s="283" t="inlineStr">
        <is>
          <t>артикул</t>
        </is>
      </c>
      <c r="I2" s="25" t="inlineStr">
        <is>
          <t>код цвета</t>
        </is>
      </c>
    </row>
    <row r="3" ht="16.5" customHeight="1" thickBot="1" thickTop="1">
      <c r="A3" s="303" t="inlineStr">
        <is>
          <t>JET BLACK AB</t>
        </is>
      </c>
      <c r="B3" s="303" t="inlineStr">
        <is>
          <t>SS16</t>
        </is>
      </c>
      <c r="C3" s="303" t="n">
        <v>1440</v>
      </c>
      <c r="D3" s="85" t="n">
        <v>1485</v>
      </c>
      <c r="E3" s="303" t="n">
        <v>20</v>
      </c>
      <c r="F3" s="303" t="n"/>
      <c r="G3" s="243">
        <f>E3-F3</f>
        <v/>
      </c>
      <c r="H3" s="284" t="inlineStr">
        <is>
          <t>16cut/Jet Black AB/SS16/Hot/002+</t>
        </is>
      </c>
      <c r="I3" s="319" t="inlineStr">
        <is>
          <t>002+</t>
        </is>
      </c>
    </row>
    <row r="4" ht="16.5" customHeight="1" thickBot="1" thickTop="1">
      <c r="A4" s="428" t="n"/>
      <c r="B4" s="301" t="inlineStr">
        <is>
          <t>SS20</t>
        </is>
      </c>
      <c r="C4" s="301" t="n">
        <v>1440</v>
      </c>
      <c r="D4" s="86" t="n">
        <v>1972</v>
      </c>
      <c r="E4" s="301">
        <f>15+8-3</f>
        <v/>
      </c>
      <c r="F4" s="301" t="n"/>
      <c r="G4" s="245">
        <f>E4-F4</f>
        <v/>
      </c>
      <c r="H4" s="289" t="inlineStr">
        <is>
          <t>16cut/Jet Black AB/SS20/Hot/002+</t>
        </is>
      </c>
      <c r="I4" s="429" t="n"/>
    </row>
    <row r="5" ht="16.5" customHeight="1" thickBot="1" thickTop="1">
      <c r="A5" s="430" t="n"/>
      <c r="B5" s="302" t="inlineStr">
        <is>
          <t>SS30</t>
        </is>
      </c>
      <c r="C5" s="302" t="n">
        <v>288</v>
      </c>
      <c r="D5" s="88" t="n">
        <v>1485</v>
      </c>
      <c r="E5" s="302" t="n">
        <v>20</v>
      </c>
      <c r="F5" s="302" t="n"/>
      <c r="G5" s="246">
        <f>E5-F5</f>
        <v/>
      </c>
      <c r="H5" s="287" t="inlineStr">
        <is>
          <t>16cut/Jet Black AB/SS30/Hot/002+</t>
        </is>
      </c>
      <c r="I5" s="431" t="n"/>
    </row>
    <row r="6" ht="16.5" customHeight="1" thickBot="1" thickTop="1">
      <c r="A6" s="317" t="inlineStr">
        <is>
          <t>TOPAZ AB</t>
        </is>
      </c>
      <c r="B6" s="317" t="inlineStr">
        <is>
          <t>SS16</t>
        </is>
      </c>
      <c r="C6" s="317" t="n">
        <v>1440</v>
      </c>
      <c r="D6" s="140" t="n">
        <v>1647</v>
      </c>
      <c r="E6" s="317" t="n">
        <v>20</v>
      </c>
      <c r="F6" s="317" t="n"/>
      <c r="G6" s="244">
        <f>E6-F6</f>
        <v/>
      </c>
      <c r="H6" s="284" t="inlineStr">
        <is>
          <t>16cut/Topaz AB/SS16/Hot/008+</t>
        </is>
      </c>
      <c r="I6" s="319" t="inlineStr">
        <is>
          <t>008+</t>
        </is>
      </c>
    </row>
    <row r="7" ht="16.5" customHeight="1" thickBot="1" thickTop="1">
      <c r="A7" s="428" t="n"/>
      <c r="B7" s="301" t="inlineStr">
        <is>
          <t>SS20</t>
        </is>
      </c>
      <c r="C7" s="301" t="n">
        <v>1440</v>
      </c>
      <c r="D7" s="86" t="n">
        <v>2133</v>
      </c>
      <c r="E7" s="301">
        <f>5+15</f>
        <v/>
      </c>
      <c r="F7" s="301" t="n"/>
      <c r="G7" s="245">
        <f>E7-F7</f>
        <v/>
      </c>
      <c r="H7" s="285" t="inlineStr">
        <is>
          <t>16cut/Topaz AB/SS20/Hot/008+</t>
        </is>
      </c>
      <c r="I7" s="429" t="n"/>
    </row>
    <row r="8" ht="16.5" customHeight="1" thickBot="1" thickTop="1">
      <c r="A8" s="430" t="n"/>
      <c r="B8" s="318" t="inlineStr">
        <is>
          <t>SS30</t>
        </is>
      </c>
      <c r="C8" s="318" t="n">
        <v>288</v>
      </c>
      <c r="D8" s="87" t="n">
        <v>1647</v>
      </c>
      <c r="E8" s="318" t="n">
        <v>20</v>
      </c>
      <c r="F8" s="318" t="n"/>
      <c r="G8" s="246">
        <f>E8-F8</f>
        <v/>
      </c>
      <c r="H8" s="287" t="inlineStr">
        <is>
          <t>16cut/Topaz AB/SS30/Hot/008+</t>
        </is>
      </c>
      <c r="I8" s="431" t="n"/>
    </row>
    <row r="9" ht="16.5" customHeight="1" thickBot="1" thickTop="1">
      <c r="A9" s="303" t="inlineStr">
        <is>
          <t>Lt. Sapphire AB</t>
        </is>
      </c>
      <c r="B9" s="303" t="inlineStr">
        <is>
          <t>SS16</t>
        </is>
      </c>
      <c r="C9" s="303" t="n">
        <v>1440</v>
      </c>
      <c r="D9" s="85" t="n">
        <v>1647</v>
      </c>
      <c r="E9" s="338" t="n">
        <v>20</v>
      </c>
      <c r="F9" s="303">
        <f>1+1</f>
        <v/>
      </c>
      <c r="G9" s="244">
        <f>E9-F9</f>
        <v/>
      </c>
      <c r="H9" s="284" t="inlineStr">
        <is>
          <t>16cut/Lt.Sapphire AB/SS16/Hot/011+</t>
        </is>
      </c>
      <c r="I9" s="319" t="inlineStr">
        <is>
          <t>011+</t>
        </is>
      </c>
    </row>
    <row r="10" ht="16.5" customHeight="1" thickBot="1" thickTop="1">
      <c r="A10" s="428" t="n"/>
      <c r="B10" s="301" t="inlineStr">
        <is>
          <t>SS20</t>
        </is>
      </c>
      <c r="C10" s="301" t="n">
        <v>1440</v>
      </c>
      <c r="D10" s="86" t="n">
        <v>2133</v>
      </c>
      <c r="E10" s="336">
        <f>5+15</f>
        <v/>
      </c>
      <c r="F10" s="301" t="n">
        <v>1</v>
      </c>
      <c r="G10" s="245">
        <f>E10-F10</f>
        <v/>
      </c>
      <c r="H10" s="285" t="inlineStr">
        <is>
          <t>16cut/Lt.Sapphire AB/SS20/Hot/011+</t>
        </is>
      </c>
      <c r="I10" s="429" t="n"/>
    </row>
    <row r="11" ht="16.5" customHeight="1" thickBot="1" thickTop="1">
      <c r="A11" s="430" t="n"/>
      <c r="B11" s="302" t="inlineStr">
        <is>
          <t>SS30</t>
        </is>
      </c>
      <c r="C11" s="302" t="n">
        <v>288</v>
      </c>
      <c r="D11" s="88" t="n">
        <v>1647</v>
      </c>
      <c r="E11" s="339" t="n">
        <v>20</v>
      </c>
      <c r="F11" s="302" t="n">
        <v>1</v>
      </c>
      <c r="G11" s="246">
        <f>E11-F11</f>
        <v/>
      </c>
      <c r="H11" s="287" t="inlineStr">
        <is>
          <t>16cut/Lt.Sapphire AB/SS30/Hot/011+</t>
        </is>
      </c>
      <c r="I11" s="431" t="n"/>
    </row>
    <row r="12" ht="16.5" customHeight="1" thickBot="1" thickTop="1">
      <c r="A12" s="317" t="inlineStr">
        <is>
          <t>INDICOLITE AB</t>
        </is>
      </c>
      <c r="B12" s="317" t="inlineStr">
        <is>
          <t>SS16</t>
        </is>
      </c>
      <c r="C12" s="317" t="n">
        <v>1440</v>
      </c>
      <c r="D12" s="140" t="n">
        <v>1647</v>
      </c>
      <c r="E12" s="335" t="n">
        <v>20</v>
      </c>
      <c r="F12" s="317" t="n"/>
      <c r="G12" s="244">
        <f>E12-F12</f>
        <v/>
      </c>
      <c r="H12" s="284" t="inlineStr">
        <is>
          <t>16cut/Indicolite AB/SS16/Hot/014+</t>
        </is>
      </c>
      <c r="I12" s="319" t="inlineStr">
        <is>
          <t>014+</t>
        </is>
      </c>
    </row>
    <row r="13" ht="16.5" customHeight="1" thickBot="1" thickTop="1">
      <c r="A13" s="428" t="n"/>
      <c r="B13" s="301" t="inlineStr">
        <is>
          <t>SS20</t>
        </is>
      </c>
      <c r="C13" s="301" t="n">
        <v>1440</v>
      </c>
      <c r="D13" s="86" t="n">
        <v>2133</v>
      </c>
      <c r="E13" s="336">
        <f>5+15</f>
        <v/>
      </c>
      <c r="F13" s="301" t="n"/>
      <c r="G13" s="245">
        <f>E13-F13</f>
        <v/>
      </c>
      <c r="H13" s="285" t="inlineStr">
        <is>
          <t>16cut/Indicolite AB/SS20/Hot/014+</t>
        </is>
      </c>
      <c r="I13" s="429" t="n"/>
    </row>
    <row r="14" ht="16.5" customHeight="1" thickBot="1" thickTop="1">
      <c r="A14" s="430" t="n"/>
      <c r="B14" s="318" t="inlineStr">
        <is>
          <t>SS30</t>
        </is>
      </c>
      <c r="C14" s="318" t="n">
        <v>288</v>
      </c>
      <c r="D14" s="87" t="n">
        <v>1647</v>
      </c>
      <c r="E14" s="337" t="n">
        <v>20</v>
      </c>
      <c r="F14" s="318" t="n"/>
      <c r="G14" s="246">
        <f>E14-F14</f>
        <v/>
      </c>
      <c r="H14" s="287" t="inlineStr">
        <is>
          <t>16cut/Indicolite AB/SS30/Hot/014+</t>
        </is>
      </c>
      <c r="I14" s="431" t="n"/>
    </row>
    <row r="15" ht="16.5" customHeight="1" thickBot="1" thickTop="1">
      <c r="A15" s="303" t="inlineStr">
        <is>
          <t>AQUAMARINE AB</t>
        </is>
      </c>
      <c r="B15" s="303" t="inlineStr">
        <is>
          <t>SS16</t>
        </is>
      </c>
      <c r="C15" s="303" t="n">
        <v>1440</v>
      </c>
      <c r="D15" s="85" t="n">
        <v>1252</v>
      </c>
      <c r="E15" s="338" t="n">
        <v>20</v>
      </c>
      <c r="F15" s="303" t="n">
        <v>1</v>
      </c>
      <c r="G15" s="244">
        <f>E15-F15</f>
        <v/>
      </c>
      <c r="H15" s="284" t="inlineStr">
        <is>
          <t>16cut/Aquamarine AB/SS16/Hot/016+</t>
        </is>
      </c>
      <c r="I15" s="319" t="inlineStr">
        <is>
          <t>016+</t>
        </is>
      </c>
    </row>
    <row r="16" ht="16.5" customHeight="1" thickBot="1" thickTop="1">
      <c r="A16" s="428" t="n"/>
      <c r="B16" s="301" t="inlineStr">
        <is>
          <t>SS20</t>
        </is>
      </c>
      <c r="C16" s="301" t="n">
        <v>1440</v>
      </c>
      <c r="D16" s="86" t="n">
        <v>1858</v>
      </c>
      <c r="E16" s="336">
        <f>5+15</f>
        <v/>
      </c>
      <c r="F16" s="301" t="n"/>
      <c r="G16" s="245">
        <f>E16-F16</f>
        <v/>
      </c>
      <c r="H16" s="285" t="inlineStr">
        <is>
          <t>16cut/Aquamarine AB/SS20/Hot/016+</t>
        </is>
      </c>
      <c r="I16" s="429" t="n"/>
    </row>
    <row r="17" ht="16.5" customHeight="1" thickBot="1" thickTop="1">
      <c r="A17" s="430" t="n"/>
      <c r="B17" s="302" t="inlineStr">
        <is>
          <t>SS30</t>
        </is>
      </c>
      <c r="C17" s="302" t="n">
        <v>288</v>
      </c>
      <c r="D17" s="88" t="n">
        <v>1252</v>
      </c>
      <c r="E17" s="339" t="n">
        <v>20</v>
      </c>
      <c r="F17" s="302" t="n"/>
      <c r="G17" s="246">
        <f>E17-F17</f>
        <v/>
      </c>
      <c r="H17" s="287" t="inlineStr">
        <is>
          <t>16cut/Aquamarine AB/SS30/Hot/016+</t>
        </is>
      </c>
      <c r="I17" s="431" t="n"/>
    </row>
    <row r="18" ht="16.5" customHeight="1" thickBot="1" thickTop="1">
      <c r="A18" s="317" t="inlineStr">
        <is>
          <t>BLUE ZIRCON AB</t>
        </is>
      </c>
      <c r="B18" s="317" t="inlineStr">
        <is>
          <t>SS16</t>
        </is>
      </c>
      <c r="C18" s="317" t="n">
        <v>1440</v>
      </c>
      <c r="D18" s="140" t="n">
        <v>1647</v>
      </c>
      <c r="E18" s="335" t="n">
        <v>20</v>
      </c>
      <c r="F18" s="317" t="n">
        <v>1</v>
      </c>
      <c r="G18" s="244">
        <f>E18-F18</f>
        <v/>
      </c>
      <c r="H18" s="284" t="inlineStr">
        <is>
          <t>16cut/Blue Zircon AB/SS16/Hot/015+</t>
        </is>
      </c>
      <c r="I18" s="319" t="inlineStr">
        <is>
          <t>015+</t>
        </is>
      </c>
    </row>
    <row r="19" ht="16.5" customHeight="1" thickBot="1" thickTop="1">
      <c r="A19" s="428" t="n"/>
      <c r="B19" s="301" t="inlineStr">
        <is>
          <t>SS20</t>
        </is>
      </c>
      <c r="C19" s="301" t="n">
        <v>1440</v>
      </c>
      <c r="D19" s="86" t="n">
        <v>2133</v>
      </c>
      <c r="E19" s="336">
        <f>5+15</f>
        <v/>
      </c>
      <c r="F19" s="301" t="n"/>
      <c r="G19" s="245">
        <f>E19-F19</f>
        <v/>
      </c>
      <c r="H19" s="285" t="inlineStr">
        <is>
          <t>16cut/Blue Zircon AB/SS20/Hot/015+</t>
        </is>
      </c>
      <c r="I19" s="429" t="n"/>
    </row>
    <row r="20" ht="16.5" customHeight="1" thickBot="1" thickTop="1">
      <c r="A20" s="430" t="n"/>
      <c r="B20" s="318" t="inlineStr">
        <is>
          <t>SS30</t>
        </is>
      </c>
      <c r="C20" s="318" t="n">
        <v>288</v>
      </c>
      <c r="D20" s="87" t="n">
        <v>1647</v>
      </c>
      <c r="E20" s="337" t="n">
        <v>20</v>
      </c>
      <c r="F20" s="318" t="n"/>
      <c r="G20" s="246">
        <f>E20-F20</f>
        <v/>
      </c>
      <c r="H20" s="287" t="inlineStr">
        <is>
          <t>16cut/Blue Zircon AB/SS30/Hot/015+</t>
        </is>
      </c>
      <c r="I20" s="431" t="n"/>
    </row>
    <row r="21" ht="16.5" customHeight="1" thickBot="1" thickTop="1">
      <c r="A21" s="303" t="inlineStr">
        <is>
          <t>CAPRI BLUE AB</t>
        </is>
      </c>
      <c r="B21" s="303" t="inlineStr">
        <is>
          <t>SS16</t>
        </is>
      </c>
      <c r="C21" s="303" t="n">
        <v>1440</v>
      </c>
      <c r="D21" s="85" t="n">
        <v>1647</v>
      </c>
      <c r="E21" s="338" t="n">
        <v>20</v>
      </c>
      <c r="F21" s="303" t="n">
        <v>1</v>
      </c>
      <c r="G21" s="244">
        <f>E21-F21</f>
        <v/>
      </c>
      <c r="H21" s="284" t="inlineStr">
        <is>
          <t>16cut/Capri Blue AB/SS16/Hot/017+</t>
        </is>
      </c>
      <c r="I21" s="319" t="inlineStr">
        <is>
          <t>017+</t>
        </is>
      </c>
    </row>
    <row r="22" ht="16.5" customHeight="1" thickBot="1" thickTop="1">
      <c r="A22" s="428" t="n"/>
      <c r="B22" s="301" t="inlineStr">
        <is>
          <t>SS20</t>
        </is>
      </c>
      <c r="C22" s="301" t="n">
        <v>1440</v>
      </c>
      <c r="D22" s="86" t="n">
        <v>2133</v>
      </c>
      <c r="E22" s="336">
        <f>5+15</f>
        <v/>
      </c>
      <c r="F22" s="301" t="n">
        <v>1</v>
      </c>
      <c r="G22" s="245">
        <f>E22-F22</f>
        <v/>
      </c>
      <c r="H22" s="285" t="inlineStr">
        <is>
          <t>16cut/Capri Blue AB/SS20/Hot/017+</t>
        </is>
      </c>
      <c r="I22" s="429" t="n"/>
    </row>
    <row r="23" ht="16.5" customHeight="1" thickBot="1" thickTop="1">
      <c r="A23" s="430" t="n"/>
      <c r="B23" s="302" t="inlineStr">
        <is>
          <t>SS30</t>
        </is>
      </c>
      <c r="C23" s="302" t="n">
        <v>288</v>
      </c>
      <c r="D23" s="88" t="n">
        <v>1647</v>
      </c>
      <c r="E23" s="339" t="n">
        <v>20</v>
      </c>
      <c r="F23" s="302" t="n"/>
      <c r="G23" s="246">
        <f>E23-F23</f>
        <v/>
      </c>
      <c r="H23" s="287" t="inlineStr">
        <is>
          <t>16cut/Capri Blue AB/SS30/Hot/017+</t>
        </is>
      </c>
      <c r="I23" s="431" t="n"/>
    </row>
    <row r="24" ht="16.5" customHeight="1" thickBot="1" thickTop="1">
      <c r="A24" s="317" t="inlineStr">
        <is>
          <t>OLIVINE AB</t>
        </is>
      </c>
      <c r="B24" s="317" t="inlineStr">
        <is>
          <t>SS16</t>
        </is>
      </c>
      <c r="C24" s="317" t="n">
        <v>1440</v>
      </c>
      <c r="D24" s="140" t="n">
        <v>1647</v>
      </c>
      <c r="E24" s="335" t="n">
        <v>20</v>
      </c>
      <c r="F24" s="317" t="n"/>
      <c r="G24" s="244">
        <f>E24-F24</f>
        <v/>
      </c>
      <c r="H24" s="284" t="inlineStr">
        <is>
          <t>16cut/Olivine AB/SS16/Hot/027+</t>
        </is>
      </c>
      <c r="I24" s="319" t="inlineStr">
        <is>
          <t>027+</t>
        </is>
      </c>
    </row>
    <row r="25" ht="16.5" customHeight="1" thickBot="1" thickTop="1">
      <c r="A25" s="428" t="n"/>
      <c r="B25" s="301" t="inlineStr">
        <is>
          <t>SS20</t>
        </is>
      </c>
      <c r="C25" s="301" t="n">
        <v>1440</v>
      </c>
      <c r="D25" s="86" t="n">
        <v>2133</v>
      </c>
      <c r="E25" s="336">
        <f>5+15</f>
        <v/>
      </c>
      <c r="F25" s="301" t="n"/>
      <c r="G25" s="245">
        <f>E25-F25</f>
        <v/>
      </c>
      <c r="H25" s="285" t="inlineStr">
        <is>
          <t>16cut/Olivine AB/SS20/Hot/027+</t>
        </is>
      </c>
      <c r="I25" s="429" t="n"/>
    </row>
    <row r="26" ht="16.5" customHeight="1" thickBot="1" thickTop="1">
      <c r="A26" s="430" t="n"/>
      <c r="B26" s="318" t="inlineStr">
        <is>
          <t>SS30</t>
        </is>
      </c>
      <c r="C26" s="318" t="n">
        <v>288</v>
      </c>
      <c r="D26" s="87" t="n">
        <v>1647</v>
      </c>
      <c r="E26" s="337" t="n">
        <v>20</v>
      </c>
      <c r="F26" s="318" t="n"/>
      <c r="G26" s="246">
        <f>E26-F26</f>
        <v/>
      </c>
      <c r="H26" s="287" t="inlineStr">
        <is>
          <t>16cut/Olivine AB/SS30/Hot/027+</t>
        </is>
      </c>
      <c r="I26" s="431" t="n"/>
    </row>
    <row r="27" ht="16.5" customHeight="1" thickBot="1" thickTop="1">
      <c r="A27" s="303" t="inlineStr">
        <is>
          <t>HYACINTH AB</t>
        </is>
      </c>
      <c r="B27" s="303" t="inlineStr">
        <is>
          <t>SS16</t>
        </is>
      </c>
      <c r="C27" s="303" t="n">
        <v>1440</v>
      </c>
      <c r="D27" s="85" t="n">
        <v>1679</v>
      </c>
      <c r="E27" s="338" t="n">
        <v>20</v>
      </c>
      <c r="F27" s="303" t="n"/>
      <c r="G27" s="244">
        <f>E27-F27</f>
        <v/>
      </c>
      <c r="H27" s="284" t="inlineStr">
        <is>
          <t>16cut/Hyacinth AB/SS16/Hot/031+</t>
        </is>
      </c>
      <c r="I27" s="319" t="inlineStr">
        <is>
          <t>031+</t>
        </is>
      </c>
    </row>
    <row r="28" ht="16.5" customHeight="1" thickBot="1" thickTop="1">
      <c r="A28" s="428" t="n"/>
      <c r="B28" s="301" t="inlineStr">
        <is>
          <t>SS20</t>
        </is>
      </c>
      <c r="C28" s="301" t="n">
        <v>1440</v>
      </c>
      <c r="D28" s="86" t="n">
        <v>2166</v>
      </c>
      <c r="E28" s="336">
        <f>5+15</f>
        <v/>
      </c>
      <c r="F28" s="301" t="n"/>
      <c r="G28" s="245">
        <f>E28-F28</f>
        <v/>
      </c>
      <c r="H28" s="285" t="inlineStr">
        <is>
          <t>16cut/Hyacinth AB/SS20/Hot/031+</t>
        </is>
      </c>
      <c r="I28" s="429" t="n"/>
    </row>
    <row r="29" ht="16.5" customHeight="1" thickBot="1" thickTop="1">
      <c r="A29" s="430" t="n"/>
      <c r="B29" s="302" t="inlineStr">
        <is>
          <t>SS30</t>
        </is>
      </c>
      <c r="C29" s="302" t="n">
        <v>288</v>
      </c>
      <c r="D29" s="88" t="n">
        <v>1679</v>
      </c>
      <c r="E29" s="339" t="n">
        <v>20</v>
      </c>
      <c r="F29" s="302" t="n"/>
      <c r="G29" s="246">
        <f>E29-F29</f>
        <v/>
      </c>
      <c r="H29" s="287" t="inlineStr">
        <is>
          <t>16cut/Hyacinth AB/SS30/Hot/031+</t>
        </is>
      </c>
      <c r="I29" s="431" t="n"/>
    </row>
    <row r="30" ht="16.5" customHeight="1" thickBot="1" thickTop="1">
      <c r="A30" s="317" t="inlineStr">
        <is>
          <t>Lt. Siam AB</t>
        </is>
      </c>
      <c r="B30" s="317" t="inlineStr">
        <is>
          <t>SS16</t>
        </is>
      </c>
      <c r="C30" s="317" t="n">
        <v>1440</v>
      </c>
      <c r="D30" s="140" t="n">
        <v>1809</v>
      </c>
      <c r="E30" s="335" t="n">
        <v>20</v>
      </c>
      <c r="F30" s="317" t="n">
        <v>1</v>
      </c>
      <c r="G30" s="244">
        <f>E30-F30</f>
        <v/>
      </c>
      <c r="H30" s="284" t="inlineStr">
        <is>
          <t>16cut/Lt.Siam AB/SS16/Hot/039+</t>
        </is>
      </c>
      <c r="I30" s="320" t="inlineStr">
        <is>
          <t>039+</t>
        </is>
      </c>
    </row>
    <row r="31" ht="16.5" customHeight="1" thickBot="1" thickTop="1">
      <c r="A31" s="428" t="n"/>
      <c r="B31" s="301" t="inlineStr">
        <is>
          <t>SS20</t>
        </is>
      </c>
      <c r="C31" s="301" t="n">
        <v>1440</v>
      </c>
      <c r="D31" s="86" t="n">
        <v>2133</v>
      </c>
      <c r="E31" s="336" t="n">
        <v>20</v>
      </c>
      <c r="F31" s="301" t="n">
        <v>1</v>
      </c>
      <c r="G31" s="245">
        <f>E31-F31</f>
        <v/>
      </c>
      <c r="H31" s="285" t="inlineStr">
        <is>
          <t>16cut/Lt.Siam AB/SS20/Hot/039+</t>
        </is>
      </c>
      <c r="I31" s="429" t="n"/>
    </row>
    <row r="32" ht="16.5" customHeight="1" thickBot="1" thickTop="1">
      <c r="A32" s="430" t="n"/>
      <c r="B32" s="318" t="inlineStr">
        <is>
          <t>SS30</t>
        </is>
      </c>
      <c r="C32" s="318" t="n">
        <v>288</v>
      </c>
      <c r="D32" s="87" t="n">
        <v>1809</v>
      </c>
      <c r="E32" s="337" t="n">
        <v>20</v>
      </c>
      <c r="F32" s="318" t="n">
        <v>1</v>
      </c>
      <c r="G32" s="246">
        <f>E32-F32</f>
        <v/>
      </c>
      <c r="H32" s="287" t="inlineStr">
        <is>
          <t>16cut/Lt.Siam AB/SS30/Hot/039+</t>
        </is>
      </c>
      <c r="I32" s="431" t="n"/>
    </row>
    <row r="33" ht="16.5" customHeight="1" thickBot="1" thickTop="1">
      <c r="A33" s="303" t="inlineStr">
        <is>
          <t>CITRINE AB</t>
        </is>
      </c>
      <c r="B33" s="303" t="inlineStr">
        <is>
          <t>SS16</t>
        </is>
      </c>
      <c r="C33" s="303" t="n">
        <v>1440</v>
      </c>
      <c r="D33" s="85" t="n">
        <v>1809</v>
      </c>
      <c r="E33" s="338" t="n">
        <v>20</v>
      </c>
      <c r="F33" s="303" t="n">
        <v>1</v>
      </c>
      <c r="G33" s="244">
        <f>E33-F33</f>
        <v/>
      </c>
      <c r="H33" s="284" t="inlineStr">
        <is>
          <t>16cut/Citrine AB/SS16/Hot/035+</t>
        </is>
      </c>
      <c r="I33" s="319" t="inlineStr">
        <is>
          <t>035+</t>
        </is>
      </c>
    </row>
    <row r="34" ht="16.5" customHeight="1" thickBot="1" thickTop="1">
      <c r="A34" s="428" t="n"/>
      <c r="B34" s="301" t="inlineStr">
        <is>
          <t>SS20</t>
        </is>
      </c>
      <c r="C34" s="301" t="n">
        <v>1440</v>
      </c>
      <c r="D34" s="86" t="n">
        <v>2133</v>
      </c>
      <c r="E34" s="301">
        <f>15+5</f>
        <v/>
      </c>
      <c r="F34" s="301" t="n"/>
      <c r="G34" s="245">
        <f>E34-F34</f>
        <v/>
      </c>
      <c r="H34" s="285" t="inlineStr">
        <is>
          <t>16cut/Citrine AB/SS20/Hot/035+</t>
        </is>
      </c>
      <c r="I34" s="429" t="n"/>
    </row>
    <row r="35" ht="16.5" customHeight="1" thickBot="1" thickTop="1">
      <c r="A35" s="430" t="n"/>
      <c r="B35" s="302" t="inlineStr">
        <is>
          <t>SS30</t>
        </is>
      </c>
      <c r="C35" s="302" t="n">
        <v>288</v>
      </c>
      <c r="D35" s="88" t="n">
        <v>1809</v>
      </c>
      <c r="E35" s="339" t="n">
        <v>20</v>
      </c>
      <c r="F35" s="302" t="n"/>
      <c r="G35" s="246">
        <f>E35-F35</f>
        <v/>
      </c>
      <c r="H35" s="287" t="inlineStr">
        <is>
          <t>16cut/Citrine AB/SS30/Hot/035+</t>
        </is>
      </c>
      <c r="I35" s="431" t="n"/>
    </row>
    <row r="36" ht="15.75" customHeight="1" thickTop="1"/>
  </sheetData>
  <mergeCells count="23">
    <mergeCell ref="I18:I20"/>
    <mergeCell ref="A21:A23"/>
    <mergeCell ref="A12:A14"/>
    <mergeCell ref="A33:A35"/>
    <mergeCell ref="I6:I8"/>
    <mergeCell ref="A15:A17"/>
    <mergeCell ref="I24:I26"/>
    <mergeCell ref="I15:I17"/>
    <mergeCell ref="A24:A26"/>
    <mergeCell ref="I9:I11"/>
    <mergeCell ref="A9:A11"/>
    <mergeCell ref="I27:I29"/>
    <mergeCell ref="A1:D1"/>
    <mergeCell ref="A30:A32"/>
    <mergeCell ref="I30:I32"/>
    <mergeCell ref="A6:A8"/>
    <mergeCell ref="I3:I5"/>
    <mergeCell ref="I12:I14"/>
    <mergeCell ref="A3:A5"/>
    <mergeCell ref="I21:I23"/>
    <mergeCell ref="I33:I35"/>
    <mergeCell ref="A18:A20"/>
    <mergeCell ref="A27:A29"/>
  </mergeCells>
  <pageMargins left="0.7086614173228347" right="0.7086614173228347" top="0.7480314960629921" bottom="0.7480314960629921" header="0.3149606299212598" footer="0.3149606299212598"/>
  <pageSetup orientation="portrait" paperSize="9" scale="92" verticalDpi="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Lenok</dc:creator>
  <dcterms:created xsi:type="dcterms:W3CDTF">2026-01-31T06:38:18Z</dcterms:created>
  <dcterms:modified xsi:type="dcterms:W3CDTF">2026-07-07T02:53:27Z</dcterms:modified>
  <cp:lastModifiedBy>Alexandr</cp:lastModifiedBy>
  <cp:lastPrinted>2026-04-22T12:43:34Z</cp:lastPrinted>
</cp:coreProperties>
</file>