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8" activeTab="0" autoFilterDateGrouping="1"/>
  </bookViews>
  <sheets>
    <sheet name="пришивные (K9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р.&quot;"/>
  </numFmts>
  <fonts count="1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3"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6" fillId="0" borderId="0"/>
  </cellStyleXfs>
  <cellXfs count="43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7" applyAlignment="1" pivotButton="0" quotePrefix="0" xfId="12">
      <alignment horizontal="center" vertical="center"/>
    </xf>
    <xf numFmtId="0" fontId="4" fillId="0" borderId="1" applyAlignment="1" pivotButton="0" quotePrefix="0" xfId="12">
      <alignment horizontal="center" vertical="center"/>
    </xf>
    <xf numFmtId="0" fontId="4" fillId="0" borderId="6" applyAlignment="1" pivotButton="0" quotePrefix="0" xfId="12">
      <alignment horizontal="center" vertical="center"/>
    </xf>
    <xf numFmtId="0" fontId="4" fillId="0" borderId="6" applyAlignment="1" pivotButton="0" quotePrefix="0" xfId="19">
      <alignment horizontal="center" vertical="center"/>
    </xf>
    <xf numFmtId="0" fontId="4" fillId="0" borderId="4" applyAlignment="1" pivotButton="0" quotePrefix="0" xfId="20">
      <alignment horizontal="center" vertical="center"/>
    </xf>
    <xf numFmtId="0" fontId="4" fillId="0" borderId="2" applyAlignment="1" pivotButton="0" quotePrefix="0" xfId="20">
      <alignment horizontal="center" vertical="center"/>
    </xf>
    <xf numFmtId="0" fontId="4" fillId="0" borderId="5" applyAlignment="1" pivotButton="0" quotePrefix="0" xfId="22">
      <alignment horizontal="center" vertical="center"/>
    </xf>
    <xf numFmtId="0" fontId="4" fillId="0" borderId="2" applyAlignment="1" pivotButton="0" quotePrefix="0" xfId="22">
      <alignment horizontal="center" vertical="center"/>
    </xf>
    <xf numFmtId="0" fontId="4" fillId="0" borderId="4" applyAlignment="1" pivotButton="0" quotePrefix="0" xfId="35">
      <alignment horizontal="center" vertical="center"/>
    </xf>
    <xf numFmtId="0" fontId="4" fillId="0" borderId="2" applyAlignment="1" pivotButton="0" quotePrefix="0" xfId="35">
      <alignment horizontal="center" vertical="center"/>
    </xf>
    <xf numFmtId="0" fontId="4" fillId="0" borderId="5" applyAlignment="1" pivotButton="0" quotePrefix="0" xfId="26">
      <alignment horizontal="center" vertical="center"/>
    </xf>
    <xf numFmtId="0" fontId="4" fillId="0" borderId="6" applyAlignment="1" pivotButton="0" quotePrefix="0" xfId="26">
      <alignment horizontal="center" vertical="center"/>
    </xf>
    <xf numFmtId="0" fontId="4" fillId="0" borderId="4" applyAlignment="1" pivotButton="0" quotePrefix="0" xfId="27">
      <alignment horizontal="center" vertical="center"/>
    </xf>
    <xf numFmtId="0" fontId="4" fillId="0" borderId="2" applyAlignment="1" pivotButton="0" quotePrefix="0" xfId="29">
      <alignment horizontal="center" vertical="center"/>
    </xf>
    <xf numFmtId="0" fontId="4" fillId="0" borderId="6" applyAlignment="1" pivotButton="0" quotePrefix="0" xfId="34">
      <alignment horizontal="center" vertical="center"/>
    </xf>
    <xf numFmtId="0" fontId="4" fillId="0" borderId="4" applyAlignment="1" pivotButton="0" quotePrefix="0" xfId="16">
      <alignment horizontal="center" vertical="center"/>
    </xf>
    <xf numFmtId="0" fontId="4" fillId="2" borderId="6" applyAlignment="1" pivotButton="0" quotePrefix="0" xfId="15">
      <alignment horizontal="center" vertical="center"/>
    </xf>
    <xf numFmtId="0" fontId="4" fillId="0" borderId="4" applyAlignment="1" pivotButton="0" quotePrefix="0" xfId="30">
      <alignment horizontal="center" vertical="center"/>
    </xf>
    <xf numFmtId="0" fontId="4" fillId="0" borderId="5" applyAlignment="1" pivotButton="0" quotePrefix="0" xfId="29">
      <alignment horizontal="center" vertical="center"/>
    </xf>
    <xf numFmtId="0" fontId="4" fillId="0" borderId="6" applyAlignment="1" pivotButton="0" quotePrefix="0" xfId="29">
      <alignment horizontal="center" vertical="center"/>
    </xf>
    <xf numFmtId="0" fontId="4" fillId="0" borderId="6" applyAlignment="1" pivotButton="0" quotePrefix="0" xfId="41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3" fillId="0" borderId="6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3" fillId="0" borderId="1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12">
      <alignment horizontal="center" vertical="center"/>
    </xf>
    <xf numFmtId="0" fontId="4" fillId="0" borderId="2" applyAlignment="1" pivotButton="0" quotePrefix="0" xfId="41">
      <alignment horizontal="center" vertical="center"/>
    </xf>
    <xf numFmtId="0" fontId="0" fillId="0" borderId="1" applyAlignment="1" pivotButton="0" quotePrefix="0" xfId="0">
      <alignment wrapText="1"/>
    </xf>
    <xf numFmtId="0" fontId="3" fillId="0" borderId="4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29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7" fontId="3" fillId="0" borderId="1" applyAlignment="1" pivotButton="0" quotePrefix="0" xfId="0">
      <alignment horizontal="center" vertical="center"/>
    </xf>
    <xf numFmtId="0" fontId="4" fillId="0" borderId="5" applyAlignment="1" pivotButton="0" quotePrefix="0" xfId="9">
      <alignment horizontal="center" vertical="center"/>
    </xf>
    <xf numFmtId="0" fontId="4" fillId="0" borderId="1" applyAlignment="1" pivotButton="0" quotePrefix="0" xfId="10">
      <alignment horizontal="center" vertical="center"/>
    </xf>
    <xf numFmtId="0" fontId="4" fillId="0" borderId="1" applyAlignment="1" pivotButton="0" quotePrefix="0" xfId="9">
      <alignment horizontal="center" vertical="center"/>
    </xf>
    <xf numFmtId="0" fontId="4" fillId="0" borderId="1" applyAlignment="1" pivotButton="0" quotePrefix="0" xfId="13">
      <alignment horizontal="center" vertical="center"/>
    </xf>
    <xf numFmtId="0" fontId="4" fillId="0" borderId="2" applyAlignment="1" pivotButton="0" quotePrefix="0" xfId="9">
      <alignment horizontal="center" vertical="center"/>
    </xf>
    <xf numFmtId="0" fontId="4" fillId="0" borderId="7" applyAlignment="1" pivotButton="0" quotePrefix="0" xfId="8">
      <alignment horizontal="center" vertical="center" wrapText="1"/>
    </xf>
    <xf numFmtId="0" fontId="4" fillId="0" borderId="7" applyAlignment="1" pivotButton="0" quotePrefix="0" xfId="9">
      <alignment horizontal="center" vertical="center"/>
    </xf>
    <xf numFmtId="0" fontId="4" fillId="0" borderId="6" applyAlignment="1" pivotButton="0" quotePrefix="0" xfId="9">
      <alignment horizontal="center" vertical="center"/>
    </xf>
    <xf numFmtId="0" fontId="4" fillId="2" borderId="4" applyAlignment="1" pivotButton="0" quotePrefix="0" xfId="15">
      <alignment horizontal="center" vertical="center"/>
    </xf>
    <xf numFmtId="0" fontId="4" fillId="0" borderId="4" applyAlignment="1" pivotButton="0" quotePrefix="0" xfId="9">
      <alignment horizontal="center" vertical="center"/>
    </xf>
    <xf numFmtId="0" fontId="4" fillId="2" borderId="2" applyAlignment="1" pivotButton="0" quotePrefix="0" xfId="15">
      <alignment horizontal="center" vertical="center"/>
    </xf>
    <xf numFmtId="0" fontId="4" fillId="2" borderId="1" applyAlignment="1" pivotButton="0" quotePrefix="0" xfId="15">
      <alignment horizontal="center" vertical="center"/>
    </xf>
    <xf numFmtId="0" fontId="4" fillId="0" borderId="1" applyAlignment="1" pivotButton="0" quotePrefix="0" xfId="17">
      <alignment horizontal="center" vertical="center"/>
    </xf>
    <xf numFmtId="0" fontId="4" fillId="0" borderId="1" applyAlignment="1" pivotButton="0" quotePrefix="0" xfId="20">
      <alignment horizontal="center" vertical="center"/>
    </xf>
    <xf numFmtId="0" fontId="4" fillId="0" borderId="1" applyAlignment="1" pivotButton="0" quotePrefix="0" xfId="28">
      <alignment horizontal="center" vertical="center"/>
    </xf>
    <xf numFmtId="0" fontId="4" fillId="0" borderId="1" applyAlignment="1" pivotButton="0" quotePrefix="0" xfId="24">
      <alignment horizontal="center" vertical="center"/>
    </xf>
    <xf numFmtId="0" fontId="4" fillId="0" borderId="1" applyAlignment="1" pivotButton="0" quotePrefix="0" xfId="35">
      <alignment horizontal="center" vertical="center"/>
    </xf>
    <xf numFmtId="0" fontId="4" fillId="0" borderId="1" applyAlignment="1" pivotButton="0" quotePrefix="0" xfId="26">
      <alignment horizontal="center" vertical="center"/>
    </xf>
    <xf numFmtId="0" fontId="4" fillId="0" borderId="1" applyAlignment="1" pivotButton="0" quotePrefix="0" xfId="27">
      <alignment horizontal="center" vertical="center"/>
    </xf>
    <xf numFmtId="0" fontId="4" fillId="0" borderId="1" applyAlignment="1" pivotButton="0" quotePrefix="0" xfId="32">
      <alignment horizontal="center" vertical="center"/>
    </xf>
    <xf numFmtId="0" fontId="4" fillId="2" borderId="4" applyAlignment="1" pivotButton="0" quotePrefix="0" xfId="38">
      <alignment horizontal="center" vertical="center"/>
    </xf>
    <xf numFmtId="0" fontId="4" fillId="2" borderId="1" applyAlignment="1" pivotButton="0" quotePrefix="0" xfId="39">
      <alignment horizontal="center" vertical="center"/>
    </xf>
    <xf numFmtId="0" fontId="4" fillId="2" borderId="2" applyAlignment="1" pivotButton="0" quotePrefix="0" xfId="40">
      <alignment horizontal="center" vertical="center"/>
    </xf>
    <xf numFmtId="0" fontId="4" fillId="2" borderId="5" applyAlignment="1" pivotButton="0" quotePrefix="0" xfId="40">
      <alignment horizontal="center" vertical="center"/>
    </xf>
    <xf numFmtId="0" fontId="4" fillId="0" borderId="5" applyAlignment="1" pivotButton="0" quotePrefix="0" xfId="42">
      <alignment horizontal="center" vertical="center"/>
    </xf>
    <xf numFmtId="0" fontId="4" fillId="0" borderId="1" applyAlignment="1" pivotButton="0" quotePrefix="0" xfId="43">
      <alignment horizontal="center" vertical="center"/>
    </xf>
    <xf numFmtId="0" fontId="4" fillId="0" borderId="6" applyAlignment="1" pivotButton="0" quotePrefix="0" xfId="44">
      <alignment horizontal="center" vertical="center"/>
    </xf>
    <xf numFmtId="0" fontId="4" fillId="0" borderId="5" applyAlignment="1" pivotButton="0" quotePrefix="0" xfId="44">
      <alignment horizontal="center" vertical="center"/>
    </xf>
    <xf numFmtId="0" fontId="4" fillId="0" borderId="1" applyAlignment="1" pivotButton="0" quotePrefix="0" xfId="44">
      <alignment horizontal="center" vertical="center"/>
    </xf>
    <xf numFmtId="0" fontId="4" fillId="0" borderId="4" applyAlignment="1" pivotButton="0" quotePrefix="0" xfId="46">
      <alignment horizontal="center" vertical="center"/>
    </xf>
    <xf numFmtId="0" fontId="4" fillId="0" borderId="1" applyAlignment="1" pivotButton="0" quotePrefix="0" xfId="47">
      <alignment horizontal="center" vertical="center"/>
    </xf>
    <xf numFmtId="0" fontId="4" fillId="0" borderId="2" applyAlignment="1" pivotButton="0" quotePrefix="0" xfId="48">
      <alignment horizontal="center" vertical="center"/>
    </xf>
    <xf numFmtId="0" fontId="4" fillId="0" borderId="5" applyAlignment="1" pivotButton="0" quotePrefix="0" xfId="48">
      <alignment horizontal="center" vertical="center"/>
    </xf>
    <xf numFmtId="0" fontId="4" fillId="0" borderId="1" applyAlignment="1" pivotButton="0" quotePrefix="0" xfId="48">
      <alignment horizontal="center" vertical="center"/>
    </xf>
    <xf numFmtId="0" fontId="4" fillId="0" borderId="6" applyAlignment="1" pivotButton="0" quotePrefix="0" xfId="48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5" applyAlignment="1" pivotButton="0" quotePrefix="0" xfId="50">
      <alignment horizontal="center" vertical="center"/>
    </xf>
    <xf numFmtId="0" fontId="4" fillId="0" borderId="1" applyAlignment="1" pivotButton="0" quotePrefix="0" xfId="50">
      <alignment horizontal="center" vertical="center"/>
    </xf>
    <xf numFmtId="0" fontId="4" fillId="0" borderId="2" applyAlignment="1" pivotButton="0" quotePrefix="0" xfId="50">
      <alignment horizontal="center" vertical="center"/>
    </xf>
    <xf numFmtId="0" fontId="4" fillId="0" borderId="6" applyAlignment="1" pivotButton="0" quotePrefix="0" xfId="50">
      <alignment horizontal="center" vertical="center"/>
    </xf>
    <xf numFmtId="0" fontId="4" fillId="0" borderId="4" applyAlignment="1" pivotButton="0" quotePrefix="0" xfId="51">
      <alignment horizontal="center" vertical="center"/>
    </xf>
    <xf numFmtId="0" fontId="4" fillId="0" borderId="1" applyAlignment="1" pivotButton="0" quotePrefix="0" xfId="51">
      <alignment horizontal="center" vertical="center"/>
    </xf>
    <xf numFmtId="0" fontId="4" fillId="0" borderId="2" applyAlignment="1" pivotButton="0" quotePrefix="0" xfId="51">
      <alignment horizontal="center" vertical="center"/>
    </xf>
    <xf numFmtId="0" fontId="4" fillId="0" borderId="1" applyAlignment="1" pivotButton="0" quotePrefix="0" xfId="53">
      <alignment horizontal="center" vertical="center"/>
    </xf>
    <xf numFmtId="0" fontId="4" fillId="0" borderId="6" applyAlignment="1" pivotButton="0" quotePrefix="0" xfId="55">
      <alignment horizontal="center" vertical="center"/>
    </xf>
    <xf numFmtId="0" fontId="4" fillId="0" borderId="4" applyAlignment="1" pivotButton="0" quotePrefix="0" xfId="56">
      <alignment horizontal="center" vertical="center"/>
    </xf>
    <xf numFmtId="0" fontId="4" fillId="0" borderId="1" applyAlignment="1" pivotButton="0" quotePrefix="0" xfId="56">
      <alignment horizontal="center" vertical="center"/>
    </xf>
    <xf numFmtId="0" fontId="4" fillId="0" borderId="2" applyAlignment="1" pivotButton="0" quotePrefix="0" xfId="56">
      <alignment horizontal="center" vertical="center"/>
    </xf>
    <xf numFmtId="0" fontId="4" fillId="0" borderId="5" applyAlignment="1" pivotButton="0" quotePrefix="0" xfId="56">
      <alignment horizontal="center" vertical="center"/>
    </xf>
    <xf numFmtId="0" fontId="4" fillId="0" borderId="6" applyAlignment="1" pivotButton="0" quotePrefix="0" xfId="56">
      <alignment horizontal="center" vertical="center"/>
    </xf>
    <xf numFmtId="0" fontId="4" fillId="0" borderId="4" applyAlignment="1" pivotButton="0" quotePrefix="0" xfId="58">
      <alignment horizontal="center" vertical="center"/>
    </xf>
    <xf numFmtId="0" fontId="4" fillId="0" borderId="3" applyAlignment="1" pivotButton="0" quotePrefix="0" xfId="58">
      <alignment horizontal="center" vertical="center"/>
    </xf>
    <xf numFmtId="0" fontId="4" fillId="0" borderId="1" applyAlignment="1" pivotButton="0" quotePrefix="0" xfId="61">
      <alignment horizontal="center" vertical="center"/>
    </xf>
    <xf numFmtId="0" fontId="4" fillId="0" borderId="6" applyAlignment="1" pivotButton="0" quotePrefix="0" xfId="6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62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" fontId="3" fillId="0" borderId="5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" fontId="3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3" fillId="0" borderId="2" applyAlignment="1" pivotButton="0" quotePrefix="0" xfId="0">
      <alignment horizontal="center" vertical="center" wrapText="1"/>
    </xf>
    <xf numFmtId="1" fontId="3" fillId="0" borderId="10" applyAlignment="1" pivotButton="0" quotePrefix="0" xfId="0">
      <alignment horizontal="center" vertical="center"/>
    </xf>
    <xf numFmtId="0" fontId="4" fillId="0" borderId="4" applyAlignment="1" pivotButton="0" quotePrefix="0" xfId="50">
      <alignment horizontal="center" vertical="center"/>
    </xf>
    <xf numFmtId="0" fontId="4" fillId="0" borderId="3" applyAlignment="1" pivotButton="0" quotePrefix="0" xfId="5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4" fillId="0" borderId="4" applyAlignment="1" pivotButton="0" quotePrefix="0" xfId="52">
      <alignment horizontal="center" vertical="center"/>
    </xf>
    <xf numFmtId="0" fontId="4" fillId="0" borderId="4" applyAlignment="1" pivotButton="0" quotePrefix="0" xfId="61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5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1" applyAlignment="1" pivotButton="0" quotePrefix="0" xfId="0">
      <alignment vertical="center"/>
    </xf>
    <xf numFmtId="0" fontId="4" fillId="0" borderId="5" applyAlignment="1" pivotButton="0" quotePrefix="0" xfId="20">
      <alignment horizontal="center" vertical="center"/>
    </xf>
    <xf numFmtId="0" fontId="4" fillId="0" borderId="6" applyAlignment="1" pivotButton="0" quotePrefix="0" xfId="20">
      <alignment horizontal="center" vertical="center"/>
    </xf>
    <xf numFmtId="0" fontId="4" fillId="0" borderId="5" applyAlignment="1" pivotButton="0" quotePrefix="0" xfId="27">
      <alignment horizontal="center" vertical="center"/>
    </xf>
    <xf numFmtId="0" fontId="4" fillId="0" borderId="5" applyAlignment="1" pivotButton="0" quotePrefix="0" xfId="46">
      <alignment horizontal="center" vertical="center"/>
    </xf>
    <xf numFmtId="0" fontId="5" fillId="0" borderId="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10" fillId="0" borderId="11" applyAlignment="1" pivotButton="0" quotePrefix="0" xfId="0">
      <alignment vertical="center"/>
    </xf>
    <xf numFmtId="0" fontId="10" fillId="0" borderId="1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5" applyAlignment="1" pivotButton="0" quotePrefix="0" xfId="62">
      <alignment horizontal="center" vertical="center" wrapText="1"/>
    </xf>
    <xf numFmtId="0" fontId="4" fillId="0" borderId="4" applyAlignment="1" pivotButton="0" quotePrefix="0" xfId="62">
      <alignment horizontal="center" vertical="center" wrapText="1"/>
    </xf>
    <xf numFmtId="0" fontId="4" fillId="0" borderId="2" applyAlignment="1" pivotButton="0" quotePrefix="0" xfId="62">
      <alignment horizontal="center" vertical="center" wrapText="1"/>
    </xf>
    <xf numFmtId="0" fontId="4" fillId="0" borderId="6" applyAlignment="1" pivotButton="0" quotePrefix="0" xfId="62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18">
      <alignment horizontal="center" vertical="center"/>
    </xf>
    <xf numFmtId="164" fontId="4" fillId="0" borderId="5" applyAlignment="1" pivotButton="0" quotePrefix="0" xfId="22">
      <alignment horizontal="center" vertical="center"/>
    </xf>
    <xf numFmtId="0" fontId="3" fillId="0" borderId="5" applyAlignment="1" pivotButton="0" quotePrefix="0" xfId="19">
      <alignment horizontal="center" vertical="center"/>
    </xf>
    <xf numFmtId="0" fontId="3" fillId="0" borderId="1" applyAlignment="1" pivotButton="0" quotePrefix="0" xfId="18">
      <alignment horizontal="center" vertical="center"/>
    </xf>
    <xf numFmtId="164" fontId="4" fillId="0" borderId="1" applyAlignment="1" pivotButton="0" quotePrefix="0" xfId="22">
      <alignment horizontal="center" vertical="center"/>
    </xf>
    <xf numFmtId="0" fontId="3" fillId="0" borderId="1" applyAlignment="1" pivotButton="0" quotePrefix="0" xfId="19">
      <alignment horizontal="center" vertical="center"/>
    </xf>
    <xf numFmtId="0" fontId="3" fillId="0" borderId="6" applyAlignment="1" pivotButton="0" quotePrefix="0" xfId="18">
      <alignment horizontal="center" vertical="center"/>
    </xf>
    <xf numFmtId="164" fontId="4" fillId="0" borderId="6" applyAlignment="1" pivotButton="0" quotePrefix="0" xfId="22">
      <alignment horizontal="center" vertical="center"/>
    </xf>
    <xf numFmtId="0" fontId="3" fillId="0" borderId="6" applyAlignment="1" pivotButton="0" quotePrefix="0" xfId="19">
      <alignment horizontal="center" vertical="center"/>
    </xf>
    <xf numFmtId="0" fontId="3" fillId="0" borderId="4" applyAlignment="1" pivotButton="0" quotePrefix="0" xfId="23">
      <alignment horizontal="center" vertical="center"/>
    </xf>
    <xf numFmtId="164" fontId="3" fillId="0" borderId="4" applyAlignment="1" pivotButton="0" quotePrefix="0" xfId="25">
      <alignment horizontal="center" vertical="center"/>
    </xf>
    <xf numFmtId="0" fontId="3" fillId="0" borderId="1" applyAlignment="1" pivotButton="0" quotePrefix="0" xfId="23">
      <alignment horizontal="center" vertical="center"/>
    </xf>
    <xf numFmtId="164" fontId="3" fillId="0" borderId="1" applyAlignment="1" pivotButton="0" quotePrefix="0" xfId="25">
      <alignment horizontal="center" vertical="center"/>
    </xf>
    <xf numFmtId="0" fontId="3" fillId="0" borderId="2" applyAlignment="1" pivotButton="0" quotePrefix="0" xfId="23">
      <alignment horizontal="center" vertical="center"/>
    </xf>
    <xf numFmtId="164" fontId="3" fillId="0" borderId="2" applyAlignment="1" pivotButton="0" quotePrefix="0" xfId="25">
      <alignment horizontal="center" vertical="center"/>
    </xf>
    <xf numFmtId="0" fontId="3" fillId="0" borderId="5" applyAlignment="1" pivotButton="0" quotePrefix="0" xfId="30">
      <alignment horizontal="center" vertical="center"/>
    </xf>
    <xf numFmtId="164" fontId="3" fillId="0" borderId="5" applyAlignment="1" pivotButton="0" quotePrefix="0" xfId="33">
      <alignment horizontal="center" vertical="center"/>
    </xf>
    <xf numFmtId="0" fontId="3" fillId="0" borderId="1" applyAlignment="1" pivotButton="0" quotePrefix="0" xfId="30">
      <alignment horizontal="center" vertical="center"/>
    </xf>
    <xf numFmtId="164" fontId="3" fillId="0" borderId="1" applyAlignment="1" pivotButton="0" quotePrefix="0" xfId="33">
      <alignment horizontal="center" vertical="center"/>
    </xf>
    <xf numFmtId="0" fontId="3" fillId="0" borderId="6" applyAlignment="1" pivotButton="0" quotePrefix="0" xfId="30">
      <alignment horizontal="center" vertical="center"/>
    </xf>
    <xf numFmtId="164" fontId="3" fillId="0" borderId="6" applyAlignment="1" pivotButton="0" quotePrefix="0" xfId="33">
      <alignment horizontal="center" vertical="center"/>
    </xf>
    <xf numFmtId="0" fontId="3" fillId="0" borderId="5" applyAlignment="1" pivotButton="0" quotePrefix="0" xfId="36">
      <alignment horizontal="center" vertical="center"/>
    </xf>
    <xf numFmtId="164" fontId="3" fillId="0" borderId="5" applyAlignment="1" pivotButton="0" quotePrefix="0" xfId="37">
      <alignment horizontal="center" vertical="center"/>
    </xf>
    <xf numFmtId="0" fontId="3" fillId="0" borderId="1" applyAlignment="1" pivotButton="0" quotePrefix="0" xfId="36">
      <alignment horizontal="center" vertical="center"/>
    </xf>
    <xf numFmtId="164" fontId="3" fillId="0" borderId="1" applyAlignment="1" pivotButton="0" quotePrefix="0" xfId="37">
      <alignment horizontal="center" vertical="center"/>
    </xf>
    <xf numFmtId="0" fontId="3" fillId="0" borderId="6" applyAlignment="1" pivotButton="0" quotePrefix="0" xfId="36">
      <alignment horizontal="center" vertical="center"/>
    </xf>
    <xf numFmtId="164" fontId="3" fillId="0" borderId="6" applyAlignment="1" pivotButton="0" quotePrefix="0" xfId="37">
      <alignment horizontal="center" vertical="center"/>
    </xf>
    <xf numFmtId="0" fontId="3" fillId="0" borderId="4" applyAlignment="1" pivotButton="0" quotePrefix="0" xfId="36">
      <alignment horizontal="center" vertical="center"/>
    </xf>
    <xf numFmtId="164" fontId="3" fillId="0" borderId="4" applyAlignment="1" pivotButton="0" quotePrefix="0" xfId="37">
      <alignment horizontal="center" vertical="center"/>
    </xf>
    <xf numFmtId="0" fontId="3" fillId="0" borderId="2" applyAlignment="1" pivotButton="0" quotePrefix="0" xfId="36">
      <alignment horizontal="center" vertical="center"/>
    </xf>
    <xf numFmtId="164" fontId="3" fillId="0" borderId="2" applyAlignment="1" pivotButton="0" quotePrefix="0" xfId="37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12" pivotButton="0" quotePrefix="0" xfId="0"/>
    <xf numFmtId="0" fontId="4" fillId="0" borderId="1" applyAlignment="1" pivotButton="0" quotePrefix="0" xfId="19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3" fillId="0" borderId="7" applyAlignment="1" pivotButton="0" quotePrefix="0" xfId="36">
      <alignment horizontal="center" vertical="center"/>
    </xf>
    <xf numFmtId="164" fontId="3" fillId="0" borderId="7" applyAlignment="1" pivotButton="0" quotePrefix="0" xfId="37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49" fontId="3" fillId="0" borderId="25" applyAlignment="1" pivotButton="0" quotePrefix="0" xfId="0">
      <alignment horizontal="center" vertical="center"/>
    </xf>
    <xf numFmtId="49" fontId="3" fillId="0" borderId="2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19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4" fillId="0" borderId="16" applyAlignment="1" pivotButton="0" quotePrefix="0" xfId="9">
      <alignment horizontal="center" vertical="center"/>
    </xf>
    <xf numFmtId="0" fontId="4" fillId="0" borderId="19" applyAlignment="1" pivotButton="0" quotePrefix="0" xfId="9">
      <alignment horizontal="center" vertical="center"/>
    </xf>
    <xf numFmtId="0" fontId="4" fillId="0" borderId="18" applyAlignment="1" pivotButton="0" quotePrefix="0" xfId="9">
      <alignment horizontal="center" vertical="center"/>
    </xf>
    <xf numFmtId="0" fontId="4" fillId="0" borderId="15" applyAlignment="1" pivotButton="0" quotePrefix="0" xfId="9">
      <alignment horizontal="center" vertical="center"/>
    </xf>
    <xf numFmtId="0" fontId="4" fillId="0" borderId="20" applyAlignment="1" pivotButton="0" quotePrefix="0" xfId="9">
      <alignment horizontal="center" vertical="center"/>
    </xf>
    <xf numFmtId="0" fontId="4" fillId="0" borderId="21" applyAlignment="1" pivotButton="0" quotePrefix="0" xfId="9">
      <alignment horizontal="center" vertical="center"/>
    </xf>
    <xf numFmtId="0" fontId="0" fillId="0" borderId="45" pivotButton="0" quotePrefix="0" xfId="0"/>
    <xf numFmtId="0" fontId="0" fillId="0" borderId="44" pivotButton="0" quotePrefix="0" xfId="0"/>
    <xf numFmtId="0" fontId="0" fillId="0" borderId="34" pivotButton="0" quotePrefix="0" xfId="0"/>
    <xf numFmtId="0" fontId="3" fillId="0" borderId="4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2" pivotButton="0" quotePrefix="0" xfId="0"/>
    <xf numFmtId="0" fontId="0" fillId="0" borderId="34" applyAlignment="1" pivotButton="0" quotePrefix="0" xfId="0">
      <alignment horizontal="center"/>
    </xf>
    <xf numFmtId="0" fontId="0" fillId="0" borderId="4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 wrapText="1"/>
    </xf>
    <xf numFmtId="0" fontId="0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horizontal="right" vertical="center"/>
    </xf>
    <xf numFmtId="0" fontId="0" fillId="0" borderId="45" applyAlignment="1" pivotButton="0" quotePrefix="0" xfId="0">
      <alignment horizontal="right" vertical="center"/>
    </xf>
    <xf numFmtId="0" fontId="0" fillId="0" borderId="24" applyAlignment="1" pivotButton="0" quotePrefix="0" xfId="0">
      <alignment horizontal="right" vertical="center"/>
    </xf>
    <xf numFmtId="0" fontId="0" fillId="0" borderId="34" applyAlignment="1" pivotButton="0" quotePrefix="0" xfId="0">
      <alignment horizontal="right" vertical="center"/>
    </xf>
    <xf numFmtId="0" fontId="0" fillId="0" borderId="44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/>
    </xf>
    <xf numFmtId="0" fontId="0" fillId="0" borderId="23" applyAlignment="1" pivotButton="0" quotePrefix="0" xfId="0">
      <alignment horizontal="right"/>
    </xf>
    <xf numFmtId="0" fontId="0" fillId="0" borderId="45" applyAlignment="1" pivotButton="0" quotePrefix="0" xfId="0">
      <alignment horizontal="right"/>
    </xf>
    <xf numFmtId="0" fontId="0" fillId="0" borderId="42" applyAlignment="1" pivotButton="0" quotePrefix="0" xfId="0">
      <alignment horizontal="right"/>
    </xf>
    <xf numFmtId="0" fontId="0" fillId="0" borderId="24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49" fontId="3" fillId="0" borderId="46" applyAlignment="1" pivotButton="0" quotePrefix="0" xfId="0">
      <alignment horizontal="center" vertical="center"/>
    </xf>
    <xf numFmtId="49" fontId="3" fillId="0" borderId="25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4" fillId="0" borderId="5" applyAlignment="1" pivotButton="0" quotePrefix="0" xfId="23">
      <alignment horizontal="center" vertical="center"/>
    </xf>
    <xf numFmtId="0" fontId="4" fillId="0" borderId="1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4" applyAlignment="1" pivotButton="0" quotePrefix="0" xfId="23">
      <alignment horizontal="center" vertical="center"/>
    </xf>
    <xf numFmtId="0" fontId="4" fillId="0" borderId="2" applyAlignment="1" pivotButton="0" quotePrefix="0" xfId="23">
      <alignment horizontal="center" vertical="center"/>
    </xf>
    <xf numFmtId="0" fontId="4" fillId="0" borderId="10" applyAlignment="1" pivotButton="0" quotePrefix="0" xfId="36">
      <alignment horizontal="center" vertical="center"/>
    </xf>
    <xf numFmtId="0" fontId="4" fillId="0" borderId="3" applyAlignment="1" pivotButton="0" quotePrefix="0" xfId="36">
      <alignment horizontal="center" vertical="center"/>
    </xf>
    <xf numFmtId="0" fontId="4" fillId="0" borderId="8" applyAlignment="1" pivotButton="0" quotePrefix="0" xfId="36">
      <alignment horizontal="center" vertical="center"/>
    </xf>
    <xf numFmtId="0" fontId="4" fillId="0" borderId="5" applyAlignment="1" pivotButton="0" quotePrefix="0" xfId="25">
      <alignment horizontal="center" vertical="center"/>
    </xf>
    <xf numFmtId="0" fontId="4" fillId="0" borderId="1" applyAlignment="1" pivotButton="0" quotePrefix="0" xfId="25">
      <alignment horizontal="center" vertical="center"/>
    </xf>
    <xf numFmtId="0" fontId="4" fillId="0" borderId="6" applyAlignment="1" pivotButton="0" quotePrefix="0" xfId="25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/>
    </xf>
    <xf numFmtId="0" fontId="4" fillId="0" borderId="3" applyAlignment="1" pivotButton="0" quotePrefix="0" xfId="8">
      <alignment horizontal="center" vertical="center"/>
    </xf>
    <xf numFmtId="0" fontId="4" fillId="0" borderId="8" applyAlignment="1" pivotButton="0" quotePrefix="0" xfId="8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 wrapText="1"/>
    </xf>
    <xf numFmtId="0" fontId="4" fillId="0" borderId="3" applyAlignment="1" pivotButton="0" quotePrefix="0" xfId="8">
      <alignment horizontal="center" vertical="center" wrapText="1"/>
    </xf>
    <xf numFmtId="0" fontId="4" fillId="0" borderId="8" applyAlignment="1" pivotButton="0" quotePrefix="0" xfId="8">
      <alignment horizontal="center" vertical="center" wrapText="1"/>
    </xf>
    <xf numFmtId="49" fontId="3" fillId="0" borderId="26" applyAlignment="1" pivotButton="0" quotePrefix="0" xfId="0">
      <alignment horizontal="center" vertical="center"/>
    </xf>
    <xf numFmtId="0" fontId="4" fillId="0" borderId="10" applyAlignment="1" pivotButton="0" quotePrefix="0" xfId="56">
      <alignment horizontal="center" vertical="center"/>
    </xf>
    <xf numFmtId="0" fontId="4" fillId="0" borderId="3" applyAlignment="1" pivotButton="0" quotePrefix="0" xfId="56">
      <alignment horizontal="center" vertical="center"/>
    </xf>
    <xf numFmtId="0" fontId="4" fillId="0" borderId="8" applyAlignment="1" pivotButton="0" quotePrefix="0" xfId="56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57">
      <alignment horizontal="center" vertical="center"/>
    </xf>
    <xf numFmtId="0" fontId="3" fillId="0" borderId="27" applyAlignment="1" pivotButton="0" quotePrefix="0" xfId="0">
      <alignment horizontal="center" vertical="center"/>
    </xf>
    <xf numFmtId="49" fontId="3" fillId="0" borderId="3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49" fontId="3" fillId="0" borderId="27" applyAlignment="1" pivotButton="0" quotePrefix="0" xfId="0">
      <alignment horizontal="center" vertical="center" wrapText="1"/>
    </xf>
    <xf numFmtId="49" fontId="3" fillId="0" borderId="38" applyAlignment="1" pivotButton="0" quotePrefix="0" xfId="0">
      <alignment horizontal="center" vertical="center"/>
    </xf>
    <xf numFmtId="49" fontId="3" fillId="0" borderId="39" applyAlignment="1" pivotButton="0" quotePrefix="0" xfId="0">
      <alignment horizontal="center" vertical="center"/>
    </xf>
    <xf numFmtId="49" fontId="3" fillId="0" borderId="40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49" fontId="3" fillId="0" borderId="41" applyAlignment="1" pivotButton="0" quotePrefix="0" xfId="0">
      <alignment horizontal="center" vertical="center"/>
    </xf>
    <xf numFmtId="49" fontId="3" fillId="0" borderId="36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49" fontId="3" fillId="0" borderId="45" applyAlignment="1" pivotButton="0" quotePrefix="0" xfId="0">
      <alignment horizontal="center" vertical="center"/>
    </xf>
    <xf numFmtId="49" fontId="3" fillId="0" borderId="43" applyAlignment="1" pivotButton="0" quotePrefix="0" xfId="0">
      <alignment horizontal="center" vertical="center"/>
    </xf>
    <xf numFmtId="49" fontId="3" fillId="0" borderId="44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1" applyAlignment="1" pivotButton="0" quotePrefix="0" xfId="36">
      <alignment horizontal="center" vertical="center"/>
    </xf>
    <xf numFmtId="0" fontId="3" fillId="0" borderId="6" applyAlignment="1" pivotButton="0" quotePrefix="0" xfId="36">
      <alignment horizontal="center" vertical="center"/>
    </xf>
    <xf numFmtId="0" fontId="3" fillId="0" borderId="5" applyAlignment="1" pivotButton="0" quotePrefix="0" xfId="18">
      <alignment horizontal="center" vertical="center"/>
    </xf>
    <xf numFmtId="0" fontId="3" fillId="0" borderId="1" applyAlignment="1" pivotButton="0" quotePrefix="0" xfId="18">
      <alignment horizontal="center" vertical="center"/>
    </xf>
    <xf numFmtId="0" fontId="3" fillId="0" borderId="1" applyAlignment="1" pivotButton="0" quotePrefix="0" xfId="23">
      <alignment horizontal="center" vertical="center"/>
    </xf>
    <xf numFmtId="0" fontId="3" fillId="0" borderId="2" applyAlignment="1" pivotButton="0" quotePrefix="0" xfId="23">
      <alignment horizontal="center" vertical="center"/>
    </xf>
    <xf numFmtId="0" fontId="3" fillId="0" borderId="1" applyAlignment="1" pivotButton="0" quotePrefix="0" xfId="30">
      <alignment horizontal="center" vertical="center"/>
    </xf>
    <xf numFmtId="0" fontId="3" fillId="0" borderId="6" applyAlignment="1" pivotButton="0" quotePrefix="0" xfId="30">
      <alignment horizontal="center" vertical="center"/>
    </xf>
    <xf numFmtId="0" fontId="4" fillId="0" borderId="5" applyAlignment="1" pivotButton="0" quotePrefix="0" xfId="40">
      <alignment horizontal="center" vertical="center"/>
    </xf>
    <xf numFmtId="0" fontId="4" fillId="0" borderId="1" applyAlignment="1" pivotButton="0" quotePrefix="0" xfId="40">
      <alignment horizontal="center" vertical="center"/>
    </xf>
    <xf numFmtId="0" fontId="4" fillId="0" borderId="6" applyAlignment="1" pivotButton="0" quotePrefix="0" xfId="40">
      <alignment horizontal="center" vertical="center"/>
    </xf>
    <xf numFmtId="0" fontId="5" fillId="0" borderId="0" applyAlignment="1" pivotButton="0" quotePrefix="0" xfId="0">
      <alignment horizontal="center"/>
    </xf>
    <xf numFmtId="0" fontId="4" fillId="0" borderId="5" applyAlignment="1" pivotButton="0" quotePrefix="0" xfId="39">
      <alignment horizontal="center" vertical="center"/>
    </xf>
    <xf numFmtId="0" fontId="4" fillId="0" borderId="1" applyAlignment="1" pivotButton="0" quotePrefix="0" xfId="39">
      <alignment horizontal="center" vertical="center"/>
    </xf>
    <xf numFmtId="0" fontId="4" fillId="0" borderId="6" applyAlignment="1" pivotButton="0" quotePrefix="0" xfId="39">
      <alignment horizontal="center" vertical="center"/>
    </xf>
    <xf numFmtId="0" fontId="3" fillId="0" borderId="5" applyAlignment="1" pivotButton="0" quotePrefix="0" xfId="36">
      <alignment horizontal="center" vertical="center"/>
    </xf>
    <xf numFmtId="0" fontId="3" fillId="0" borderId="5" applyAlignment="1" pivotButton="0" quotePrefix="0" xfId="30">
      <alignment horizontal="center" vertical="center"/>
    </xf>
    <xf numFmtId="0" fontId="3" fillId="0" borderId="6" applyAlignment="1" pivotButton="0" quotePrefix="0" xfId="18">
      <alignment horizontal="center" vertical="center"/>
    </xf>
    <xf numFmtId="0" fontId="3" fillId="0" borderId="4" applyAlignment="1" pivotButton="0" quotePrefix="0" xfId="23">
      <alignment horizontal="center" vertical="center"/>
    </xf>
    <xf numFmtId="0" fontId="4" fillId="0" borderId="10" applyAlignment="1" pivotButton="0" quotePrefix="0" xfId="40">
      <alignment horizontal="center" vertical="center"/>
    </xf>
    <xf numFmtId="0" fontId="4" fillId="0" borderId="3" applyAlignment="1" pivotButton="0" quotePrefix="0" xfId="40">
      <alignment horizontal="center" vertical="center"/>
    </xf>
    <xf numFmtId="0" fontId="4" fillId="0" borderId="8" applyAlignment="1" pivotButton="0" quotePrefix="0" xfId="40">
      <alignment horizontal="center" vertical="center"/>
    </xf>
    <xf numFmtId="0" fontId="4" fillId="0" borderId="4" applyAlignment="1" pivotButton="0" quotePrefix="0" xfId="40">
      <alignment horizontal="center" vertical="center"/>
    </xf>
    <xf numFmtId="0" fontId="4" fillId="0" borderId="2" applyAlignment="1" pivotButton="0" quotePrefix="0" xfId="40">
      <alignment horizontal="center" vertical="center"/>
    </xf>
    <xf numFmtId="0" fontId="4" fillId="0" borderId="4" applyAlignment="1" pivotButton="0" quotePrefix="0" xfId="39">
      <alignment horizontal="center" vertical="center"/>
    </xf>
    <xf numFmtId="0" fontId="4" fillId="0" borderId="2" applyAlignment="1" pivotButton="0" quotePrefix="0" xfId="39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</cellXfs>
  <cellStyles count="63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  <cellStyle name="Обычный 10" xfId="9"/>
    <cellStyle name="Обычный 11" xfId="10"/>
    <cellStyle name="Обычный 12" xfId="11"/>
    <cellStyle name="Обычный 13" xfId="12"/>
    <cellStyle name="Обычный 14" xfId="13"/>
    <cellStyle name="Обычный 15" xfId="14"/>
    <cellStyle name="Обычный 16" xfId="15"/>
    <cellStyle name="Обычный 17" xfId="16"/>
    <cellStyle name="Обычный 18" xfId="17"/>
    <cellStyle name="Обычный 19" xfId="18"/>
    <cellStyle name="Обычный 20" xfId="19"/>
    <cellStyle name="Обычный 21" xfId="20"/>
    <cellStyle name="Обычный 22" xfId="21"/>
    <cellStyle name="Обычный 23" xfId="22"/>
    <cellStyle name="Обычный 24" xfId="23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0" xfId="59"/>
    <cellStyle name="Обычный 61" xfId="60"/>
    <cellStyle name="Обычный 62" xfId="61"/>
    <cellStyle name="Обычный 63" xfId="6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N780"/>
  <sheetViews>
    <sheetView topLeftCell="A145" workbookViewId="0">
      <pane xSplit="19980" activePane="topLeft" state="split"/>
      <selection activeCell="H170" sqref="H170"/>
      <selection pane="topRight" activeCell="P793" sqref="P793"/>
    </sheetView>
  </sheetViews>
  <sheetFormatPr baseColWidth="8" defaultRowHeight="15"/>
  <cols>
    <col width="24.140625" customWidth="1" min="1" max="1"/>
    <col width="19.85546875" customWidth="1" min="2" max="2"/>
    <col width="13" customWidth="1" min="4" max="4"/>
    <col width="12.85546875" customWidth="1" min="5" max="5"/>
    <col width="11.140625" customWidth="1" min="6" max="6"/>
    <col width="10.7109375" customWidth="1" min="8" max="8"/>
    <col width="11.42578125" customWidth="1" min="9" max="9"/>
    <col width="14.5703125" customWidth="1" min="11" max="11"/>
  </cols>
  <sheetData>
    <row r="1" ht="15.75" customHeight="1" thickBot="1"/>
    <row r="2" ht="49.5" customHeight="1" thickBot="1" thickTop="1">
      <c r="A2" s="179" t="inlineStr">
        <is>
          <t>цвет</t>
        </is>
      </c>
      <c r="B2" s="179" t="inlineStr">
        <is>
          <t>форма</t>
        </is>
      </c>
      <c r="C2" s="179" t="inlineStr">
        <is>
          <t>размер</t>
        </is>
      </c>
      <c r="D2" s="179" t="inlineStr">
        <is>
          <t>Цена за 1 шт</t>
        </is>
      </c>
      <c r="E2" s="179" t="inlineStr">
        <is>
          <t>количество в палетке</t>
        </is>
      </c>
      <c r="F2" s="179" t="inlineStr">
        <is>
          <t>итого штук пришло</t>
        </is>
      </c>
      <c r="G2" s="179" t="inlineStr">
        <is>
          <t>продано</t>
        </is>
      </c>
      <c r="H2" s="179" t="inlineStr">
        <is>
          <t>остаток на складе</t>
        </is>
      </c>
      <c r="I2" s="161" t="n"/>
      <c r="J2" s="161" t="n"/>
      <c r="K2" s="161" t="n"/>
    </row>
    <row r="3" ht="14.25" customHeight="1" thickTop="1">
      <c r="A3" s="237" t="inlineStr">
        <is>
          <t xml:space="preserve">CRYSTAL </t>
        </is>
      </c>
      <c r="B3" s="311" t="inlineStr">
        <is>
          <t>Drop</t>
        </is>
      </c>
      <c r="C3" s="311" t="inlineStr">
        <is>
          <t>7*12</t>
        </is>
      </c>
      <c r="D3" s="111" t="n">
        <v>11</v>
      </c>
      <c r="E3" s="311" t="n">
        <v>72</v>
      </c>
      <c r="F3" s="311">
        <f>1742+72+72</f>
        <v/>
      </c>
      <c r="G3" s="311" t="n"/>
      <c r="H3" s="311">
        <f>F3-G3</f>
        <v/>
      </c>
      <c r="I3" s="161" t="inlineStr">
        <is>
          <t>старые</t>
        </is>
      </c>
      <c r="J3" s="161" t="n"/>
      <c r="K3" s="161" t="n"/>
      <c r="L3" s="161" t="n"/>
      <c r="M3" s="161" t="n"/>
    </row>
    <row r="4" ht="12.75" customHeight="1">
      <c r="A4" s="427" t="n"/>
      <c r="B4" s="427" t="n"/>
      <c r="C4" s="312" t="inlineStr">
        <is>
          <t>10*14</t>
        </is>
      </c>
      <c r="D4" s="113" t="n">
        <v>13</v>
      </c>
      <c r="E4" s="312" t="n">
        <v>36</v>
      </c>
      <c r="F4" s="312">
        <f>540+28+602</f>
        <v/>
      </c>
      <c r="G4" s="312" t="n"/>
      <c r="H4" s="312">
        <f>F4-G4</f>
        <v/>
      </c>
      <c r="I4" s="161" t="inlineStr">
        <is>
          <t>568 шт старые+602 новые</t>
        </is>
      </c>
      <c r="J4" s="161" t="n"/>
      <c r="K4" s="161" t="n"/>
      <c r="L4" s="161" t="n"/>
      <c r="M4" s="161" t="n"/>
    </row>
    <row r="5" ht="12.75" customHeight="1">
      <c r="A5" s="427" t="n"/>
      <c r="B5" s="427" t="n"/>
      <c r="C5" s="312" t="inlineStr">
        <is>
          <t>11*18</t>
        </is>
      </c>
      <c r="D5" s="113" t="n">
        <v>17</v>
      </c>
      <c r="E5" s="312" t="n">
        <v>24</v>
      </c>
      <c r="F5" s="312" t="n">
        <v>320</v>
      </c>
      <c r="G5" s="312" t="n"/>
      <c r="H5" s="312">
        <f>F5-G5</f>
        <v/>
      </c>
      <c r="I5" s="161" t="inlineStr">
        <is>
          <t>новые</t>
        </is>
      </c>
      <c r="J5" s="161" t="n"/>
      <c r="K5" s="161" t="n"/>
      <c r="L5" s="161" t="n"/>
      <c r="M5" s="161" t="n"/>
    </row>
    <row r="6" ht="14.25" customHeight="1">
      <c r="A6" s="427" t="n"/>
      <c r="B6" s="427" t="n"/>
      <c r="C6" s="312" t="inlineStr">
        <is>
          <t>13*22</t>
        </is>
      </c>
      <c r="D6" s="113" t="n">
        <v>20</v>
      </c>
      <c r="E6" s="312" t="n">
        <v>18</v>
      </c>
      <c r="F6" s="312" t="n">
        <v>179</v>
      </c>
      <c r="G6" s="312" t="n">
        <v>18</v>
      </c>
      <c r="H6" s="312">
        <f>F6-G6</f>
        <v/>
      </c>
      <c r="I6" s="161" t="inlineStr">
        <is>
          <t>новые</t>
        </is>
      </c>
      <c r="J6" s="161" t="n"/>
      <c r="K6" s="161" t="n"/>
      <c r="L6" s="161" t="n"/>
      <c r="M6" s="161" t="n"/>
    </row>
    <row r="7" ht="14.25" customHeight="1">
      <c r="A7" s="427" t="n"/>
      <c r="B7" s="427" t="n"/>
      <c r="C7" s="312" t="inlineStr">
        <is>
          <t>16*25</t>
        </is>
      </c>
      <c r="D7" s="113" t="n">
        <v>46</v>
      </c>
      <c r="E7" s="312" t="n">
        <v>12</v>
      </c>
      <c r="F7" s="312">
        <f>92+12</f>
        <v/>
      </c>
      <c r="G7" s="312" t="n"/>
      <c r="H7" s="312">
        <f>F7-G7</f>
        <v/>
      </c>
      <c r="I7" s="161" t="inlineStr">
        <is>
          <t>новые</t>
        </is>
      </c>
      <c r="J7" s="161" t="n"/>
      <c r="K7" s="161" t="n"/>
      <c r="L7" s="161" t="n"/>
      <c r="M7" s="161" t="n"/>
    </row>
    <row r="8" ht="14.25" customHeight="1">
      <c r="A8" s="427" t="n"/>
      <c r="B8" s="428" t="n"/>
      <c r="C8" s="312" t="inlineStr">
        <is>
          <t>17*28</t>
        </is>
      </c>
      <c r="D8" s="113" t="n">
        <v>55</v>
      </c>
      <c r="E8" s="312" t="n">
        <v>12</v>
      </c>
      <c r="F8" s="312">
        <f>46+10</f>
        <v/>
      </c>
      <c r="G8" s="312" t="n"/>
      <c r="H8" s="312">
        <f>F8-G8</f>
        <v/>
      </c>
      <c r="I8" s="161" t="inlineStr">
        <is>
          <t>новые</t>
        </is>
      </c>
      <c r="J8" s="161" t="n"/>
      <c r="K8" s="161" t="n"/>
      <c r="L8" s="161" t="n"/>
      <c r="M8" s="161" t="n"/>
    </row>
    <row r="9" ht="14.25" customHeight="1">
      <c r="A9" s="427" t="n"/>
      <c r="B9" s="312" t="inlineStr">
        <is>
          <t>Navette</t>
        </is>
      </c>
      <c r="C9" s="312" t="inlineStr">
        <is>
          <t>7*15</t>
        </is>
      </c>
      <c r="D9" s="113" t="n">
        <v>20</v>
      </c>
      <c r="E9" s="312" t="n">
        <v>63</v>
      </c>
      <c r="F9" s="312">
        <f>252+62+62+63</f>
        <v/>
      </c>
      <c r="G9" s="312" t="n"/>
      <c r="H9" s="312">
        <f>F9-G9</f>
        <v/>
      </c>
      <c r="I9" s="161" t="inlineStr">
        <is>
          <t>старые</t>
        </is>
      </c>
      <c r="J9" s="161" t="n"/>
      <c r="K9" s="161" t="n"/>
      <c r="L9" s="161" t="n"/>
      <c r="M9" s="161" t="n"/>
    </row>
    <row r="10" ht="14.25" customHeight="1">
      <c r="A10" s="427" t="n"/>
      <c r="B10" s="427" t="n"/>
      <c r="C10" s="312" t="inlineStr">
        <is>
          <t>9*18</t>
        </is>
      </c>
      <c r="D10" s="113" t="n">
        <v>22</v>
      </c>
      <c r="E10" s="312" t="n">
        <v>36</v>
      </c>
      <c r="F10" s="312" t="n">
        <v>360</v>
      </c>
      <c r="G10" s="312" t="n"/>
      <c r="H10" s="312">
        <f>F10-G10</f>
        <v/>
      </c>
      <c r="I10" s="161" t="inlineStr">
        <is>
          <t>старые</t>
        </is>
      </c>
      <c r="J10" s="161" t="n"/>
      <c r="K10" s="161" t="n"/>
      <c r="L10" s="161" t="n"/>
      <c r="M10" s="161" t="n"/>
    </row>
    <row r="11" ht="14.25" customHeight="1">
      <c r="A11" s="427" t="n"/>
      <c r="B11" s="427" t="n"/>
      <c r="C11" s="312" t="inlineStr">
        <is>
          <t>13*22</t>
        </is>
      </c>
      <c r="D11" s="113" t="n">
        <v>33</v>
      </c>
      <c r="E11" s="312" t="n">
        <v>18</v>
      </c>
      <c r="F11" s="312">
        <f>24+182</f>
        <v/>
      </c>
      <c r="G11" s="312" t="n"/>
      <c r="H11" s="312">
        <f>F11-G11</f>
        <v/>
      </c>
      <c r="I11" s="161" t="inlineStr">
        <is>
          <t>новые</t>
        </is>
      </c>
      <c r="J11" s="161" t="n"/>
      <c r="K11" s="161" t="n"/>
      <c r="L11" s="161" t="n"/>
      <c r="M11" s="161" t="n"/>
    </row>
    <row r="12" ht="14.25" customHeight="1">
      <c r="A12" s="427" t="n"/>
      <c r="B12" s="428" t="n"/>
      <c r="C12" s="312" t="inlineStr">
        <is>
          <t>15*32</t>
        </is>
      </c>
      <c r="D12" s="113" t="n">
        <v>45</v>
      </c>
      <c r="E12" s="312" t="n">
        <v>12</v>
      </c>
      <c r="F12" s="312" t="n">
        <v>11</v>
      </c>
      <c r="G12" s="312" t="n"/>
      <c r="H12" s="312">
        <f>F12-G12</f>
        <v/>
      </c>
      <c r="I12" s="161" t="inlineStr">
        <is>
          <t>старые</t>
        </is>
      </c>
      <c r="J12" s="161" t="n"/>
      <c r="K12" s="161" t="n"/>
      <c r="L12" s="161" t="n"/>
      <c r="M12" s="161" t="n"/>
    </row>
    <row r="13" ht="14.25" customHeight="1">
      <c r="A13" s="427" t="n"/>
      <c r="B13" s="360" t="inlineStr">
        <is>
          <t>Rivoli</t>
        </is>
      </c>
      <c r="C13" s="312" t="inlineStr">
        <is>
          <t>8*8</t>
        </is>
      </c>
      <c r="D13" s="113" t="n">
        <v>7</v>
      </c>
      <c r="E13" s="312" t="n">
        <v>84</v>
      </c>
      <c r="F13" s="312" t="n">
        <v>651</v>
      </c>
      <c r="G13" s="312" t="n"/>
      <c r="H13" s="312">
        <f>F13-G13</f>
        <v/>
      </c>
      <c r="I13" s="161" t="inlineStr">
        <is>
          <t>старые</t>
        </is>
      </c>
      <c r="J13" s="161" t="n"/>
      <c r="K13" s="161" t="n"/>
      <c r="L13" s="161" t="n"/>
      <c r="M13" s="161" t="n"/>
    </row>
    <row r="14" ht="14.25" customHeight="1">
      <c r="A14" s="427" t="n"/>
      <c r="B14" s="427" t="n"/>
      <c r="C14" s="312" t="inlineStr">
        <is>
          <t>10*10</t>
        </is>
      </c>
      <c r="D14" s="113" t="n">
        <v>8</v>
      </c>
      <c r="E14" s="312" t="n">
        <v>45</v>
      </c>
      <c r="F14" s="312">
        <f>864+90</f>
        <v/>
      </c>
      <c r="G14" s="312" t="n"/>
      <c r="H14" s="312">
        <f>F14-G14</f>
        <v/>
      </c>
      <c r="I14" s="161" t="inlineStr">
        <is>
          <t>старые</t>
        </is>
      </c>
      <c r="J14" s="161" t="n"/>
      <c r="K14" s="161" t="n"/>
      <c r="L14" s="137" t="n"/>
      <c r="M14" s="161" t="n"/>
    </row>
    <row r="15" ht="14.25" customHeight="1">
      <c r="A15" s="427" t="n"/>
      <c r="B15" s="427" t="n"/>
      <c r="C15" s="312" t="inlineStr">
        <is>
          <t>12*12</t>
        </is>
      </c>
      <c r="D15" s="113" t="n">
        <v>10</v>
      </c>
      <c r="E15" s="312" t="n">
        <v>40</v>
      </c>
      <c r="F15" s="312">
        <f>37+110+40</f>
        <v/>
      </c>
      <c r="G15" s="312" t="n"/>
      <c r="H15" s="312">
        <f>F15-G15</f>
        <v/>
      </c>
      <c r="I15" s="161" t="inlineStr">
        <is>
          <t>старые</t>
        </is>
      </c>
      <c r="J15" s="161" t="n"/>
      <c r="K15" s="161" t="n"/>
      <c r="L15" s="137" t="n"/>
      <c r="M15" s="161" t="n"/>
    </row>
    <row r="16" ht="14.25" customHeight="1">
      <c r="A16" s="427" t="n"/>
      <c r="B16" s="427" t="n"/>
      <c r="C16" s="312" t="inlineStr">
        <is>
          <t>14*14</t>
        </is>
      </c>
      <c r="D16" s="113" t="n">
        <v>13</v>
      </c>
      <c r="E16" s="312" t="n">
        <v>28</v>
      </c>
      <c r="F16" s="312" t="n">
        <v>140</v>
      </c>
      <c r="G16" s="312" t="n"/>
      <c r="H16" s="312">
        <f>F16-G16</f>
        <v/>
      </c>
      <c r="I16" s="161" t="inlineStr">
        <is>
          <t>старые</t>
        </is>
      </c>
      <c r="J16" s="161" t="n"/>
      <c r="K16" s="161" t="n"/>
      <c r="L16" s="137" t="n"/>
      <c r="M16" s="161" t="n"/>
    </row>
    <row r="17" ht="14.25" customHeight="1">
      <c r="A17" s="427" t="n"/>
      <c r="B17" s="427" t="n"/>
      <c r="C17" s="312" t="inlineStr">
        <is>
          <t>16*16</t>
        </is>
      </c>
      <c r="D17" s="113" t="n">
        <v>15</v>
      </c>
      <c r="E17" s="312" t="n">
        <v>24</v>
      </c>
      <c r="F17" s="312">
        <f>24+120</f>
        <v/>
      </c>
      <c r="G17" s="312" t="n"/>
      <c r="H17" s="312">
        <f>F17-G17</f>
        <v/>
      </c>
      <c r="I17" s="161" t="inlineStr">
        <is>
          <t>старые</t>
        </is>
      </c>
      <c r="J17" s="161" t="n"/>
      <c r="K17" s="161" t="n"/>
      <c r="L17" s="137" t="n"/>
      <c r="M17" s="161" t="n"/>
    </row>
    <row r="18" ht="14.25" customHeight="1">
      <c r="A18" s="427" t="n"/>
      <c r="B18" s="301" t="inlineStr">
        <is>
          <t>Oval</t>
        </is>
      </c>
      <c r="C18" s="301" t="inlineStr">
        <is>
          <t>10*14</t>
        </is>
      </c>
      <c r="D18" s="105" t="n">
        <v>10</v>
      </c>
      <c r="E18" s="301" t="n">
        <v>36</v>
      </c>
      <c r="F18" s="301" t="n">
        <v>592</v>
      </c>
      <c r="G18" s="312" t="n"/>
      <c r="H18" s="312">
        <f>F18-G18</f>
        <v/>
      </c>
      <c r="I18" s="161" t="inlineStr">
        <is>
          <t>старые</t>
        </is>
      </c>
      <c r="J18" s="161" t="n"/>
      <c r="K18" s="161" t="n"/>
      <c r="L18" s="137" t="n"/>
      <c r="M18" s="161" t="n"/>
    </row>
    <row r="19" ht="14.25" customHeight="1">
      <c r="A19" s="427" t="n"/>
      <c r="B19" s="312" t="inlineStr">
        <is>
          <t>Cosmic</t>
        </is>
      </c>
      <c r="C19" s="312" t="inlineStr">
        <is>
          <t>9*12</t>
        </is>
      </c>
      <c r="D19" s="113" t="n">
        <v>11</v>
      </c>
      <c r="E19" s="312" t="n">
        <v>48</v>
      </c>
      <c r="F19" s="312">
        <f>192+48+48</f>
        <v/>
      </c>
      <c r="G19" s="312" t="n"/>
      <c r="H19" s="312">
        <f>F19-G19</f>
        <v/>
      </c>
      <c r="I19" s="161" t="inlineStr">
        <is>
          <t>старые</t>
        </is>
      </c>
      <c r="J19" s="161" t="n"/>
      <c r="K19" s="161" t="n"/>
      <c r="L19" s="137" t="n"/>
      <c r="M19" s="161" t="n"/>
    </row>
    <row r="20" ht="14.25" customHeight="1">
      <c r="A20" s="427" t="n"/>
      <c r="B20" s="427" t="n"/>
      <c r="C20" s="312" t="inlineStr">
        <is>
          <t>11*14</t>
        </is>
      </c>
      <c r="D20" s="113" t="n">
        <v>20</v>
      </c>
      <c r="E20" s="312" t="n">
        <v>28</v>
      </c>
      <c r="F20" s="312">
        <f>28+74</f>
        <v/>
      </c>
      <c r="G20" s="312" t="n">
        <v>28</v>
      </c>
      <c r="H20" s="312">
        <f>F20-G20</f>
        <v/>
      </c>
      <c r="I20" s="161" t="inlineStr">
        <is>
          <t>новые</t>
        </is>
      </c>
      <c r="J20" s="161" t="n"/>
      <c r="K20" s="161" t="n"/>
      <c r="L20" s="137" t="n"/>
      <c r="M20" s="161" t="n"/>
    </row>
    <row r="21" ht="14.25" customHeight="1">
      <c r="A21" s="427" t="n"/>
      <c r="B21" s="427" t="n"/>
      <c r="C21" s="312" t="inlineStr">
        <is>
          <t>13*17</t>
        </is>
      </c>
      <c r="D21" s="113" t="n">
        <v>29</v>
      </c>
      <c r="E21" s="312" t="n">
        <v>24</v>
      </c>
      <c r="F21" s="312">
        <f>511</f>
        <v/>
      </c>
      <c r="G21" s="312" t="n"/>
      <c r="H21" s="312">
        <f>F21-G21</f>
        <v/>
      </c>
      <c r="I21" s="161" t="inlineStr">
        <is>
          <t>новые</t>
        </is>
      </c>
      <c r="J21" s="161" t="n"/>
      <c r="K21" s="161" t="n"/>
      <c r="L21" s="137" t="n"/>
      <c r="M21" s="161" t="n"/>
    </row>
    <row r="22" ht="14.25" customHeight="1">
      <c r="A22" s="427" t="n"/>
      <c r="B22" s="427" t="n"/>
      <c r="C22" s="312" t="inlineStr">
        <is>
          <t>16*20</t>
        </is>
      </c>
      <c r="D22" s="113" t="n">
        <v>35</v>
      </c>
      <c r="E22" s="312" t="n">
        <v>15</v>
      </c>
      <c r="F22" s="312">
        <f>75+35+15</f>
        <v/>
      </c>
      <c r="G22" s="312" t="n"/>
      <c r="H22" s="312">
        <f>F22-G22</f>
        <v/>
      </c>
      <c r="I22" s="161" t="inlineStr">
        <is>
          <t>новые</t>
        </is>
      </c>
      <c r="J22" s="161" t="n"/>
      <c r="K22" s="161" t="n"/>
      <c r="L22" s="137" t="n"/>
      <c r="M22" s="161" t="n"/>
    </row>
    <row r="23" ht="14.25" customHeight="1">
      <c r="A23" s="427" t="n"/>
      <c r="B23" s="427" t="n"/>
      <c r="C23" s="312" t="inlineStr">
        <is>
          <t>21*27</t>
        </is>
      </c>
      <c r="D23" s="113" t="n">
        <v>58</v>
      </c>
      <c r="E23" s="312" t="n">
        <v>8</v>
      </c>
      <c r="F23" s="312">
        <f>8+144</f>
        <v/>
      </c>
      <c r="G23" s="312" t="n"/>
      <c r="H23" s="312">
        <f>F23-G23</f>
        <v/>
      </c>
      <c r="I23" s="161" t="inlineStr">
        <is>
          <t>новые</t>
        </is>
      </c>
      <c r="J23" s="161" t="n"/>
      <c r="K23" s="161" t="n"/>
      <c r="L23" s="137" t="n"/>
      <c r="M23" s="161" t="n"/>
    </row>
    <row r="24" ht="14.25" customHeight="1">
      <c r="A24" s="427" t="n"/>
      <c r="B24" s="428" t="n"/>
      <c r="C24" s="312" t="inlineStr">
        <is>
          <t>29*35</t>
        </is>
      </c>
      <c r="D24" s="113" t="n">
        <v>37</v>
      </c>
      <c r="E24" s="312" t="n">
        <v>8</v>
      </c>
      <c r="F24" s="312" t="n"/>
      <c r="G24" s="312" t="n"/>
      <c r="H24" s="312">
        <f>F24-G24</f>
        <v/>
      </c>
      <c r="I24" s="161" t="n"/>
      <c r="J24" s="161" t="n"/>
      <c r="K24" s="161" t="n"/>
      <c r="L24" s="137" t="n"/>
      <c r="M24" s="161" t="n"/>
    </row>
    <row r="25" ht="14.25" customHeight="1">
      <c r="A25" s="427" t="n"/>
      <c r="B25" s="312" t="inlineStr">
        <is>
          <t>Galactic</t>
        </is>
      </c>
      <c r="C25" s="312" t="inlineStr">
        <is>
          <t>7*12</t>
        </is>
      </c>
      <c r="D25" s="113" t="n">
        <v>12</v>
      </c>
      <c r="E25" s="312" t="n">
        <v>72</v>
      </c>
      <c r="F25" s="312">
        <f>144+72</f>
        <v/>
      </c>
      <c r="G25" s="312" t="n"/>
      <c r="H25" s="312">
        <f>F25-G25</f>
        <v/>
      </c>
      <c r="I25" s="161" t="inlineStr">
        <is>
          <t>старые</t>
        </is>
      </c>
      <c r="J25" s="161" t="n"/>
      <c r="K25" s="161" t="n"/>
      <c r="L25" s="137" t="n"/>
      <c r="M25" s="161" t="n"/>
    </row>
    <row r="26" ht="14.25" customHeight="1">
      <c r="A26" s="427" t="n"/>
      <c r="B26" s="427" t="n"/>
      <c r="C26" s="312" t="inlineStr">
        <is>
          <t>9*14</t>
        </is>
      </c>
      <c r="D26" s="113" t="n">
        <v>17</v>
      </c>
      <c r="E26" s="312" t="n">
        <v>48</v>
      </c>
      <c r="F26" s="312">
        <f>1152+566</f>
        <v/>
      </c>
      <c r="G26" s="312" t="n"/>
      <c r="H26" s="312">
        <f>F26-G26</f>
        <v/>
      </c>
      <c r="I26" s="161" t="inlineStr">
        <is>
          <t>1152 шт старые+566 шт новые</t>
        </is>
      </c>
      <c r="J26" s="161" t="n"/>
      <c r="K26" s="161" t="n"/>
      <c r="L26" s="137" t="n"/>
      <c r="M26" s="161" t="n"/>
    </row>
    <row r="27" ht="14.25" customHeight="1">
      <c r="A27" s="427" t="n"/>
      <c r="B27" s="427" t="n"/>
      <c r="C27" s="312" t="inlineStr">
        <is>
          <t>12*19</t>
        </is>
      </c>
      <c r="D27" s="113" t="n">
        <v>28</v>
      </c>
      <c r="E27" s="312" t="n">
        <v>24</v>
      </c>
      <c r="F27" s="312">
        <f>24+374</f>
        <v/>
      </c>
      <c r="G27" s="312" t="n"/>
      <c r="H27" s="312">
        <f>F27-G27</f>
        <v/>
      </c>
      <c r="I27" s="161" t="inlineStr">
        <is>
          <t>24 шт старые+374 шт новые</t>
        </is>
      </c>
      <c r="J27" s="161" t="n"/>
      <c r="K27" s="161" t="n"/>
      <c r="L27" s="137" t="n"/>
      <c r="M27" s="161" t="n"/>
    </row>
    <row r="28" ht="14.25" customHeight="1">
      <c r="A28" s="427" t="n"/>
      <c r="B28" s="428" t="n"/>
      <c r="C28" s="312" t="inlineStr">
        <is>
          <t>16*27</t>
        </is>
      </c>
      <c r="D28" s="113" t="n">
        <v>49</v>
      </c>
      <c r="E28" s="312" t="n">
        <v>12</v>
      </c>
      <c r="F28" s="312" t="n">
        <v>134</v>
      </c>
      <c r="G28" s="312" t="n"/>
      <c r="H28" s="312">
        <f>F28-G28</f>
        <v/>
      </c>
      <c r="I28" s="161" t="inlineStr">
        <is>
          <t>новые</t>
        </is>
      </c>
      <c r="J28" s="161" t="n"/>
      <c r="K28" s="161" t="n"/>
      <c r="L28" s="161" t="n"/>
      <c r="M28" s="161" t="n"/>
    </row>
    <row r="29" ht="14.25" customHeight="1">
      <c r="A29" s="427" t="n"/>
      <c r="B29" s="301" t="inlineStr">
        <is>
          <t>Square</t>
        </is>
      </c>
      <c r="C29" s="301" t="inlineStr">
        <is>
          <t>16*16</t>
        </is>
      </c>
      <c r="D29" s="113" t="n">
        <v>21</v>
      </c>
      <c r="E29" s="312" t="n">
        <v>18</v>
      </c>
      <c r="F29" s="312" t="n">
        <v>18</v>
      </c>
      <c r="G29" s="312" t="n"/>
      <c r="H29" s="312">
        <f>F29-G29</f>
        <v/>
      </c>
      <c r="I29" s="161" t="inlineStr">
        <is>
          <t>старые</t>
        </is>
      </c>
      <c r="J29" s="161" t="n"/>
      <c r="K29" s="161" t="n"/>
      <c r="L29" s="161" t="n"/>
      <c r="M29" s="161" t="n"/>
    </row>
    <row r="30" ht="14.25" customHeight="1">
      <c r="A30" s="427" t="n"/>
      <c r="B30" s="318" t="inlineStr">
        <is>
          <t>Trilliant</t>
        </is>
      </c>
      <c r="C30" s="301" t="inlineStr">
        <is>
          <t>12*12</t>
        </is>
      </c>
      <c r="D30" s="113" t="n">
        <v>15</v>
      </c>
      <c r="E30" s="312" t="n">
        <v>28</v>
      </c>
      <c r="F30" s="312">
        <f>224+28</f>
        <v/>
      </c>
      <c r="G30" s="312" t="n"/>
      <c r="H30" s="312">
        <f>F30-G30</f>
        <v/>
      </c>
      <c r="I30" s="161" t="inlineStr">
        <is>
          <t>старые</t>
        </is>
      </c>
      <c r="J30" s="161" t="n"/>
      <c r="K30" s="161" t="n"/>
      <c r="L30" s="161" t="n"/>
      <c r="M30" s="161" t="n"/>
    </row>
    <row r="31" ht="14.25" customHeight="1">
      <c r="A31" s="427" t="n"/>
      <c r="B31" s="318" t="inlineStr">
        <is>
          <t xml:space="preserve">Rectangle </t>
        </is>
      </c>
      <c r="C31" s="301" t="inlineStr">
        <is>
          <t>8*10</t>
        </is>
      </c>
      <c r="D31" s="113" t="n">
        <v>10</v>
      </c>
      <c r="E31" s="312" t="n">
        <v>48</v>
      </c>
      <c r="F31" s="312" t="n">
        <v>768</v>
      </c>
      <c r="G31" s="312" t="n"/>
      <c r="H31" s="312">
        <f>F31-G31</f>
        <v/>
      </c>
      <c r="I31" s="161" t="inlineStr">
        <is>
          <t>старые</t>
        </is>
      </c>
      <c r="J31" s="161" t="n"/>
      <c r="K31" s="161" t="n"/>
      <c r="L31" s="161" t="n"/>
      <c r="M31" s="161" t="n"/>
    </row>
    <row r="32" ht="14.25" customHeight="1">
      <c r="A32" s="427" t="n"/>
      <c r="B32" s="360" t="inlineStr">
        <is>
          <t>Triangle</t>
        </is>
      </c>
      <c r="C32" s="312" t="inlineStr">
        <is>
          <t>10*10</t>
        </is>
      </c>
      <c r="D32" s="113" t="n">
        <v>10</v>
      </c>
      <c r="E32" s="312" t="n">
        <v>48</v>
      </c>
      <c r="F32" s="312" t="n">
        <v>192</v>
      </c>
      <c r="G32" s="312" t="n"/>
      <c r="H32" s="312">
        <f>F32-G32</f>
        <v/>
      </c>
      <c r="I32" s="161" t="inlineStr">
        <is>
          <t>старые</t>
        </is>
      </c>
      <c r="J32" s="161" t="n"/>
      <c r="K32" s="161" t="n"/>
      <c r="L32" s="137" t="n"/>
      <c r="M32" s="161" t="n"/>
    </row>
    <row r="33" ht="14.25" customHeight="1" thickBot="1">
      <c r="A33" s="429" t="n"/>
      <c r="B33" s="301" t="inlineStr">
        <is>
          <t>Lemon</t>
        </is>
      </c>
      <c r="C33" s="301" t="inlineStr">
        <is>
          <t>9*14</t>
        </is>
      </c>
      <c r="D33" s="105" t="n">
        <v>11</v>
      </c>
      <c r="E33" s="301" t="n">
        <v>48</v>
      </c>
      <c r="F33" s="301" t="n">
        <v>465</v>
      </c>
      <c r="G33" s="312" t="n"/>
      <c r="H33" s="312">
        <f>F33-G33</f>
        <v/>
      </c>
      <c r="I33" s="161" t="inlineStr">
        <is>
          <t>старые</t>
        </is>
      </c>
      <c r="J33" s="161" t="n"/>
      <c r="K33" s="161" t="n"/>
      <c r="L33" s="137" t="n"/>
      <c r="M33" s="161" t="n"/>
    </row>
    <row r="34" ht="15.75" customHeight="1" thickTop="1">
      <c r="A34" s="304" t="inlineStr">
        <is>
          <t>NEW AB</t>
        </is>
      </c>
      <c r="B34" s="303" t="inlineStr">
        <is>
          <t>Drop</t>
        </is>
      </c>
      <c r="C34" s="303" t="inlineStr">
        <is>
          <t>5*8</t>
        </is>
      </c>
      <c r="D34" s="108" t="n">
        <v>9</v>
      </c>
      <c r="E34" s="303" t="n">
        <v>130</v>
      </c>
      <c r="F34" s="303" t="n">
        <v>217</v>
      </c>
      <c r="G34" s="303" t="n"/>
      <c r="H34" s="303">
        <f>F34-G34</f>
        <v/>
      </c>
      <c r="I34" s="161" t="n"/>
      <c r="J34" s="161" t="n"/>
      <c r="K34" s="161" t="n"/>
      <c r="L34" s="137" t="n"/>
      <c r="M34" s="161" t="n"/>
    </row>
    <row r="35">
      <c r="A35" s="427" t="n"/>
      <c r="B35" s="427" t="n"/>
      <c r="C35" s="317" t="inlineStr">
        <is>
          <t>7*12</t>
        </is>
      </c>
      <c r="D35" s="109" t="n">
        <v>17</v>
      </c>
      <c r="E35" s="317" t="n">
        <v>72</v>
      </c>
      <c r="F35" s="317">
        <f>2871+567+2860+576</f>
        <v/>
      </c>
      <c r="G35" s="317" t="n"/>
      <c r="H35" s="317">
        <f>F35-G35</f>
        <v/>
      </c>
      <c r="I35" s="161" t="n"/>
      <c r="J35" s="161" t="n"/>
      <c r="K35" s="161" t="n"/>
      <c r="L35" s="137" t="n"/>
      <c r="M35" s="161" t="n"/>
    </row>
    <row r="36">
      <c r="A36" s="427" t="n"/>
      <c r="B36" s="427" t="n"/>
      <c r="C36" s="317" t="inlineStr">
        <is>
          <t>10*14</t>
        </is>
      </c>
      <c r="D36" s="109" t="n">
        <v>21</v>
      </c>
      <c r="E36" s="317" t="n">
        <v>36</v>
      </c>
      <c r="F36" s="317">
        <f>1690+288+2218</f>
        <v/>
      </c>
      <c r="G36" s="317" t="n"/>
      <c r="H36" s="317">
        <f>F36-G36</f>
        <v/>
      </c>
      <c r="I36" s="161" t="n"/>
      <c r="J36" s="161" t="n"/>
      <c r="K36" s="161" t="n"/>
      <c r="L36" s="137" t="n"/>
      <c r="M36" s="161" t="n"/>
    </row>
    <row r="37">
      <c r="A37" s="427" t="n"/>
      <c r="B37" s="427" t="n"/>
      <c r="C37" s="317" t="inlineStr">
        <is>
          <t>11*18</t>
        </is>
      </c>
      <c r="D37" s="109" t="n">
        <v>27</v>
      </c>
      <c r="E37" s="317" t="n">
        <v>24</v>
      </c>
      <c r="F37" s="317">
        <f>1112+234+168</f>
        <v/>
      </c>
      <c r="G37" s="317" t="n"/>
      <c r="H37" s="317">
        <f>F37-G37</f>
        <v/>
      </c>
      <c r="I37" s="161" t="n"/>
      <c r="J37" s="161" t="n"/>
      <c r="K37" s="161" t="n"/>
      <c r="L37" s="137" t="n"/>
      <c r="M37" s="161" t="n"/>
    </row>
    <row r="38">
      <c r="A38" s="427" t="n"/>
      <c r="B38" s="427" t="n"/>
      <c r="C38" s="317" t="inlineStr">
        <is>
          <t>13*22</t>
        </is>
      </c>
      <c r="D38" s="109" t="n">
        <v>38</v>
      </c>
      <c r="E38" s="317" t="n">
        <v>24</v>
      </c>
      <c r="F38" s="317">
        <f>877+49+983</f>
        <v/>
      </c>
      <c r="G38" s="317" t="n">
        <v>24</v>
      </c>
      <c r="H38" s="317">
        <f>F38-G38</f>
        <v/>
      </c>
      <c r="I38" s="161" t="n"/>
      <c r="J38" s="161" t="n"/>
      <c r="K38" s="161" t="n"/>
      <c r="L38" s="137" t="n"/>
      <c r="M38" s="161" t="n"/>
    </row>
    <row r="39">
      <c r="A39" s="427" t="n"/>
      <c r="B39" s="428" t="n"/>
      <c r="C39" s="317" t="inlineStr">
        <is>
          <t>17*28</t>
        </is>
      </c>
      <c r="D39" s="109" t="n">
        <v>47</v>
      </c>
      <c r="E39" s="317" t="n">
        <v>12</v>
      </c>
      <c r="F39" s="317" t="n">
        <v>36</v>
      </c>
      <c r="G39" s="317" t="n"/>
      <c r="H39" s="317">
        <f>F39-G39</f>
        <v/>
      </c>
      <c r="I39" s="161" t="n"/>
      <c r="J39" s="161" t="n"/>
      <c r="K39" s="161" t="n"/>
      <c r="L39" s="137" t="n"/>
      <c r="M39" s="161" t="n"/>
    </row>
    <row r="40">
      <c r="A40" s="427" t="n"/>
      <c r="B40" s="318" t="inlineStr">
        <is>
          <t>Navette</t>
        </is>
      </c>
      <c r="C40" s="312" t="inlineStr">
        <is>
          <t>5*10</t>
        </is>
      </c>
      <c r="D40" s="113" t="n">
        <v>12</v>
      </c>
      <c r="E40" s="312" t="n">
        <v>130</v>
      </c>
      <c r="F40" s="317" t="n">
        <v>3505</v>
      </c>
      <c r="G40" s="317" t="n"/>
      <c r="H40" s="317">
        <f>F40-G40</f>
        <v/>
      </c>
      <c r="I40" s="161" t="n"/>
      <c r="J40" s="161" t="n"/>
      <c r="K40" s="161" t="n"/>
      <c r="L40" s="161" t="n"/>
      <c r="M40" s="161" t="n"/>
    </row>
    <row r="41">
      <c r="A41" s="427" t="n"/>
      <c r="B41" s="427" t="n"/>
      <c r="C41" s="312" t="inlineStr">
        <is>
          <t>6*12</t>
        </is>
      </c>
      <c r="D41" s="113" t="n">
        <v>16</v>
      </c>
      <c r="E41" s="312" t="n">
        <v>84</v>
      </c>
      <c r="F41" s="317">
        <f>757+756</f>
        <v/>
      </c>
      <c r="G41" s="317" t="n"/>
      <c r="H41" s="317">
        <f>F41-G41</f>
        <v/>
      </c>
      <c r="I41" s="161" t="n"/>
      <c r="J41" s="161" t="n"/>
      <c r="K41" s="161" t="n"/>
      <c r="L41" s="161" t="n"/>
      <c r="M41" s="161" t="n"/>
    </row>
    <row r="42">
      <c r="A42" s="427" t="n"/>
      <c r="B42" s="427" t="n"/>
      <c r="C42" s="312" t="inlineStr">
        <is>
          <t>7*15</t>
        </is>
      </c>
      <c r="D42" s="113" t="n">
        <v>19</v>
      </c>
      <c r="E42" s="312" t="n">
        <v>63</v>
      </c>
      <c r="F42" s="317">
        <f>4406+174+4390+504</f>
        <v/>
      </c>
      <c r="G42" s="317" t="n"/>
      <c r="H42" s="317">
        <f>F42-G42</f>
        <v/>
      </c>
      <c r="I42" s="161" t="n"/>
      <c r="J42" s="161" t="n"/>
      <c r="K42" s="161" t="n"/>
      <c r="L42" s="161" t="n"/>
      <c r="M42" s="161" t="n"/>
    </row>
    <row r="43">
      <c r="A43" s="427" t="n"/>
      <c r="B43" s="427" t="n"/>
      <c r="C43" s="301" t="inlineStr">
        <is>
          <t>9*18</t>
        </is>
      </c>
      <c r="D43" s="105" t="n">
        <v>26</v>
      </c>
      <c r="E43" s="301" t="n">
        <v>36</v>
      </c>
      <c r="F43" s="301">
        <f>777+2073+72+72</f>
        <v/>
      </c>
      <c r="G43" s="301" t="n"/>
      <c r="H43" s="317">
        <f>F43-G43</f>
        <v/>
      </c>
      <c r="I43" s="161" t="n"/>
      <c r="J43" s="161" t="n"/>
      <c r="K43" s="161" t="n"/>
      <c r="L43" s="161" t="n"/>
      <c r="M43" s="161" t="n"/>
    </row>
    <row r="44">
      <c r="A44" s="427" t="n"/>
      <c r="B44" s="301" t="inlineStr">
        <is>
          <t>Rivoli</t>
        </is>
      </c>
      <c r="C44" s="301" t="inlineStr">
        <is>
          <t>6*6</t>
        </is>
      </c>
      <c r="D44" s="105" t="n">
        <v>8</v>
      </c>
      <c r="E44" s="301" t="n">
        <v>108</v>
      </c>
      <c r="F44" s="301">
        <f>215+284</f>
        <v/>
      </c>
      <c r="G44" s="301" t="n"/>
      <c r="H44" s="301">
        <f>F44-G44</f>
        <v/>
      </c>
      <c r="I44" s="161" t="n"/>
      <c r="J44" s="161" t="n"/>
      <c r="K44" s="161" t="n"/>
      <c r="L44" s="161" t="n"/>
      <c r="M44" s="161" t="n"/>
    </row>
    <row r="45">
      <c r="A45" s="427" t="n"/>
      <c r="B45" s="427" t="n"/>
      <c r="C45" s="301" t="inlineStr">
        <is>
          <t>8*8</t>
        </is>
      </c>
      <c r="D45" s="105" t="n">
        <v>12</v>
      </c>
      <c r="E45" s="301" t="n">
        <v>84</v>
      </c>
      <c r="F45" s="301">
        <f>630+981</f>
        <v/>
      </c>
      <c r="G45" s="301" t="n"/>
      <c r="H45" s="301">
        <f>F45-G45</f>
        <v/>
      </c>
      <c r="I45" s="161" t="n"/>
      <c r="J45" s="161" t="n"/>
      <c r="K45" s="161" t="n"/>
      <c r="L45" s="161" t="n"/>
      <c r="M45" s="161" t="n"/>
    </row>
    <row r="46">
      <c r="A46" s="427" t="n"/>
      <c r="B46" s="427" t="n"/>
      <c r="C46" s="301" t="inlineStr">
        <is>
          <t>10*10</t>
        </is>
      </c>
      <c r="D46" s="105" t="n">
        <v>15</v>
      </c>
      <c r="E46" s="301" t="n">
        <v>45</v>
      </c>
      <c r="F46" s="301" t="n">
        <v>2735</v>
      </c>
      <c r="G46" s="301" t="n"/>
      <c r="H46" s="301">
        <f>F46-G46</f>
        <v/>
      </c>
      <c r="I46" s="161" t="n"/>
      <c r="J46" s="161" t="n"/>
      <c r="K46" s="161" t="n"/>
      <c r="L46" s="161" t="n"/>
      <c r="M46" s="161" t="n"/>
    </row>
    <row r="47">
      <c r="A47" s="427" t="n"/>
      <c r="B47" s="427" t="n"/>
      <c r="C47" s="301" t="inlineStr">
        <is>
          <t>12*12</t>
        </is>
      </c>
      <c r="D47" s="105" t="n">
        <v>19</v>
      </c>
      <c r="E47" s="301" t="n">
        <v>40</v>
      </c>
      <c r="F47" s="301">
        <f>941+2150+178</f>
        <v/>
      </c>
      <c r="G47" s="301" t="n">
        <v>40</v>
      </c>
      <c r="H47" s="301">
        <f>F47-G47</f>
        <v/>
      </c>
      <c r="I47" s="161" t="n"/>
      <c r="J47" s="161" t="n"/>
      <c r="K47" s="161" t="n"/>
      <c r="L47" s="161" t="n"/>
      <c r="M47" s="161" t="n"/>
    </row>
    <row r="48">
      <c r="A48" s="427" t="n"/>
      <c r="B48" s="427" t="n"/>
      <c r="C48" s="301" t="inlineStr">
        <is>
          <t>14*14</t>
        </is>
      </c>
      <c r="D48" s="105" t="n">
        <v>25</v>
      </c>
      <c r="E48" s="301" t="n">
        <v>28</v>
      </c>
      <c r="F48" s="301">
        <f>1512+899</f>
        <v/>
      </c>
      <c r="G48" s="301" t="n"/>
      <c r="H48" s="301">
        <f>F48-G48</f>
        <v/>
      </c>
      <c r="I48" s="161" t="n"/>
      <c r="J48" s="161" t="n"/>
      <c r="K48" s="161" t="n"/>
      <c r="L48" s="161" t="n"/>
      <c r="M48" s="161" t="n"/>
    </row>
    <row r="49">
      <c r="A49" s="427" t="n"/>
      <c r="B49" s="427" t="n"/>
      <c r="C49" s="301" t="inlineStr">
        <is>
          <t>16*16</t>
        </is>
      </c>
      <c r="D49" s="105" t="n">
        <v>36</v>
      </c>
      <c r="E49" s="301" t="n">
        <v>24</v>
      </c>
      <c r="F49" s="301">
        <f>31+902</f>
        <v/>
      </c>
      <c r="G49" s="301" t="n"/>
      <c r="H49" s="301">
        <f>F49-G49</f>
        <v/>
      </c>
      <c r="I49" s="161" t="n"/>
      <c r="J49" s="161" t="n"/>
      <c r="K49" s="161" t="n"/>
      <c r="L49" s="161" t="n"/>
      <c r="M49" s="161" t="n"/>
    </row>
    <row r="50">
      <c r="A50" s="427" t="n"/>
      <c r="B50" s="428" t="n"/>
      <c r="C50" s="301" t="inlineStr">
        <is>
          <t>18*18</t>
        </is>
      </c>
      <c r="D50" s="105" t="n">
        <v>31</v>
      </c>
      <c r="E50" s="301" t="n">
        <v>18</v>
      </c>
      <c r="F50" s="301">
        <f>116</f>
        <v/>
      </c>
      <c r="G50" s="301" t="n"/>
      <c r="H50" s="301">
        <f>F50-G50</f>
        <v/>
      </c>
      <c r="I50" s="161" t="n"/>
      <c r="J50" s="161" t="n"/>
      <c r="K50" s="161" t="n"/>
      <c r="L50" s="161" t="n"/>
      <c r="M50" s="161" t="n"/>
    </row>
    <row r="51">
      <c r="A51" s="427" t="n"/>
      <c r="B51" s="318" t="inlineStr">
        <is>
          <t xml:space="preserve">Oval </t>
        </is>
      </c>
      <c r="C51" s="312" t="inlineStr">
        <is>
          <t>7*10</t>
        </is>
      </c>
      <c r="D51" s="113" t="n">
        <v>13.58357</v>
      </c>
      <c r="E51" s="312" t="n">
        <v>72</v>
      </c>
      <c r="F51" s="301" t="n">
        <v>1151</v>
      </c>
      <c r="G51" s="301" t="n"/>
      <c r="H51" s="301">
        <f>F51-G51</f>
        <v/>
      </c>
      <c r="I51" s="161" t="n"/>
      <c r="J51" s="161" t="n"/>
      <c r="K51" s="161" t="n"/>
      <c r="L51" s="161" t="n"/>
      <c r="M51" s="161" t="n"/>
    </row>
    <row r="52">
      <c r="A52" s="427" t="n"/>
      <c r="B52" s="427" t="n"/>
      <c r="C52" s="312" t="inlineStr">
        <is>
          <t>10*14</t>
        </is>
      </c>
      <c r="D52" s="113" t="n">
        <v>20.375355</v>
      </c>
      <c r="E52" s="312" t="n">
        <v>36</v>
      </c>
      <c r="F52" s="301">
        <f>252+1872</f>
        <v/>
      </c>
      <c r="G52" s="301" t="n"/>
      <c r="H52" s="301">
        <f>F52-G52</f>
        <v/>
      </c>
      <c r="I52" s="161" t="n"/>
      <c r="J52" s="161" t="n"/>
      <c r="K52" s="161" t="n"/>
      <c r="L52" s="161" t="n"/>
      <c r="M52" s="161" t="n"/>
    </row>
    <row r="53">
      <c r="A53" s="427" t="n"/>
      <c r="B53" s="427" t="n"/>
      <c r="C53" s="312" t="inlineStr">
        <is>
          <t>11*16</t>
        </is>
      </c>
      <c r="D53" s="113" t="n">
        <v>25.314835</v>
      </c>
      <c r="E53" s="312" t="n">
        <v>36</v>
      </c>
      <c r="F53" s="301">
        <f>1944+1064</f>
        <v/>
      </c>
      <c r="G53" s="301" t="n"/>
      <c r="H53" s="301">
        <f>F53-G53</f>
        <v/>
      </c>
      <c r="I53" s="161" t="n"/>
      <c r="J53" s="161" t="n"/>
      <c r="K53" s="161" t="n"/>
      <c r="L53" s="161" t="n"/>
      <c r="M53" s="161" t="n"/>
    </row>
    <row r="54">
      <c r="A54" s="427" t="n"/>
      <c r="B54" s="427" t="n"/>
      <c r="C54" s="312" t="inlineStr">
        <is>
          <t>13*18</t>
        </is>
      </c>
      <c r="D54" s="113" t="n">
        <v>38.28097</v>
      </c>
      <c r="E54" s="312" t="n">
        <v>24</v>
      </c>
      <c r="F54" s="301">
        <f>47+993</f>
        <v/>
      </c>
      <c r="G54" s="301" t="n"/>
      <c r="H54" s="301">
        <f>F54-G54</f>
        <v/>
      </c>
      <c r="I54" s="161" t="n"/>
      <c r="J54" s="161" t="n"/>
      <c r="K54" s="161" t="n"/>
      <c r="L54" s="161" t="n"/>
      <c r="M54" s="161" t="n"/>
    </row>
    <row r="55">
      <c r="A55" s="427" t="n"/>
      <c r="B55" s="318" t="inlineStr">
        <is>
          <t>Square</t>
        </is>
      </c>
      <c r="C55" s="301" t="inlineStr">
        <is>
          <t>10*10</t>
        </is>
      </c>
      <c r="D55" s="105" t="n">
        <v>13</v>
      </c>
      <c r="E55" s="301" t="n">
        <v>45</v>
      </c>
      <c r="F55" s="301">
        <f>46+1035</f>
        <v/>
      </c>
      <c r="G55" s="301" t="n"/>
      <c r="H55" s="301">
        <f>F55-G55</f>
        <v/>
      </c>
      <c r="I55" s="161" t="n"/>
      <c r="J55" s="161" t="n"/>
      <c r="K55" s="161" t="n"/>
      <c r="L55" s="161" t="n"/>
      <c r="M55" s="161" t="n"/>
    </row>
    <row r="56">
      <c r="A56" s="427" t="n"/>
      <c r="B56" s="427" t="n"/>
      <c r="C56" s="301" t="inlineStr">
        <is>
          <t>12*12</t>
        </is>
      </c>
      <c r="D56" s="105" t="n">
        <v>25</v>
      </c>
      <c r="E56" s="301" t="n">
        <v>40</v>
      </c>
      <c r="F56" s="301">
        <f>80+280</f>
        <v/>
      </c>
      <c r="G56" s="301" t="n"/>
      <c r="H56" s="301">
        <f>F56-G56</f>
        <v/>
      </c>
      <c r="I56" s="161" t="n"/>
      <c r="J56" s="161" t="n"/>
      <c r="K56" s="161" t="n"/>
      <c r="L56" s="161" t="n"/>
      <c r="M56" s="161" t="n"/>
    </row>
    <row r="57">
      <c r="A57" s="427" t="n"/>
      <c r="B57" s="427" t="n"/>
      <c r="C57" s="301" t="inlineStr">
        <is>
          <t>14*14</t>
        </is>
      </c>
      <c r="D57" s="105" t="n">
        <v>35</v>
      </c>
      <c r="E57" s="301" t="n">
        <v>28</v>
      </c>
      <c r="F57" s="301">
        <f>168+84</f>
        <v/>
      </c>
      <c r="G57" s="301" t="n"/>
      <c r="H57" s="301">
        <f>F57-G57</f>
        <v/>
      </c>
      <c r="I57" s="161" t="n"/>
      <c r="J57" s="161" t="n"/>
      <c r="K57" s="161" t="n"/>
      <c r="L57" s="161" t="n"/>
      <c r="M57" s="161" t="n"/>
    </row>
    <row r="58">
      <c r="A58" s="427" t="n"/>
      <c r="B58" s="427" t="n"/>
      <c r="C58" s="301" t="inlineStr">
        <is>
          <t>16*16</t>
        </is>
      </c>
      <c r="D58" s="105" t="n">
        <v>50</v>
      </c>
      <c r="E58" s="301" t="n">
        <v>24</v>
      </c>
      <c r="F58" s="301">
        <f>24+432</f>
        <v/>
      </c>
      <c r="G58" s="301" t="n"/>
      <c r="H58" s="301">
        <f>F58-G58</f>
        <v/>
      </c>
      <c r="I58" s="161" t="n"/>
      <c r="J58" s="161" t="n"/>
      <c r="K58" s="161" t="n"/>
      <c r="L58" s="161" t="n"/>
      <c r="M58" s="161" t="n"/>
    </row>
    <row r="59">
      <c r="A59" s="427" t="n"/>
      <c r="B59" s="301" t="inlineStr">
        <is>
          <t>Trilliant</t>
        </is>
      </c>
      <c r="C59" s="301" t="inlineStr">
        <is>
          <t>12*12</t>
        </is>
      </c>
      <c r="D59" s="105" t="n">
        <v>25</v>
      </c>
      <c r="E59" s="301" t="n">
        <v>28</v>
      </c>
      <c r="F59" s="301">
        <f>1581+767</f>
        <v/>
      </c>
      <c r="G59" s="301" t="n"/>
      <c r="H59" s="301">
        <f>F59-G59</f>
        <v/>
      </c>
      <c r="I59" s="161" t="n"/>
      <c r="J59" s="161" t="n"/>
      <c r="K59" s="161" t="n"/>
      <c r="L59" s="161" t="n"/>
      <c r="M59" s="161" t="n"/>
    </row>
    <row r="60">
      <c r="A60" s="427" t="n"/>
      <c r="B60" s="428" t="n"/>
      <c r="C60" s="301" t="inlineStr">
        <is>
          <t>16*16</t>
        </is>
      </c>
      <c r="D60" s="105" t="n">
        <v>51</v>
      </c>
      <c r="E60" s="301" t="n">
        <v>18</v>
      </c>
      <c r="F60" s="301">
        <f>864+972+342+14+105+39</f>
        <v/>
      </c>
      <c r="G60" s="301" t="n"/>
      <c r="H60" s="301">
        <f>F60-G60</f>
        <v/>
      </c>
      <c r="I60" s="161" t="n"/>
      <c r="J60" s="161" t="n"/>
      <c r="K60" s="161" t="n"/>
      <c r="L60" s="161" t="n"/>
      <c r="M60" s="161" t="n"/>
    </row>
    <row r="61">
      <c r="A61" s="427" t="n"/>
      <c r="B61" s="318" t="inlineStr">
        <is>
          <t>Triangle</t>
        </is>
      </c>
      <c r="C61" s="301" t="inlineStr">
        <is>
          <t>10*10</t>
        </is>
      </c>
      <c r="D61" s="105" t="n">
        <v>12</v>
      </c>
      <c r="E61" s="301" t="n">
        <v>48</v>
      </c>
      <c r="F61" s="301">
        <f>96+478</f>
        <v/>
      </c>
      <c r="G61" s="301" t="n"/>
      <c r="H61" s="301">
        <f>F61-G61</f>
        <v/>
      </c>
      <c r="I61" s="161" t="n"/>
      <c r="J61" s="161" t="n"/>
      <c r="K61" s="161" t="n"/>
      <c r="L61" s="161" t="n"/>
      <c r="M61" s="161" t="n"/>
    </row>
    <row r="62">
      <c r="A62" s="427" t="n"/>
      <c r="B62" s="427" t="n"/>
      <c r="C62" s="301" t="inlineStr">
        <is>
          <t>12*12</t>
        </is>
      </c>
      <c r="D62" s="105" t="n">
        <v>22</v>
      </c>
      <c r="E62" s="301" t="n">
        <v>28</v>
      </c>
      <c r="F62" s="301" t="n">
        <v>168</v>
      </c>
      <c r="G62" s="301" t="n"/>
      <c r="H62" s="301">
        <f>F62-G62</f>
        <v/>
      </c>
      <c r="I62" s="161" t="n"/>
      <c r="J62" s="161" t="n"/>
      <c r="K62" s="161" t="n"/>
      <c r="L62" s="161" t="n"/>
      <c r="M62" s="161" t="n"/>
    </row>
    <row r="63">
      <c r="A63" s="427" t="n"/>
      <c r="B63" s="427" t="n"/>
      <c r="C63" s="301" t="inlineStr">
        <is>
          <t>16*16</t>
        </is>
      </c>
      <c r="D63" s="105" t="n">
        <v>40</v>
      </c>
      <c r="E63" s="301" t="n">
        <v>18</v>
      </c>
      <c r="F63" s="301" t="n">
        <v>615</v>
      </c>
      <c r="G63" s="301" t="n"/>
      <c r="H63" s="301">
        <f>F63-G63</f>
        <v/>
      </c>
      <c r="I63" s="161" t="n"/>
      <c r="J63" s="161" t="n"/>
      <c r="K63" s="161" t="n"/>
      <c r="L63" s="161" t="n"/>
      <c r="M63" s="161" t="n"/>
    </row>
    <row r="64">
      <c r="A64" s="427" t="n"/>
      <c r="B64" s="312" t="inlineStr">
        <is>
          <t>LEMON</t>
        </is>
      </c>
      <c r="C64" s="312" t="inlineStr">
        <is>
          <t>9*14</t>
        </is>
      </c>
      <c r="D64" s="113" t="n">
        <v>23.46253</v>
      </c>
      <c r="E64" s="312" t="n">
        <v>48</v>
      </c>
      <c r="F64" s="301" t="n">
        <v>1506</v>
      </c>
      <c r="G64" s="301" t="n"/>
      <c r="H64" s="301">
        <f>F64-G64</f>
        <v/>
      </c>
      <c r="I64" s="161" t="n"/>
      <c r="J64" s="161" t="n"/>
      <c r="K64" s="161" t="n"/>
      <c r="L64" s="161" t="n"/>
      <c r="M64" s="161" t="n"/>
    </row>
    <row r="65">
      <c r="A65" s="427" t="n"/>
      <c r="B65" s="305" t="inlineStr">
        <is>
          <t>Cosmic</t>
        </is>
      </c>
      <c r="C65" s="301" t="inlineStr">
        <is>
          <t>9*12</t>
        </is>
      </c>
      <c r="D65" s="105" t="n">
        <v>21</v>
      </c>
      <c r="E65" s="301" t="n">
        <v>48</v>
      </c>
      <c r="F65" s="301">
        <f>1041+1969+1425+110+96</f>
        <v/>
      </c>
      <c r="G65" s="301" t="n">
        <v>48</v>
      </c>
      <c r="H65" s="301">
        <f>F65-G65</f>
        <v/>
      </c>
      <c r="I65" s="161" t="n"/>
      <c r="J65" s="161" t="n"/>
      <c r="K65" s="161" t="n"/>
      <c r="L65" s="161" t="n"/>
      <c r="M65" s="161" t="n"/>
    </row>
    <row r="66">
      <c r="A66" s="427" t="n"/>
      <c r="B66" s="427" t="n"/>
      <c r="C66" s="301" t="inlineStr">
        <is>
          <t>10*14</t>
        </is>
      </c>
      <c r="D66" s="105" t="n">
        <v>26</v>
      </c>
      <c r="E66" s="301" t="n">
        <v>28</v>
      </c>
      <c r="F66" s="301">
        <f>504+1764</f>
        <v/>
      </c>
      <c r="G66" s="301" t="n">
        <v>28</v>
      </c>
      <c r="H66" s="301">
        <f>F66-G66</f>
        <v/>
      </c>
      <c r="I66" s="161" t="n"/>
      <c r="J66" s="161" t="n"/>
      <c r="K66" s="161" t="n"/>
      <c r="L66" s="161" t="n"/>
      <c r="M66" s="161" t="n"/>
    </row>
    <row r="67">
      <c r="A67" s="427" t="n"/>
      <c r="B67" s="427" t="n"/>
      <c r="C67" s="301" t="inlineStr">
        <is>
          <t>13*17</t>
        </is>
      </c>
      <c r="D67" s="105" t="n">
        <v>24</v>
      </c>
      <c r="E67" s="301" t="n">
        <v>24</v>
      </c>
      <c r="F67" s="301" t="n">
        <v>144</v>
      </c>
      <c r="G67" s="301" t="n">
        <v>24</v>
      </c>
      <c r="H67" s="301">
        <f>F67-G67</f>
        <v/>
      </c>
      <c r="I67" s="161" t="n"/>
      <c r="J67" s="161" t="n"/>
      <c r="K67" s="161" t="n"/>
      <c r="L67" s="161" t="n"/>
      <c r="M67" s="161" t="n"/>
    </row>
    <row r="68">
      <c r="A68" s="427" t="n"/>
      <c r="B68" s="301" t="inlineStr">
        <is>
          <t>Galactic</t>
        </is>
      </c>
      <c r="C68" s="301" t="inlineStr">
        <is>
          <t>5*10</t>
        </is>
      </c>
      <c r="D68" s="105" t="n">
        <v>17</v>
      </c>
      <c r="E68" s="301" t="n">
        <v>84</v>
      </c>
      <c r="F68" s="301" t="n">
        <v>3028</v>
      </c>
      <c r="G68" s="301" t="n"/>
      <c r="H68" s="301">
        <f>F68-G68</f>
        <v/>
      </c>
      <c r="I68" s="161" t="n"/>
      <c r="J68" s="161" t="n"/>
      <c r="K68" s="161" t="n"/>
      <c r="L68" s="161" t="n"/>
      <c r="M68" s="161" t="n"/>
    </row>
    <row r="69">
      <c r="A69" s="427" t="n"/>
      <c r="B69" s="427" t="n"/>
      <c r="C69" s="301" t="inlineStr">
        <is>
          <t>7*12</t>
        </is>
      </c>
      <c r="D69" s="105" t="n">
        <v>18</v>
      </c>
      <c r="E69" s="301" t="n">
        <v>72</v>
      </c>
      <c r="F69" s="301">
        <f>2448+5832+2951</f>
        <v/>
      </c>
      <c r="G69" s="301" t="n">
        <v>72</v>
      </c>
      <c r="H69" s="301">
        <f>F69-G69</f>
        <v/>
      </c>
      <c r="I69" s="161" t="n"/>
      <c r="J69" s="161" t="n"/>
      <c r="K69" s="161" t="n"/>
      <c r="L69" s="161" t="n"/>
      <c r="M69" s="161" t="n"/>
    </row>
    <row r="70">
      <c r="A70" s="427" t="n"/>
      <c r="B70" s="427" t="n"/>
      <c r="C70" s="301" t="inlineStr">
        <is>
          <t>9*14</t>
        </is>
      </c>
      <c r="D70" s="105" t="n">
        <v>21</v>
      </c>
      <c r="E70" s="301" t="n">
        <v>48</v>
      </c>
      <c r="F70" s="301">
        <f>2104+96+88+1344</f>
        <v/>
      </c>
      <c r="G70" s="301" t="n">
        <v>48</v>
      </c>
      <c r="H70" s="301">
        <f>F70-G70</f>
        <v/>
      </c>
      <c r="I70" s="161" t="n"/>
      <c r="J70" s="161" t="n"/>
      <c r="K70" s="161" t="n"/>
      <c r="L70" s="161" t="n"/>
      <c r="M70" s="161" t="n"/>
    </row>
    <row r="71">
      <c r="A71" s="427" t="n"/>
      <c r="B71" s="427" t="n"/>
      <c r="C71" s="301" t="inlineStr">
        <is>
          <t>12*19</t>
        </is>
      </c>
      <c r="D71" s="105" t="n">
        <v>38</v>
      </c>
      <c r="E71" s="301" t="n">
        <v>24</v>
      </c>
      <c r="F71" s="301">
        <f>165+110+24</f>
        <v/>
      </c>
      <c r="G71" s="301" t="n">
        <v>24</v>
      </c>
      <c r="H71" s="301">
        <f>F71-G71</f>
        <v/>
      </c>
      <c r="I71" s="161" t="n"/>
      <c r="J71" s="161" t="n"/>
      <c r="K71" s="161" t="n"/>
      <c r="L71" s="161" t="n"/>
      <c r="M71" s="161" t="n"/>
    </row>
    <row r="72">
      <c r="A72" s="427" t="n"/>
      <c r="B72" s="428" t="n"/>
      <c r="C72" s="301" t="inlineStr">
        <is>
          <t>17*27</t>
        </is>
      </c>
      <c r="D72" s="105" t="n">
        <v>47</v>
      </c>
      <c r="E72" s="301" t="n">
        <v>12</v>
      </c>
      <c r="F72" s="301" t="n">
        <v>24</v>
      </c>
      <c r="G72" s="301" t="n"/>
      <c r="H72" s="301">
        <f>F72-G72</f>
        <v/>
      </c>
      <c r="I72" s="161" t="n"/>
      <c r="J72" s="161" t="n"/>
      <c r="K72" s="161" t="n"/>
      <c r="L72" s="161" t="n"/>
      <c r="M72" s="161" t="n"/>
    </row>
    <row r="73">
      <c r="A73" s="427" t="n"/>
      <c r="B73" s="301" t="inlineStr">
        <is>
          <t xml:space="preserve">Rectangle </t>
        </is>
      </c>
      <c r="C73" s="301" t="inlineStr">
        <is>
          <t>8*10</t>
        </is>
      </c>
      <c r="D73" s="105" t="n">
        <v>12</v>
      </c>
      <c r="E73" s="301" t="n">
        <v>48</v>
      </c>
      <c r="F73" s="301">
        <f>95+768</f>
        <v/>
      </c>
      <c r="G73" s="301" t="n"/>
      <c r="H73" s="301">
        <f>F73-G73</f>
        <v/>
      </c>
      <c r="I73" s="161" t="n"/>
      <c r="J73" s="161" t="n"/>
      <c r="K73" s="161" t="n"/>
      <c r="L73" s="161" t="n"/>
      <c r="M73" s="161" t="n"/>
    </row>
    <row r="74">
      <c r="A74" s="427" t="n"/>
      <c r="B74" s="318" t="inlineStr">
        <is>
          <t>Cosmic Baguette</t>
        </is>
      </c>
      <c r="C74" s="301" t="inlineStr">
        <is>
          <t>4*8</t>
        </is>
      </c>
      <c r="D74" s="105" t="n">
        <v>9</v>
      </c>
      <c r="E74" s="301" t="n">
        <v>84</v>
      </c>
      <c r="F74" s="301" t="n">
        <v>587</v>
      </c>
      <c r="G74" s="301" t="n"/>
      <c r="H74" s="301">
        <f>F74-G74</f>
        <v/>
      </c>
      <c r="I74" s="161" t="n"/>
      <c r="J74" s="161" t="n"/>
      <c r="K74" s="161" t="n"/>
      <c r="L74" s="161" t="n"/>
      <c r="M74" s="161" t="n"/>
    </row>
    <row r="75">
      <c r="A75" s="427" t="n"/>
      <c r="B75" s="427" t="n"/>
      <c r="C75" s="301" t="inlineStr">
        <is>
          <t>5*10</t>
        </is>
      </c>
      <c r="D75" s="105" t="n">
        <v>12</v>
      </c>
      <c r="E75" s="301" t="n">
        <v>60</v>
      </c>
      <c r="F75" s="301">
        <f>420+122+117</f>
        <v/>
      </c>
      <c r="G75" s="301" t="n"/>
      <c r="H75" s="301">
        <f>F75-G75</f>
        <v/>
      </c>
      <c r="I75" s="161" t="n"/>
      <c r="J75" s="161" t="n"/>
      <c r="K75" s="161" t="n"/>
      <c r="L75" s="161" t="n"/>
      <c r="M75" s="161" t="n"/>
    </row>
    <row r="76">
      <c r="A76" s="427" t="n"/>
      <c r="B76" s="427" t="n"/>
      <c r="C76" s="301" t="inlineStr">
        <is>
          <t>5*15</t>
        </is>
      </c>
      <c r="D76" s="105" t="n">
        <v>14</v>
      </c>
      <c r="E76" s="301" t="n">
        <v>60</v>
      </c>
      <c r="F76" s="301">
        <f>120+600</f>
        <v/>
      </c>
      <c r="G76" s="301" t="n"/>
      <c r="H76" s="301">
        <f>F76-G76</f>
        <v/>
      </c>
      <c r="I76" s="161" t="n"/>
      <c r="J76" s="161" t="n"/>
      <c r="K76" s="161" t="n"/>
      <c r="L76" s="161" t="n"/>
      <c r="M76" s="161" t="n"/>
    </row>
    <row r="77">
      <c r="A77" s="427" t="n"/>
      <c r="B77" s="427" t="n"/>
      <c r="C77" s="301" t="inlineStr">
        <is>
          <t>6*18</t>
        </is>
      </c>
      <c r="D77" s="105" t="n">
        <v>25</v>
      </c>
      <c r="E77" s="301" t="n">
        <v>42</v>
      </c>
      <c r="F77" s="301">
        <f>630+2085+42</f>
        <v/>
      </c>
      <c r="G77" s="301" t="n"/>
      <c r="H77" s="301">
        <f>F77-G77</f>
        <v/>
      </c>
      <c r="I77" s="161" t="n"/>
      <c r="J77" s="161" t="n"/>
      <c r="K77" s="161" t="n"/>
      <c r="L77" s="161" t="n"/>
      <c r="M77" s="161" t="n"/>
    </row>
    <row r="78">
      <c r="A78" s="427" t="n"/>
      <c r="B78" s="427" t="n"/>
      <c r="C78" s="301" t="inlineStr">
        <is>
          <t>7*21</t>
        </is>
      </c>
      <c r="D78" s="105" t="n">
        <v>38</v>
      </c>
      <c r="E78" s="301" t="n">
        <v>24</v>
      </c>
      <c r="F78" s="301">
        <f>1344+144+144</f>
        <v/>
      </c>
      <c r="G78" s="301" t="n"/>
      <c r="H78" s="301">
        <f>F78-G78</f>
        <v/>
      </c>
      <c r="I78" s="161" t="n"/>
      <c r="J78" s="161" t="n"/>
      <c r="K78" s="161" t="n"/>
      <c r="L78" s="161" t="n"/>
      <c r="M78" s="161" t="n"/>
    </row>
    <row r="79">
      <c r="A79" s="427" t="n"/>
      <c r="B79" s="301" t="inlineStr">
        <is>
          <t>Emerald cut</t>
        </is>
      </c>
      <c r="C79" s="301" t="inlineStr">
        <is>
          <t>10*14</t>
        </is>
      </c>
      <c r="D79" s="105" t="n">
        <v>14</v>
      </c>
      <c r="E79" s="301" t="n">
        <v>36</v>
      </c>
      <c r="F79" s="301">
        <f>72+252</f>
        <v/>
      </c>
      <c r="G79" s="301" t="n"/>
      <c r="H79" s="301">
        <f>F79-G79</f>
        <v/>
      </c>
      <c r="I79" s="161" t="n"/>
      <c r="J79" s="161" t="n"/>
      <c r="K79" s="161" t="n"/>
      <c r="L79" s="161" t="n"/>
      <c r="M79" s="161" t="n"/>
    </row>
    <row r="80">
      <c r="A80" s="427" t="n"/>
      <c r="B80" s="428" t="n"/>
      <c r="C80" s="301" t="inlineStr">
        <is>
          <t>13*18</t>
        </is>
      </c>
      <c r="D80" s="105" t="n">
        <v>24</v>
      </c>
      <c r="E80" s="301" t="n">
        <v>24</v>
      </c>
      <c r="F80" s="301">
        <f>48+336</f>
        <v/>
      </c>
      <c r="G80" s="301" t="n"/>
      <c r="H80" s="301">
        <f>F80-G80</f>
        <v/>
      </c>
      <c r="I80" s="161" t="n"/>
      <c r="J80" s="161" t="n"/>
      <c r="K80" s="161" t="n"/>
      <c r="L80" s="161" t="n"/>
      <c r="M80" s="161" t="n"/>
    </row>
    <row r="81">
      <c r="A81" s="427" t="n"/>
      <c r="B81" s="301" t="inlineStr">
        <is>
          <t>Xirus</t>
        </is>
      </c>
      <c r="C81" s="301" t="inlineStr">
        <is>
          <t>6*6</t>
        </is>
      </c>
      <c r="D81" s="105" t="n">
        <v>9</v>
      </c>
      <c r="E81" s="301" t="n">
        <v>108</v>
      </c>
      <c r="F81" s="301">
        <f>215+756</f>
        <v/>
      </c>
      <c r="G81" s="301" t="n"/>
      <c r="H81" s="301">
        <f>F81-G81</f>
        <v/>
      </c>
      <c r="I81" s="161" t="n"/>
      <c r="J81" s="161" t="n"/>
      <c r="K81" s="161" t="n"/>
      <c r="L81" s="161" t="n"/>
      <c r="M81" s="161" t="n"/>
    </row>
    <row r="82">
      <c r="A82" s="427" t="n"/>
      <c r="B82" s="427" t="n"/>
      <c r="C82" s="301" t="inlineStr">
        <is>
          <t>8*8</t>
        </is>
      </c>
      <c r="D82" s="105" t="n">
        <v>14</v>
      </c>
      <c r="E82" s="301" t="n">
        <v>84</v>
      </c>
      <c r="F82" s="301">
        <f>5370+5379</f>
        <v/>
      </c>
      <c r="G82" s="301" t="n"/>
      <c r="H82" s="301">
        <f>F82-G82</f>
        <v/>
      </c>
      <c r="I82" s="161" t="n"/>
      <c r="J82" s="161" t="n"/>
      <c r="K82" s="161" t="n"/>
      <c r="L82" s="161" t="n"/>
      <c r="M82" s="161" t="n"/>
    </row>
    <row r="83">
      <c r="A83" s="427" t="n"/>
      <c r="B83" s="427" t="n"/>
      <c r="C83" s="301" t="inlineStr">
        <is>
          <t>10*10</t>
        </is>
      </c>
      <c r="D83" s="105" t="n">
        <v>18</v>
      </c>
      <c r="E83" s="301" t="n">
        <v>45</v>
      </c>
      <c r="F83" s="301">
        <f>2514+2745</f>
        <v/>
      </c>
      <c r="G83" s="301" t="n"/>
      <c r="H83" s="301">
        <f>F83-G83</f>
        <v/>
      </c>
      <c r="I83" s="161" t="n"/>
      <c r="J83" s="161" t="n"/>
      <c r="K83" s="161" t="n"/>
      <c r="L83" s="161" t="n"/>
      <c r="M83" s="161" t="n"/>
    </row>
    <row r="84">
      <c r="A84" s="427" t="n"/>
      <c r="B84" s="428" t="n"/>
      <c r="C84" s="301" t="inlineStr">
        <is>
          <t>12*12</t>
        </is>
      </c>
      <c r="D84" s="105" t="n">
        <v>23</v>
      </c>
      <c r="E84" s="301" t="n">
        <v>40</v>
      </c>
      <c r="F84" s="301">
        <f>800+2000+2160</f>
        <v/>
      </c>
      <c r="G84" s="301" t="n"/>
      <c r="H84" s="301">
        <f>F84-G84</f>
        <v/>
      </c>
      <c r="I84" s="161" t="n"/>
      <c r="J84" s="161" t="n"/>
      <c r="K84" s="161" t="n"/>
      <c r="L84" s="161" t="n"/>
      <c r="M84" s="161" t="n"/>
    </row>
    <row r="85">
      <c r="A85" s="427" t="n"/>
      <c r="B85" s="301" t="inlineStr">
        <is>
          <t>S</t>
        </is>
      </c>
      <c r="C85" s="301" t="inlineStr">
        <is>
          <t>6*12</t>
        </is>
      </c>
      <c r="D85" s="105" t="n">
        <v>12</v>
      </c>
      <c r="E85" s="301" t="n">
        <v>72</v>
      </c>
      <c r="F85" s="301">
        <f>144+1871</f>
        <v/>
      </c>
      <c r="G85" s="301" t="n"/>
      <c r="H85" s="301">
        <f>F85-G85</f>
        <v/>
      </c>
      <c r="I85" s="161" t="n"/>
      <c r="J85" s="161" t="n"/>
      <c r="K85" s="161" t="n"/>
      <c r="L85" s="161" t="n"/>
      <c r="M85" s="161" t="n"/>
    </row>
    <row r="86">
      <c r="A86" s="427" t="n"/>
      <c r="B86" s="428" t="n"/>
      <c r="C86" s="301" t="inlineStr">
        <is>
          <t>10*20</t>
        </is>
      </c>
      <c r="D86" s="105" t="n">
        <v>38</v>
      </c>
      <c r="E86" s="301" t="n">
        <v>24</v>
      </c>
      <c r="F86" s="301">
        <f>825+600+168</f>
        <v/>
      </c>
      <c r="G86" s="301" t="n"/>
      <c r="H86" s="301">
        <f>F86-G86</f>
        <v/>
      </c>
      <c r="I86" s="161" t="n"/>
      <c r="J86" s="161" t="n"/>
      <c r="K86" s="161" t="n"/>
      <c r="L86" s="161" t="n"/>
      <c r="M86" s="161" t="n"/>
    </row>
    <row r="87" ht="15.75" customHeight="1" thickBot="1">
      <c r="A87" s="427" t="n"/>
      <c r="B87" s="318" t="inlineStr">
        <is>
          <t>DIAMOND LEAF</t>
        </is>
      </c>
      <c r="C87" s="301" t="inlineStr">
        <is>
          <t>10*20</t>
        </is>
      </c>
      <c r="D87" s="105" t="n">
        <v>38</v>
      </c>
      <c r="E87" s="301" t="n">
        <v>24</v>
      </c>
      <c r="F87" s="301">
        <f>840+168+1488+168+24</f>
        <v/>
      </c>
      <c r="G87" s="301" t="n"/>
      <c r="H87" s="301">
        <f>F87-G87</f>
        <v/>
      </c>
      <c r="I87" s="161" t="n"/>
      <c r="J87" s="161" t="n"/>
      <c r="K87" s="161" t="n"/>
      <c r="L87" s="161" t="n"/>
      <c r="M87" s="161" t="n"/>
    </row>
    <row r="88" ht="15.75" customHeight="1" thickTop="1">
      <c r="A88" s="235" t="inlineStr">
        <is>
          <t>SHINE AB</t>
        </is>
      </c>
      <c r="B88" s="303" t="inlineStr">
        <is>
          <t>Drop</t>
        </is>
      </c>
      <c r="C88" s="303" t="inlineStr">
        <is>
          <t>7*12</t>
        </is>
      </c>
      <c r="D88" s="108" t="n">
        <v>20</v>
      </c>
      <c r="E88" s="303" t="n">
        <v>72</v>
      </c>
      <c r="F88" s="303">
        <f>4032+720</f>
        <v/>
      </c>
      <c r="G88" s="303" t="n"/>
      <c r="H88" s="303">
        <f>F88-G88</f>
        <v/>
      </c>
      <c r="I88" s="161" t="n"/>
      <c r="J88" s="161" t="n"/>
      <c r="K88" s="161" t="n"/>
      <c r="L88" s="161" t="n"/>
      <c r="M88" s="161" t="n"/>
    </row>
    <row r="89">
      <c r="A89" s="427" t="n"/>
      <c r="B89" s="427" t="n"/>
      <c r="C89" s="317" t="inlineStr">
        <is>
          <t>10*14</t>
        </is>
      </c>
      <c r="D89" s="109" t="n">
        <v>23</v>
      </c>
      <c r="E89" s="317" t="n">
        <v>36</v>
      </c>
      <c r="F89" s="317">
        <f>1152+792</f>
        <v/>
      </c>
      <c r="G89" s="317" t="n"/>
      <c r="H89" s="317">
        <f>F89-G89</f>
        <v/>
      </c>
      <c r="I89" s="161" t="n"/>
      <c r="J89" s="161" t="n"/>
      <c r="K89" s="161" t="n"/>
      <c r="L89" s="161" t="n"/>
      <c r="M89" s="161" t="n"/>
    </row>
    <row r="90">
      <c r="A90" s="427" t="n"/>
      <c r="B90" s="427" t="n"/>
      <c r="C90" s="301" t="inlineStr">
        <is>
          <t>11*18</t>
        </is>
      </c>
      <c r="D90" s="105" t="n">
        <v>17</v>
      </c>
      <c r="E90" s="301" t="n">
        <v>24</v>
      </c>
      <c r="F90" s="301">
        <f>408+43</f>
        <v/>
      </c>
      <c r="G90" s="301">
        <f>96+24</f>
        <v/>
      </c>
      <c r="H90" s="301">
        <f>F90-G90</f>
        <v/>
      </c>
      <c r="I90" s="161" t="n"/>
      <c r="J90" s="161" t="n"/>
      <c r="K90" s="161" t="n"/>
      <c r="L90" s="161" t="n"/>
      <c r="M90" s="161" t="n"/>
    </row>
    <row r="91">
      <c r="A91" s="427" t="n"/>
      <c r="B91" s="427" t="n"/>
      <c r="C91" s="301" t="inlineStr">
        <is>
          <t>13*22</t>
        </is>
      </c>
      <c r="D91" s="105" t="n">
        <v>25</v>
      </c>
      <c r="E91" s="301" t="n">
        <v>24</v>
      </c>
      <c r="F91" s="301" t="n">
        <v>48</v>
      </c>
      <c r="G91" s="301" t="n"/>
      <c r="H91" s="301">
        <f>F91-G91</f>
        <v/>
      </c>
      <c r="I91" s="161" t="n"/>
      <c r="J91" s="161" t="n"/>
      <c r="K91" s="161" t="n"/>
      <c r="L91" s="161" t="n"/>
      <c r="M91" s="161" t="n"/>
    </row>
    <row r="92">
      <c r="A92" s="427" t="n"/>
      <c r="B92" s="428" t="n"/>
      <c r="C92" s="301" t="inlineStr">
        <is>
          <t>17*28</t>
        </is>
      </c>
      <c r="D92" s="105" t="n">
        <v>53</v>
      </c>
      <c r="E92" s="301" t="n">
        <v>12</v>
      </c>
      <c r="F92" s="301" t="n">
        <v>24</v>
      </c>
      <c r="G92" s="301" t="n"/>
      <c r="H92" s="301">
        <f>F92-G92</f>
        <v/>
      </c>
      <c r="I92" s="161" t="n"/>
      <c r="J92" s="161" t="n"/>
      <c r="K92" s="161" t="n"/>
      <c r="L92" s="161" t="n"/>
      <c r="M92" s="161" t="n"/>
    </row>
    <row r="93">
      <c r="A93" s="427" t="n"/>
      <c r="B93" s="301" t="inlineStr">
        <is>
          <t>Navette</t>
        </is>
      </c>
      <c r="C93" s="301" t="inlineStr">
        <is>
          <t>7*15</t>
        </is>
      </c>
      <c r="D93" s="113" t="n">
        <v>23.46253</v>
      </c>
      <c r="E93" s="312" t="n">
        <v>63</v>
      </c>
      <c r="F93" s="312">
        <f>2520+756</f>
        <v/>
      </c>
      <c r="G93" s="301" t="n"/>
      <c r="H93" s="301">
        <f>F93-G93</f>
        <v/>
      </c>
      <c r="I93" s="161" t="n"/>
      <c r="J93" s="161" t="n"/>
      <c r="K93" s="161" t="n"/>
      <c r="L93" s="161" t="n"/>
      <c r="M93" s="161" t="n"/>
    </row>
    <row r="94">
      <c r="A94" s="427" t="n"/>
      <c r="B94" s="428" t="n"/>
      <c r="C94" s="301" t="inlineStr">
        <is>
          <t>9*18</t>
        </is>
      </c>
      <c r="D94" s="105" t="n">
        <v>27</v>
      </c>
      <c r="E94" s="301" t="n">
        <v>36</v>
      </c>
      <c r="F94" s="301" t="n">
        <v>252</v>
      </c>
      <c r="G94" s="301" t="n">
        <v>72</v>
      </c>
      <c r="H94" s="301">
        <f>F94-G94</f>
        <v/>
      </c>
      <c r="I94" s="161" t="n"/>
      <c r="J94" s="161" t="n"/>
      <c r="K94" s="161" t="n"/>
      <c r="L94" s="161" t="n"/>
      <c r="M94" s="161" t="n"/>
    </row>
    <row r="95">
      <c r="A95" s="427" t="n"/>
      <c r="B95" s="318" t="inlineStr">
        <is>
          <t>RIVOLI</t>
        </is>
      </c>
      <c r="C95" s="312" t="inlineStr">
        <is>
          <t>10*10</t>
        </is>
      </c>
      <c r="D95" s="113" t="n">
        <v>23.46253</v>
      </c>
      <c r="E95" s="312" t="n">
        <v>45</v>
      </c>
      <c r="F95" s="312">
        <f>1890+630+1575</f>
        <v/>
      </c>
      <c r="G95" s="301" t="n"/>
      <c r="H95" s="301">
        <f>F95-G95</f>
        <v/>
      </c>
      <c r="I95" s="161" t="n"/>
      <c r="J95" s="161" t="n"/>
      <c r="K95" s="161" t="n"/>
      <c r="L95" s="161" t="n"/>
      <c r="M95" s="161" t="n"/>
    </row>
    <row r="96">
      <c r="A96" s="427" t="n"/>
      <c r="B96" s="427" t="n"/>
      <c r="C96" s="312" t="inlineStr">
        <is>
          <t>12*12</t>
        </is>
      </c>
      <c r="D96" s="113" t="n">
        <v>26.549705</v>
      </c>
      <c r="E96" s="312" t="n">
        <v>40</v>
      </c>
      <c r="F96" s="312">
        <f>1400+480</f>
        <v/>
      </c>
      <c r="G96" s="301" t="n"/>
      <c r="H96" s="301">
        <f>F96-G96</f>
        <v/>
      </c>
      <c r="I96" s="161" t="n"/>
      <c r="J96" s="161" t="n"/>
      <c r="K96" s="161" t="n"/>
      <c r="L96" s="161" t="n"/>
      <c r="M96" s="161" t="n"/>
    </row>
    <row r="97">
      <c r="A97" s="427" t="n"/>
      <c r="B97" s="427" t="n"/>
      <c r="C97" s="312" t="inlineStr">
        <is>
          <t>14*14</t>
        </is>
      </c>
      <c r="D97" s="113" t="n">
        <v>26.549705</v>
      </c>
      <c r="E97" s="312" t="n">
        <v>28</v>
      </c>
      <c r="F97" s="312">
        <f>28+672+504</f>
        <v/>
      </c>
      <c r="G97" s="301" t="n">
        <v>56</v>
      </c>
      <c r="H97" s="301">
        <f>F97-G97</f>
        <v/>
      </c>
      <c r="I97" s="161" t="n"/>
      <c r="J97" s="161" t="n"/>
      <c r="K97" s="161" t="n"/>
      <c r="L97" s="161" t="n"/>
      <c r="M97" s="161" t="n"/>
    </row>
    <row r="98">
      <c r="A98" s="427" t="n"/>
      <c r="B98" s="301" t="inlineStr">
        <is>
          <t>Trilliant</t>
        </is>
      </c>
      <c r="C98" s="301" t="inlineStr">
        <is>
          <t>16*16</t>
        </is>
      </c>
      <c r="D98" s="105" t="n">
        <v>59</v>
      </c>
      <c r="E98" s="301" t="n">
        <v>18</v>
      </c>
      <c r="F98" s="301" t="n">
        <v>18</v>
      </c>
      <c r="G98" s="301" t="n"/>
      <c r="H98" s="301">
        <f>F98-G98</f>
        <v/>
      </c>
      <c r="I98" s="161" t="n"/>
      <c r="J98" s="161" t="n"/>
      <c r="K98" s="161" t="n"/>
      <c r="L98" s="161" t="n"/>
      <c r="M98" s="161" t="n"/>
    </row>
    <row r="99">
      <c r="A99" s="427" t="n"/>
      <c r="B99" s="318" t="inlineStr">
        <is>
          <t>Cosmic</t>
        </is>
      </c>
      <c r="C99" s="301" t="inlineStr">
        <is>
          <t>9*12</t>
        </is>
      </c>
      <c r="D99" s="105" t="n">
        <v>22</v>
      </c>
      <c r="E99" s="301" t="n">
        <v>48</v>
      </c>
      <c r="F99" s="301">
        <f>672+1344</f>
        <v/>
      </c>
      <c r="G99" s="301" t="n"/>
      <c r="H99" s="301">
        <f>F99-G99</f>
        <v/>
      </c>
      <c r="I99" s="161" t="n"/>
      <c r="J99" s="161" t="n"/>
      <c r="K99" s="161" t="n"/>
      <c r="L99" s="161" t="n"/>
      <c r="M99" s="161" t="n"/>
    </row>
    <row r="100">
      <c r="A100" s="427" t="n"/>
      <c r="B100" s="427" t="n"/>
      <c r="C100" s="301" t="inlineStr">
        <is>
          <t>10*14</t>
        </is>
      </c>
      <c r="D100" s="105" t="n">
        <v>17</v>
      </c>
      <c r="E100" s="301" t="n">
        <v>28</v>
      </c>
      <c r="F100" s="301" t="n">
        <v>56</v>
      </c>
      <c r="G100" s="301" t="n"/>
      <c r="H100" s="301">
        <f>F100-G100</f>
        <v/>
      </c>
      <c r="I100" s="161" t="n"/>
      <c r="J100" s="161" t="n"/>
      <c r="K100" s="161" t="n"/>
      <c r="L100" s="161" t="n"/>
      <c r="M100" s="161" t="n"/>
    </row>
    <row r="101">
      <c r="A101" s="427" t="n"/>
      <c r="B101" s="301" t="inlineStr">
        <is>
          <t>Galactic</t>
        </is>
      </c>
      <c r="C101" s="301" t="inlineStr">
        <is>
          <t>7*12</t>
        </is>
      </c>
      <c r="D101" s="105" t="n">
        <v>19</v>
      </c>
      <c r="E101" s="301" t="n">
        <v>72</v>
      </c>
      <c r="F101" s="301">
        <f>3240+1440</f>
        <v/>
      </c>
      <c r="G101" s="301" t="n"/>
      <c r="H101" s="301">
        <f>F101-G101</f>
        <v/>
      </c>
      <c r="I101" s="161" t="n"/>
      <c r="J101" s="161" t="n"/>
      <c r="K101" s="161" t="n"/>
      <c r="L101" s="161" t="n"/>
      <c r="M101" s="161" t="n"/>
    </row>
    <row r="102">
      <c r="A102" s="427" t="n"/>
      <c r="B102" s="427" t="n"/>
      <c r="C102" s="301" t="inlineStr">
        <is>
          <t>9*14</t>
        </is>
      </c>
      <c r="D102" s="105" t="n">
        <v>27</v>
      </c>
      <c r="E102" s="301" t="n">
        <v>48</v>
      </c>
      <c r="F102" s="301">
        <f>2016+672</f>
        <v/>
      </c>
      <c r="G102" s="301" t="n"/>
      <c r="H102" s="301">
        <f>F102-G102</f>
        <v/>
      </c>
      <c r="I102" s="161" t="n"/>
      <c r="J102" s="161" t="n"/>
      <c r="K102" s="161" t="n"/>
      <c r="L102" s="161" t="n"/>
      <c r="M102" s="161" t="n"/>
    </row>
    <row r="103">
      <c r="A103" s="427" t="n"/>
      <c r="B103" s="428" t="n"/>
      <c r="C103" s="301" t="inlineStr">
        <is>
          <t>12*19</t>
        </is>
      </c>
      <c r="D103" s="105" t="n">
        <v>35</v>
      </c>
      <c r="E103" s="301" t="n">
        <v>24</v>
      </c>
      <c r="F103" s="301">
        <f>144+20+24</f>
        <v/>
      </c>
      <c r="G103" s="301" t="n">
        <v>96</v>
      </c>
      <c r="H103" s="301">
        <f>F103-G103</f>
        <v/>
      </c>
      <c r="I103" s="161" t="n"/>
      <c r="J103" s="161" t="n"/>
      <c r="K103" s="161" t="n"/>
      <c r="L103" s="161" t="n"/>
      <c r="M103" s="161" t="n"/>
    </row>
    <row r="104" ht="30" customHeight="1">
      <c r="A104" s="427" t="n"/>
      <c r="B104" s="312" t="inlineStr">
        <is>
          <t>COSMIC BAGUETTE</t>
        </is>
      </c>
      <c r="C104" s="312" t="inlineStr">
        <is>
          <t>7*21</t>
        </is>
      </c>
      <c r="D104" s="113" t="n">
        <v>58.604</v>
      </c>
      <c r="E104" s="312" t="n">
        <v>24</v>
      </c>
      <c r="F104" s="312" t="n">
        <v>768</v>
      </c>
      <c r="G104" s="301" t="n"/>
      <c r="H104" s="301">
        <f>F104-G104</f>
        <v/>
      </c>
      <c r="I104" s="161" t="n"/>
      <c r="J104" s="161" t="n"/>
      <c r="K104" s="161" t="n"/>
      <c r="L104" s="161" t="n"/>
      <c r="M104" s="161" t="n"/>
    </row>
    <row r="105">
      <c r="A105" s="427" t="n"/>
      <c r="B105" s="301" t="inlineStr">
        <is>
          <t xml:space="preserve">Xirus </t>
        </is>
      </c>
      <c r="C105" s="312" t="inlineStr">
        <is>
          <t>8*8</t>
        </is>
      </c>
      <c r="D105" s="113" t="n">
        <v>20</v>
      </c>
      <c r="E105" s="312" t="n">
        <v>84</v>
      </c>
      <c r="F105" s="312">
        <f>4704+840</f>
        <v/>
      </c>
      <c r="G105" s="301" t="n"/>
      <c r="H105" s="301">
        <f>F105-G105</f>
        <v/>
      </c>
      <c r="I105" s="161" t="n"/>
      <c r="J105" s="161" t="n"/>
      <c r="K105" s="161" t="n"/>
      <c r="L105" s="161" t="n"/>
      <c r="M105" s="161" t="n"/>
    </row>
    <row r="106">
      <c r="A106" s="427" t="n"/>
      <c r="B106" s="427" t="n"/>
      <c r="C106" s="312" t="inlineStr">
        <is>
          <t>10*10</t>
        </is>
      </c>
      <c r="D106" s="113" t="n">
        <v>23</v>
      </c>
      <c r="E106" s="312" t="n">
        <v>45</v>
      </c>
      <c r="F106" s="312">
        <f>1575+810</f>
        <v/>
      </c>
      <c r="G106" s="301" t="n"/>
      <c r="H106" s="301">
        <f>F106-G106</f>
        <v/>
      </c>
      <c r="I106" s="161" t="n"/>
      <c r="J106" s="161" t="n"/>
      <c r="K106" s="161" t="n"/>
      <c r="L106" s="161" t="n"/>
      <c r="M106" s="161" t="n"/>
    </row>
    <row r="107">
      <c r="A107" s="427" t="n"/>
      <c r="B107" s="428" t="n"/>
      <c r="C107" s="301" t="inlineStr">
        <is>
          <t>12*12</t>
        </is>
      </c>
      <c r="D107" s="105" t="n">
        <v>17</v>
      </c>
      <c r="E107" s="301" t="n">
        <v>40</v>
      </c>
      <c r="F107" s="301">
        <f>1040+240+80</f>
        <v/>
      </c>
      <c r="G107" s="301" t="n"/>
      <c r="H107" s="301">
        <f>F107-G107</f>
        <v/>
      </c>
      <c r="I107" s="161" t="n"/>
      <c r="J107" s="161" t="n"/>
      <c r="K107" s="161" t="n"/>
      <c r="L107" s="161" t="n"/>
      <c r="M107" s="161" t="n"/>
    </row>
    <row r="108" ht="15.75" customHeight="1" thickBot="1">
      <c r="A108" s="429" t="n"/>
      <c r="B108" s="302" t="inlineStr">
        <is>
          <t>Diamond Leaf</t>
        </is>
      </c>
      <c r="C108" s="302" t="inlineStr">
        <is>
          <t>10*20</t>
        </is>
      </c>
      <c r="D108" s="107" t="n">
        <v>35</v>
      </c>
      <c r="E108" s="302" t="n">
        <v>24</v>
      </c>
      <c r="F108" s="302">
        <f>1080+48</f>
        <v/>
      </c>
      <c r="G108" s="302" t="n"/>
      <c r="H108" s="302">
        <f>F108-G108</f>
        <v/>
      </c>
      <c r="I108" s="161" t="n"/>
      <c r="J108" s="161" t="n"/>
      <c r="K108" s="161" t="n"/>
      <c r="L108" s="161" t="n"/>
      <c r="M108" s="161" t="n"/>
    </row>
    <row r="109" ht="16.5" customHeight="1" thickBot="1" thickTop="1">
      <c r="A109" s="387" t="inlineStr">
        <is>
          <t>MOONLIGHT</t>
        </is>
      </c>
      <c r="B109" s="305" t="inlineStr">
        <is>
          <t>RIVOLI</t>
        </is>
      </c>
      <c r="C109" s="305" t="inlineStr">
        <is>
          <t>12*12</t>
        </is>
      </c>
      <c r="D109" s="124" t="n">
        <v>27</v>
      </c>
      <c r="E109" s="305" t="n">
        <v>40</v>
      </c>
      <c r="F109" s="305" t="n">
        <v>112</v>
      </c>
      <c r="G109" s="305" t="n">
        <v>40</v>
      </c>
      <c r="H109" s="305">
        <f>F109-G109</f>
        <v/>
      </c>
      <c r="I109" s="161" t="n"/>
      <c r="J109" s="161" t="n"/>
      <c r="K109" s="161" t="n"/>
      <c r="L109" s="161" t="n"/>
      <c r="M109" s="161" t="n"/>
    </row>
    <row r="110" ht="16.5" customHeight="1" thickBot="1" thickTop="1">
      <c r="A110" s="235" t="inlineStr">
        <is>
          <t>CRYSTAL LILAC</t>
        </is>
      </c>
      <c r="B110" s="31" t="inlineStr">
        <is>
          <t>RIVOLI</t>
        </is>
      </c>
      <c r="C110" s="31" t="inlineStr">
        <is>
          <t>12*12</t>
        </is>
      </c>
      <c r="D110" s="110" t="n">
        <v>27</v>
      </c>
      <c r="E110" s="31" t="n">
        <v>40</v>
      </c>
      <c r="F110" s="31" t="n">
        <v>142</v>
      </c>
      <c r="G110" s="31" t="n"/>
      <c r="H110" s="31">
        <f>F110-G110</f>
        <v/>
      </c>
      <c r="I110" s="161" t="n"/>
      <c r="J110" s="161" t="n"/>
      <c r="K110" s="161" t="n"/>
      <c r="L110" s="161" t="n"/>
      <c r="M110" s="161" t="n"/>
    </row>
    <row r="111" ht="15.75" customHeight="1" thickTop="1">
      <c r="A111" s="237" t="inlineStr">
        <is>
          <t>JET BLACK</t>
        </is>
      </c>
      <c r="B111" s="311" t="inlineStr">
        <is>
          <t>DROP</t>
        </is>
      </c>
      <c r="C111" s="311" t="inlineStr">
        <is>
          <t>7*12</t>
        </is>
      </c>
      <c r="D111" s="111" t="n">
        <v>16.670745</v>
      </c>
      <c r="E111" s="311" t="n">
        <v>72</v>
      </c>
      <c r="F111" s="311">
        <f>2016+144</f>
        <v/>
      </c>
      <c r="G111" s="311" t="n">
        <v>10</v>
      </c>
      <c r="H111" s="311">
        <f>F111-G111</f>
        <v/>
      </c>
      <c r="I111" s="161" t="n"/>
      <c r="J111" s="161" t="n"/>
      <c r="K111" s="161" t="n"/>
      <c r="L111" s="161" t="n"/>
      <c r="M111" s="161" t="n"/>
    </row>
    <row r="112">
      <c r="A112" s="427" t="n"/>
      <c r="B112" s="427" t="n"/>
      <c r="C112" s="312" t="inlineStr">
        <is>
          <t>10*14</t>
        </is>
      </c>
      <c r="D112" s="113" t="n">
        <v>20.375355</v>
      </c>
      <c r="E112" s="312" t="n">
        <v>36</v>
      </c>
      <c r="F112" s="312" t="n">
        <v>1152</v>
      </c>
      <c r="G112" s="312" t="n">
        <v>10</v>
      </c>
      <c r="H112" s="312">
        <f>F112-G112</f>
        <v/>
      </c>
      <c r="I112" s="161" t="n"/>
      <c r="J112" s="161" t="n"/>
      <c r="K112" s="161" t="n"/>
      <c r="L112" s="161" t="n"/>
      <c r="M112" s="161" t="n"/>
    </row>
    <row r="113">
      <c r="A113" s="427" t="n"/>
      <c r="B113" s="427" t="n"/>
      <c r="C113" s="312" t="inlineStr">
        <is>
          <t>11*18</t>
        </is>
      </c>
      <c r="D113" s="113" t="n">
        <v>23.46253</v>
      </c>
      <c r="E113" s="312" t="n">
        <v>24</v>
      </c>
      <c r="F113" s="312">
        <f>720+432</f>
        <v/>
      </c>
      <c r="G113" s="312">
        <f>24+10+10</f>
        <v/>
      </c>
      <c r="H113" s="312">
        <f>F113-G113</f>
        <v/>
      </c>
      <c r="I113" s="161" t="n"/>
      <c r="J113" s="161" t="n"/>
      <c r="K113" s="161" t="n"/>
      <c r="L113" s="161" t="n"/>
      <c r="M113" s="161" t="n"/>
    </row>
    <row r="114">
      <c r="A114" s="427" t="n"/>
      <c r="B114" s="427" t="n"/>
      <c r="C114" s="312" t="inlineStr">
        <is>
          <t>13*22</t>
        </is>
      </c>
      <c r="D114" s="113" t="n">
        <v>46.92506</v>
      </c>
      <c r="E114" s="312" t="n">
        <v>24</v>
      </c>
      <c r="F114" s="312" t="n">
        <v>720</v>
      </c>
      <c r="G114" s="312">
        <f>8+24</f>
        <v/>
      </c>
      <c r="H114" s="312">
        <f>F114-G114</f>
        <v/>
      </c>
      <c r="I114" s="161" t="n"/>
      <c r="J114" s="161" t="n"/>
      <c r="K114" s="161" t="n"/>
      <c r="L114" s="161" t="n"/>
      <c r="M114" s="161" t="n"/>
    </row>
    <row r="115">
      <c r="A115" s="427" t="n"/>
      <c r="B115" s="428" t="n"/>
      <c r="C115" s="312" t="inlineStr">
        <is>
          <t>17*28</t>
        </is>
      </c>
      <c r="D115" s="113" t="n">
        <v>58.656325</v>
      </c>
      <c r="E115" s="312" t="n">
        <v>12</v>
      </c>
      <c r="F115" s="312" t="n">
        <v>180</v>
      </c>
      <c r="G115" s="312" t="n">
        <v>3</v>
      </c>
      <c r="H115" s="312">
        <f>F115-G115</f>
        <v/>
      </c>
      <c r="I115" s="161" t="n"/>
      <c r="J115" s="161" t="n"/>
      <c r="K115" s="161" t="n"/>
      <c r="L115" s="161" t="n"/>
      <c r="M115" s="161" t="n"/>
    </row>
    <row r="116">
      <c r="A116" s="427" t="n"/>
      <c r="B116" s="312" t="inlineStr">
        <is>
          <t>NAVETTE</t>
        </is>
      </c>
      <c r="C116" s="312" t="inlineStr">
        <is>
          <t>7*15</t>
        </is>
      </c>
      <c r="D116" s="113" t="n">
        <v>20.375355</v>
      </c>
      <c r="E116" s="312" t="n">
        <v>63</v>
      </c>
      <c r="F116" s="312">
        <f>1008+1764-504</f>
        <v/>
      </c>
      <c r="G116" s="312">
        <f>63+20+20+63+4+10</f>
        <v/>
      </c>
      <c r="H116" s="312">
        <f>F116-G116</f>
        <v/>
      </c>
      <c r="I116" s="161" t="n"/>
      <c r="J116" s="161" t="n"/>
      <c r="K116" s="161" t="n"/>
      <c r="L116" s="161" t="n"/>
      <c r="M116" s="161" t="n"/>
    </row>
    <row r="117">
      <c r="A117" s="427" t="n"/>
      <c r="B117" s="428" t="n"/>
      <c r="C117" s="312" t="inlineStr">
        <is>
          <t>9*18</t>
        </is>
      </c>
      <c r="D117" s="113" t="n">
        <v>23.46253</v>
      </c>
      <c r="E117" s="312" t="n">
        <v>36</v>
      </c>
      <c r="F117" s="312">
        <f>252+1008</f>
        <v/>
      </c>
      <c r="G117" s="312">
        <f>10+10</f>
        <v/>
      </c>
      <c r="H117" s="312">
        <f>F117-G117</f>
        <v/>
      </c>
      <c r="I117" s="161" t="n"/>
      <c r="J117" s="161" t="n"/>
      <c r="K117" s="161" t="n"/>
      <c r="L117" s="161" t="n"/>
      <c r="M117" s="161" t="n"/>
    </row>
    <row r="118">
      <c r="A118" s="427" t="n"/>
      <c r="B118" s="361" t="inlineStr">
        <is>
          <t>RIVOLI</t>
        </is>
      </c>
      <c r="C118" s="312" t="inlineStr">
        <is>
          <t>10*10</t>
        </is>
      </c>
      <c r="D118" s="113" t="n">
        <v>16.670745</v>
      </c>
      <c r="E118" s="312" t="n">
        <v>45</v>
      </c>
      <c r="F118" s="312">
        <f>1260+1395+90</f>
        <v/>
      </c>
      <c r="G118" s="312">
        <f>90+90+22+25+45+45+10+10+10+45</f>
        <v/>
      </c>
      <c r="H118" s="312">
        <f>F118-G118</f>
        <v/>
      </c>
      <c r="I118" s="161" t="n"/>
      <c r="J118" s="161" t="n"/>
      <c r="K118" s="161" t="n"/>
      <c r="L118" s="161" t="n"/>
      <c r="M118" s="161" t="n"/>
    </row>
    <row r="119">
      <c r="A119" s="427" t="n"/>
      <c r="B119" s="427" t="n"/>
      <c r="C119" s="312" t="inlineStr">
        <is>
          <t>12*12</t>
        </is>
      </c>
      <c r="D119" s="113" t="n">
        <v>20.375355</v>
      </c>
      <c r="E119" s="312" t="n">
        <v>40</v>
      </c>
      <c r="F119" s="312">
        <f>1200+800+79+136</f>
        <v/>
      </c>
      <c r="G119" s="312">
        <f>80+80+10+40+40+10+10+40+10</f>
        <v/>
      </c>
      <c r="H119" s="312">
        <f>F119-G119</f>
        <v/>
      </c>
      <c r="I119" s="161" t="n"/>
      <c r="J119" s="161" t="n"/>
      <c r="K119" s="161" t="n"/>
      <c r="L119" s="161" t="n"/>
      <c r="M119" s="161" t="n"/>
    </row>
    <row r="120">
      <c r="A120" s="427" t="n"/>
      <c r="B120" s="427" t="n"/>
      <c r="C120" s="312" t="inlineStr">
        <is>
          <t>14*14</t>
        </is>
      </c>
      <c r="D120" s="113" t="n">
        <v>23.46253</v>
      </c>
      <c r="E120" s="312" t="n">
        <v>28</v>
      </c>
      <c r="F120" s="312">
        <f>672+336</f>
        <v/>
      </c>
      <c r="G120" s="312">
        <f>10+28+28+10+15+28+10</f>
        <v/>
      </c>
      <c r="H120" s="312">
        <f>F120-G120</f>
        <v/>
      </c>
      <c r="I120" s="161" t="n"/>
      <c r="J120" s="161" t="n"/>
      <c r="K120" s="161" t="n"/>
      <c r="L120" s="161" t="n"/>
      <c r="M120" s="161" t="n"/>
    </row>
    <row r="121">
      <c r="A121" s="427" t="n"/>
      <c r="B121" s="428" t="n"/>
      <c r="C121" s="312" t="inlineStr">
        <is>
          <t>16*16</t>
        </is>
      </c>
      <c r="D121" s="113" t="n">
        <v>25</v>
      </c>
      <c r="E121" s="312" t="n">
        <v>28</v>
      </c>
      <c r="F121" s="312" t="n">
        <v>360</v>
      </c>
      <c r="G121" s="312">
        <f>28+10+10</f>
        <v/>
      </c>
      <c r="H121" s="312">
        <f>F121-G121</f>
        <v/>
      </c>
      <c r="I121" s="161" t="n"/>
      <c r="J121" s="161" t="n"/>
      <c r="K121" s="161" t="n"/>
      <c r="L121" s="161" t="n"/>
      <c r="M121" s="161" t="n"/>
    </row>
    <row r="122">
      <c r="A122" s="427" t="n"/>
      <c r="B122" s="312" t="inlineStr">
        <is>
          <t>Trilliant</t>
        </is>
      </c>
      <c r="C122" s="312" t="inlineStr">
        <is>
          <t>12*12</t>
        </is>
      </c>
      <c r="D122" s="113" t="n">
        <v>23.46253</v>
      </c>
      <c r="E122" s="312" t="n">
        <v>28</v>
      </c>
      <c r="F122" s="312">
        <f>728+56</f>
        <v/>
      </c>
      <c r="G122" s="312">
        <f>20+56+20+56+28+10+15</f>
        <v/>
      </c>
      <c r="H122" s="312">
        <f>F122-G122</f>
        <v/>
      </c>
      <c r="I122" s="161" t="n"/>
      <c r="J122" s="161" t="n"/>
      <c r="K122" s="161" t="n"/>
      <c r="L122" s="161" t="n"/>
      <c r="M122" s="161" t="n"/>
    </row>
    <row r="123">
      <c r="A123" s="427" t="n"/>
      <c r="B123" s="428" t="n"/>
      <c r="C123" s="312" t="inlineStr">
        <is>
          <t>16*16</t>
        </is>
      </c>
      <c r="D123" s="113" t="n">
        <v>46.92506</v>
      </c>
      <c r="E123" s="312" t="n">
        <v>18</v>
      </c>
      <c r="F123" s="312">
        <f>396+36</f>
        <v/>
      </c>
      <c r="G123" s="312">
        <f>10+10+15</f>
        <v/>
      </c>
      <c r="H123" s="312">
        <f>F123-G123</f>
        <v/>
      </c>
      <c r="I123" s="161" t="n"/>
      <c r="J123" s="161" t="n"/>
      <c r="K123" s="161" t="n"/>
      <c r="L123" s="161" t="n"/>
      <c r="M123" s="161" t="n"/>
    </row>
    <row r="124">
      <c r="A124" s="427" t="n"/>
      <c r="B124" s="312" t="inlineStr">
        <is>
          <t>COSMIC</t>
        </is>
      </c>
      <c r="C124" s="312" t="inlineStr">
        <is>
          <t>9*12</t>
        </is>
      </c>
      <c r="D124" s="113" t="n">
        <v>18.52305</v>
      </c>
      <c r="E124" s="312" t="n">
        <v>48</v>
      </c>
      <c r="F124" s="312" t="n">
        <v>1344</v>
      </c>
      <c r="G124" s="312">
        <f>25+25+24+48+48+10+48</f>
        <v/>
      </c>
      <c r="H124" s="312">
        <f>F124-G124</f>
        <v/>
      </c>
      <c r="I124" s="161" t="n"/>
      <c r="J124" s="161" t="n"/>
      <c r="K124" s="161" t="n"/>
      <c r="L124" s="161" t="n"/>
      <c r="M124" s="161" t="n"/>
    </row>
    <row r="125">
      <c r="A125" s="427" t="n"/>
      <c r="B125" s="427" t="n"/>
      <c r="C125" s="312" t="inlineStr">
        <is>
          <t>10*14</t>
        </is>
      </c>
      <c r="D125" s="113" t="n">
        <v>23.46253</v>
      </c>
      <c r="E125" s="312" t="n">
        <v>28</v>
      </c>
      <c r="F125" s="312">
        <f>392+588+144+26+588+392</f>
        <v/>
      </c>
      <c r="G125" s="312">
        <f>45+56+45+56+14+28+10+28+28</f>
        <v/>
      </c>
      <c r="H125" s="312">
        <f>F125-G125</f>
        <v/>
      </c>
      <c r="I125" s="161" t="n"/>
      <c r="J125" s="161" t="n"/>
      <c r="K125" s="161" t="n"/>
      <c r="L125" s="161" t="n"/>
      <c r="M125" s="161" t="n"/>
    </row>
    <row r="126">
      <c r="A126" s="427" t="n"/>
      <c r="B126" s="427" t="n"/>
      <c r="C126" s="312" t="inlineStr">
        <is>
          <t>13*17</t>
        </is>
      </c>
      <c r="D126" s="113" t="n">
        <v>46.92506</v>
      </c>
      <c r="E126" s="312" t="n">
        <v>24</v>
      </c>
      <c r="F126" s="312">
        <f>576+480+48+43+144+144</f>
        <v/>
      </c>
      <c r="G126" s="312">
        <f>15+15+10+24+10+24+15+24+24+10</f>
        <v/>
      </c>
      <c r="H126" s="312">
        <f>F126-G126</f>
        <v/>
      </c>
      <c r="I126" s="161" t="n"/>
      <c r="J126" s="161" t="n"/>
      <c r="K126" s="161" t="n"/>
      <c r="L126" s="161" t="n"/>
      <c r="M126" s="161" t="n"/>
    </row>
    <row r="127">
      <c r="A127" s="427" t="n"/>
      <c r="B127" s="428" t="n"/>
      <c r="C127" s="312" t="inlineStr">
        <is>
          <t>17*21</t>
        </is>
      </c>
      <c r="D127" s="113" t="n">
        <v>53</v>
      </c>
      <c r="E127" s="312" t="n">
        <v>15</v>
      </c>
      <c r="F127" s="312" t="n">
        <v>225</v>
      </c>
      <c r="G127" s="312" t="n">
        <v>15</v>
      </c>
      <c r="H127" s="312">
        <f>F127-G127</f>
        <v/>
      </c>
      <c r="I127" s="161" t="n"/>
      <c r="J127" s="161" t="n"/>
      <c r="K127" s="161" t="n"/>
      <c r="L127" s="161" t="n"/>
      <c r="M127" s="161" t="n"/>
    </row>
    <row r="128">
      <c r="A128" s="427" t="n"/>
      <c r="B128" s="312" t="inlineStr">
        <is>
          <t>GALACTIC</t>
        </is>
      </c>
      <c r="C128" s="312" t="inlineStr">
        <is>
          <t>7*12</t>
        </is>
      </c>
      <c r="D128" s="113" t="n">
        <v>15</v>
      </c>
      <c r="E128" s="312" t="n">
        <v>72</v>
      </c>
      <c r="F128" s="312" t="n">
        <v>5832</v>
      </c>
      <c r="G128" s="312">
        <f>36+72</f>
        <v/>
      </c>
      <c r="H128" s="312">
        <f>F128-G128</f>
        <v/>
      </c>
      <c r="I128" s="161" t="n"/>
      <c r="J128" s="161" t="n"/>
      <c r="K128" s="161" t="n"/>
      <c r="L128" s="161" t="n"/>
      <c r="M128" s="161" t="n"/>
    </row>
    <row r="129">
      <c r="A129" s="427" t="n"/>
      <c r="B129" s="427" t="n"/>
      <c r="C129" s="312" t="inlineStr">
        <is>
          <t>9*14</t>
        </is>
      </c>
      <c r="D129" s="113" t="n">
        <v>20.375355</v>
      </c>
      <c r="E129" s="312" t="n">
        <v>48</v>
      </c>
      <c r="F129" s="312">
        <f>1008+96+1536</f>
        <v/>
      </c>
      <c r="G129" s="312">
        <f>336+36+96+36+96+24+48+10+15+48</f>
        <v/>
      </c>
      <c r="H129" s="312">
        <f>F129-G129</f>
        <v/>
      </c>
      <c r="I129" s="161" t="n"/>
      <c r="J129" s="161" t="n"/>
      <c r="K129" s="161" t="n"/>
      <c r="L129" s="161" t="n"/>
      <c r="M129" s="161" t="n"/>
    </row>
    <row r="130">
      <c r="A130" s="427" t="n"/>
      <c r="B130" s="427" t="n"/>
      <c r="C130" s="312" t="inlineStr">
        <is>
          <t>12*19</t>
        </is>
      </c>
      <c r="D130" s="113" t="n">
        <v>46.92506</v>
      </c>
      <c r="E130" s="312" t="n">
        <v>24</v>
      </c>
      <c r="F130" s="312">
        <f>672+624+48</f>
        <v/>
      </c>
      <c r="G130" s="312">
        <f>10+168+24+10+15+24+10</f>
        <v/>
      </c>
      <c r="H130" s="312">
        <f>F130-G130</f>
        <v/>
      </c>
      <c r="I130" s="161" t="n"/>
      <c r="J130" s="161" t="n"/>
      <c r="K130" s="161" t="n"/>
      <c r="L130" s="161" t="n"/>
      <c r="M130" s="161" t="n"/>
    </row>
    <row r="131">
      <c r="A131" s="427" t="n"/>
      <c r="B131" s="428" t="n"/>
      <c r="C131" s="312" t="inlineStr">
        <is>
          <t>17*27</t>
        </is>
      </c>
      <c r="D131" s="113" t="n">
        <v>50</v>
      </c>
      <c r="E131" s="312" t="n">
        <v>12</v>
      </c>
      <c r="F131" s="312">
        <f>144+360</f>
        <v/>
      </c>
      <c r="G131" s="312" t="n">
        <v>12</v>
      </c>
      <c r="H131" s="312">
        <f>F131-G131</f>
        <v/>
      </c>
      <c r="I131" s="161" t="n"/>
      <c r="J131" s="161" t="n"/>
      <c r="K131" s="161" t="n"/>
      <c r="L131" s="161" t="n"/>
      <c r="M131" s="161" t="n"/>
    </row>
    <row r="132">
      <c r="A132" s="427" t="n"/>
      <c r="B132" s="312" t="inlineStr">
        <is>
          <t>COSMIC BAGUETTE</t>
        </is>
      </c>
      <c r="C132" s="312" t="inlineStr">
        <is>
          <t>6*18</t>
        </is>
      </c>
      <c r="D132" s="113" t="n">
        <v>26.68575</v>
      </c>
      <c r="E132" s="312" t="n">
        <v>42</v>
      </c>
      <c r="F132" s="312" t="n">
        <v>1008</v>
      </c>
      <c r="G132" s="312">
        <f>20+42+4+70+15</f>
        <v/>
      </c>
      <c r="H132" s="312">
        <f>F132-G132</f>
        <v/>
      </c>
      <c r="I132" s="161" t="n"/>
      <c r="J132" s="161" t="n"/>
      <c r="K132" s="161" t="n"/>
      <c r="L132" s="161" t="n"/>
      <c r="M132" s="161" t="n"/>
    </row>
    <row r="133">
      <c r="A133" s="427" t="n"/>
      <c r="B133" s="428" t="n"/>
      <c r="C133" s="312" t="inlineStr">
        <is>
          <t>7*21</t>
        </is>
      </c>
      <c r="D133" s="113" t="n">
        <v>30</v>
      </c>
      <c r="E133" s="312" t="n">
        <v>24</v>
      </c>
      <c r="F133" s="312">
        <f>1920-1536+192</f>
        <v/>
      </c>
      <c r="G133" s="312">
        <f>70+24</f>
        <v/>
      </c>
      <c r="H133" s="312">
        <f>F133-G133</f>
        <v/>
      </c>
      <c r="I133" s="161" t="n"/>
      <c r="J133" s="161" t="n"/>
      <c r="K133" s="161" t="n"/>
      <c r="L133" s="161" t="n"/>
      <c r="M133" s="161" t="n"/>
    </row>
    <row r="134">
      <c r="A134" s="427" t="n"/>
      <c r="B134" s="312" t="inlineStr">
        <is>
          <t>XIRIUS</t>
        </is>
      </c>
      <c r="C134" s="312" t="inlineStr">
        <is>
          <t>8*8</t>
        </is>
      </c>
      <c r="D134" s="113" t="n">
        <v>16.670745</v>
      </c>
      <c r="E134" s="312" t="n">
        <v>84</v>
      </c>
      <c r="F134" s="312">
        <f>2016+1344</f>
        <v/>
      </c>
      <c r="G134" s="312">
        <f>20+20+84+4+30</f>
        <v/>
      </c>
      <c r="H134" s="312">
        <f>F134-G134</f>
        <v/>
      </c>
      <c r="I134" s="161" t="n"/>
      <c r="J134" s="161" t="n"/>
      <c r="K134" s="161" t="n"/>
      <c r="L134" s="161" t="n"/>
      <c r="M134" s="161" t="n"/>
    </row>
    <row r="135">
      <c r="A135" s="427" t="n"/>
      <c r="B135" s="427" t="n"/>
      <c r="C135" s="312" t="inlineStr">
        <is>
          <t>10*10</t>
        </is>
      </c>
      <c r="D135" s="113" t="n">
        <v>20.375355</v>
      </c>
      <c r="E135" s="312" t="n">
        <v>45</v>
      </c>
      <c r="F135" s="312" t="n">
        <v>810</v>
      </c>
      <c r="G135" s="312">
        <f>20+20+2</f>
        <v/>
      </c>
      <c r="H135" s="312">
        <f>F135-G135</f>
        <v/>
      </c>
      <c r="I135" s="161" t="n"/>
      <c r="J135" s="161" t="n"/>
      <c r="K135" s="161" t="n"/>
      <c r="L135" s="161" t="n"/>
      <c r="M135" s="161" t="n"/>
    </row>
    <row r="136">
      <c r="A136" s="427" t="n"/>
      <c r="B136" s="428" t="n"/>
      <c r="C136" s="360" t="inlineStr">
        <is>
          <t>12*12</t>
        </is>
      </c>
      <c r="D136" s="117" t="n">
        <v>23.46253</v>
      </c>
      <c r="E136" s="360" t="n">
        <v>40</v>
      </c>
      <c r="F136" s="360" t="n">
        <v>1200</v>
      </c>
      <c r="G136" s="360" t="n"/>
      <c r="H136" s="360">
        <f>F136-G136</f>
        <v/>
      </c>
      <c r="I136" s="161" t="n"/>
      <c r="J136" s="161" t="n"/>
      <c r="K136" s="161" t="n"/>
      <c r="L136" s="161" t="n"/>
      <c r="M136" s="161" t="n"/>
    </row>
    <row r="137" ht="15.75" customHeight="1" thickBot="1">
      <c r="A137" s="429" t="n"/>
      <c r="B137" s="302" t="inlineStr">
        <is>
          <t>S</t>
        </is>
      </c>
      <c r="C137" s="302" t="inlineStr">
        <is>
          <t>10*20</t>
        </is>
      </c>
      <c r="D137" s="107" t="n">
        <v>30</v>
      </c>
      <c r="E137" s="302" t="n">
        <v>24</v>
      </c>
      <c r="F137" s="302" t="n">
        <v>840</v>
      </c>
      <c r="G137" s="313" t="n"/>
      <c r="H137" s="313">
        <f>F137-G137</f>
        <v/>
      </c>
      <c r="I137" s="161" t="n"/>
      <c r="J137" s="161" t="n"/>
      <c r="K137" s="161" t="n"/>
      <c r="L137" s="161" t="n"/>
      <c r="M137" s="161" t="n"/>
    </row>
    <row r="138" ht="12.75" customHeight="1" thickTop="1">
      <c r="A138" s="357" t="inlineStr">
        <is>
          <t>Black Diamond</t>
        </is>
      </c>
      <c r="B138" s="303" t="inlineStr">
        <is>
          <t>Drop</t>
        </is>
      </c>
      <c r="C138" s="303" t="inlineStr">
        <is>
          <t>10*14</t>
        </is>
      </c>
      <c r="D138" s="108" t="n">
        <v>20</v>
      </c>
      <c r="E138" s="303" t="n">
        <v>36</v>
      </c>
      <c r="F138" s="303">
        <f>864</f>
        <v/>
      </c>
      <c r="G138" s="311" t="n"/>
      <c r="H138" s="311">
        <f>F138-G138</f>
        <v/>
      </c>
      <c r="I138" s="161" t="n"/>
      <c r="J138" s="161" t="n"/>
      <c r="K138" s="161" t="n"/>
      <c r="L138" s="161" t="n"/>
      <c r="M138" s="161" t="n"/>
    </row>
    <row r="139" ht="15" customHeight="1">
      <c r="A139" s="427" t="n"/>
      <c r="B139" s="428" t="n"/>
      <c r="C139" s="301" t="inlineStr">
        <is>
          <t>11*18</t>
        </is>
      </c>
      <c r="D139" s="105" t="n">
        <v>23</v>
      </c>
      <c r="E139" s="301" t="n">
        <v>24</v>
      </c>
      <c r="F139" s="301" t="n">
        <v>336</v>
      </c>
      <c r="G139" s="312" t="n"/>
      <c r="H139" s="312">
        <f>F139-G139</f>
        <v/>
      </c>
      <c r="I139" s="161" t="n"/>
      <c r="J139" s="161" t="n"/>
      <c r="K139" s="161" t="n"/>
      <c r="L139" s="161" t="n"/>
      <c r="M139" s="161" t="n"/>
    </row>
    <row r="140">
      <c r="A140" s="427" t="n"/>
      <c r="B140" s="301" t="inlineStr">
        <is>
          <t>Rivoli</t>
        </is>
      </c>
      <c r="C140" s="301" t="inlineStr">
        <is>
          <t>10*10</t>
        </is>
      </c>
      <c r="D140" s="105" t="n">
        <v>17</v>
      </c>
      <c r="E140" s="301" t="n">
        <v>45</v>
      </c>
      <c r="F140" s="301">
        <f>540+90</f>
        <v/>
      </c>
      <c r="G140" s="312" t="n"/>
      <c r="H140" s="312">
        <f>F140-G140</f>
        <v/>
      </c>
      <c r="I140" s="161" t="n"/>
      <c r="J140" s="161" t="n"/>
      <c r="K140" s="161" t="n"/>
      <c r="L140" s="161" t="n"/>
      <c r="M140" s="161" t="n"/>
    </row>
    <row r="141">
      <c r="A141" s="427" t="n"/>
      <c r="B141" s="428" t="n"/>
      <c r="C141" s="301" t="inlineStr">
        <is>
          <t>12*12</t>
        </is>
      </c>
      <c r="D141" s="105" t="n">
        <v>27</v>
      </c>
      <c r="E141" s="301" t="n">
        <v>40</v>
      </c>
      <c r="F141" s="301">
        <f>145+240</f>
        <v/>
      </c>
      <c r="G141" s="312" t="n"/>
      <c r="H141" s="312">
        <f>F141-G141</f>
        <v/>
      </c>
      <c r="I141" s="161" t="n"/>
      <c r="J141" s="161" t="n"/>
      <c r="K141" s="161" t="n"/>
      <c r="L141" s="161" t="n"/>
      <c r="M141" s="161" t="n"/>
    </row>
    <row r="142">
      <c r="A142" s="427" t="n"/>
      <c r="B142" s="301" t="inlineStr">
        <is>
          <t>COSMIC</t>
        </is>
      </c>
      <c r="C142" s="301" t="inlineStr">
        <is>
          <t>10*14</t>
        </is>
      </c>
      <c r="D142" s="105" t="n">
        <v>23</v>
      </c>
      <c r="E142" s="301" t="n">
        <v>28</v>
      </c>
      <c r="F142" s="301" t="n">
        <v>356</v>
      </c>
      <c r="G142" s="312" t="n"/>
      <c r="H142" s="312">
        <f>F142-G142</f>
        <v/>
      </c>
      <c r="I142" s="161" t="n"/>
      <c r="J142" s="161" t="n"/>
      <c r="K142" s="161" t="n"/>
      <c r="L142" s="161" t="n"/>
      <c r="M142" s="161" t="n"/>
    </row>
    <row r="143">
      <c r="A143" s="427" t="n"/>
      <c r="B143" s="428" t="n"/>
      <c r="C143" s="301" t="inlineStr">
        <is>
          <t>13*17</t>
        </is>
      </c>
      <c r="D143" s="105" t="n">
        <v>47</v>
      </c>
      <c r="E143" s="301" t="n">
        <v>24</v>
      </c>
      <c r="F143" s="301">
        <f>250+24</f>
        <v/>
      </c>
      <c r="G143" s="312" t="n"/>
      <c r="H143" s="312">
        <f>F143-G143</f>
        <v/>
      </c>
      <c r="I143" s="161" t="n"/>
      <c r="J143" s="161" t="n"/>
      <c r="K143" s="161" t="n"/>
      <c r="L143" s="161" t="n"/>
      <c r="M143" s="161" t="n"/>
    </row>
    <row r="144">
      <c r="A144" s="427" t="n"/>
      <c r="B144" s="302" t="inlineStr">
        <is>
          <t>Galactic</t>
        </is>
      </c>
      <c r="C144" s="301" t="inlineStr">
        <is>
          <t>9*14</t>
        </is>
      </c>
      <c r="D144" s="105" t="n">
        <v>20</v>
      </c>
      <c r="E144" s="301" t="n">
        <v>48</v>
      </c>
      <c r="F144" s="301" t="n">
        <v>1308</v>
      </c>
      <c r="G144" s="312" t="n"/>
      <c r="H144" s="312">
        <f>F144-G144</f>
        <v/>
      </c>
      <c r="I144" s="161" t="n"/>
      <c r="J144" s="161" t="n"/>
      <c r="K144" s="161" t="n"/>
      <c r="L144" s="161" t="n"/>
      <c r="M144" s="161" t="n"/>
    </row>
    <row r="145" ht="15.75" customHeight="1" thickBot="1">
      <c r="A145" s="427" t="n"/>
      <c r="B145" s="429" t="n"/>
      <c r="C145" s="302" t="inlineStr">
        <is>
          <t>12*19</t>
        </is>
      </c>
      <c r="D145" s="107" t="n">
        <v>47</v>
      </c>
      <c r="E145" s="302" t="n">
        <v>24</v>
      </c>
      <c r="F145" s="302">
        <f>638+24</f>
        <v/>
      </c>
      <c r="G145" s="313" t="n"/>
      <c r="H145" s="313">
        <f>F145-G145</f>
        <v/>
      </c>
      <c r="I145" s="161" t="n"/>
      <c r="J145" s="161" t="n"/>
      <c r="K145" s="161" t="n"/>
      <c r="L145" s="161" t="n"/>
      <c r="M145" s="161" t="n"/>
    </row>
    <row r="146" ht="15.75" customHeight="1" thickTop="1">
      <c r="A146" s="338" t="inlineStr">
        <is>
          <t>HEMATITE</t>
        </is>
      </c>
      <c r="B146" s="303" t="inlineStr">
        <is>
          <t>Drop</t>
        </is>
      </c>
      <c r="C146" s="303" t="inlineStr">
        <is>
          <t>7*12</t>
        </is>
      </c>
      <c r="D146" s="108" t="n">
        <v>17</v>
      </c>
      <c r="E146" s="303" t="n">
        <v>72</v>
      </c>
      <c r="F146" s="317" t="n">
        <v>555</v>
      </c>
      <c r="G146" s="303" t="n"/>
      <c r="H146" s="311">
        <f>F146-G146</f>
        <v/>
      </c>
      <c r="I146" s="161" t="n"/>
      <c r="J146" s="161" t="n"/>
      <c r="K146" s="161" t="n"/>
      <c r="L146" s="161" t="n"/>
      <c r="M146" s="161" t="n"/>
    </row>
    <row r="147">
      <c r="A147" s="427" t="n"/>
      <c r="B147" s="427" t="n"/>
      <c r="C147" s="301" t="inlineStr">
        <is>
          <t>10*14</t>
        </is>
      </c>
      <c r="D147" s="105" t="n">
        <v>20</v>
      </c>
      <c r="E147" s="301" t="n">
        <v>36</v>
      </c>
      <c r="F147" s="301" t="n">
        <v>571</v>
      </c>
      <c r="G147" s="301" t="n"/>
      <c r="H147" s="312">
        <f>F147-G147</f>
        <v/>
      </c>
      <c r="I147" s="161" t="n"/>
      <c r="J147" s="161" t="n"/>
      <c r="K147" s="161" t="n"/>
      <c r="L147" s="161" t="n"/>
      <c r="M147" s="161" t="n"/>
    </row>
    <row r="148">
      <c r="A148" s="427" t="n"/>
      <c r="B148" s="427" t="n"/>
      <c r="C148" s="301" t="inlineStr">
        <is>
          <t>11*18</t>
        </is>
      </c>
      <c r="D148" s="105" t="n">
        <v>23</v>
      </c>
      <c r="E148" s="301" t="n">
        <v>24</v>
      </c>
      <c r="F148" s="301" t="n">
        <v>931</v>
      </c>
      <c r="G148" s="301" t="n">
        <v>10</v>
      </c>
      <c r="H148" s="312">
        <f>F148-G148</f>
        <v/>
      </c>
      <c r="I148" s="161" t="n"/>
      <c r="J148" s="161" t="n"/>
      <c r="K148" s="161" t="n"/>
      <c r="L148" s="161" t="n"/>
      <c r="M148" s="161" t="n"/>
    </row>
    <row r="149">
      <c r="A149" s="427" t="n"/>
      <c r="B149" s="428" t="n"/>
      <c r="C149" s="301" t="inlineStr">
        <is>
          <t>13*22</t>
        </is>
      </c>
      <c r="D149" s="105" t="n">
        <v>47</v>
      </c>
      <c r="E149" s="301" t="n">
        <v>24</v>
      </c>
      <c r="F149" s="301" t="n">
        <v>456</v>
      </c>
      <c r="G149" s="301" t="n">
        <v>5</v>
      </c>
      <c r="H149" s="312">
        <f>F149-G149</f>
        <v/>
      </c>
      <c r="I149" s="161" t="n"/>
      <c r="J149" s="161" t="n"/>
      <c r="K149" s="161" t="n"/>
      <c r="L149" s="161" t="n"/>
      <c r="M149" s="161" t="n"/>
    </row>
    <row r="150">
      <c r="A150" s="427" t="n"/>
      <c r="B150" s="301" t="inlineStr">
        <is>
          <t>Rivoli</t>
        </is>
      </c>
      <c r="C150" s="301" t="inlineStr">
        <is>
          <t>12*12</t>
        </is>
      </c>
      <c r="D150" s="105" t="n">
        <v>20</v>
      </c>
      <c r="E150" s="301" t="n">
        <v>40</v>
      </c>
      <c r="F150" s="301" t="n">
        <v>154</v>
      </c>
      <c r="G150" s="301" t="n">
        <v>10</v>
      </c>
      <c r="H150" s="312">
        <f>F150-G150</f>
        <v/>
      </c>
      <c r="I150" s="161" t="n"/>
      <c r="J150" s="161" t="n"/>
      <c r="K150" s="161" t="n"/>
      <c r="L150" s="161" t="n"/>
      <c r="M150" s="161" t="n"/>
    </row>
    <row r="151">
      <c r="A151" s="427" t="n"/>
      <c r="B151" s="428" t="n"/>
      <c r="C151" s="301" t="inlineStr">
        <is>
          <t>14*14</t>
        </is>
      </c>
      <c r="D151" s="105" t="n">
        <v>23</v>
      </c>
      <c r="E151" s="301" t="n">
        <v>28</v>
      </c>
      <c r="F151" s="301" t="n">
        <v>303</v>
      </c>
      <c r="G151" s="301" t="n"/>
      <c r="H151" s="312">
        <f>F151-G151</f>
        <v/>
      </c>
      <c r="I151" s="161" t="n"/>
      <c r="J151" s="161" t="n"/>
      <c r="K151" s="161" t="n"/>
      <c r="L151" s="161" t="n"/>
      <c r="M151" s="161" t="n"/>
    </row>
    <row r="152">
      <c r="A152" s="427" t="n"/>
      <c r="B152" s="301" t="inlineStr">
        <is>
          <t>Square</t>
        </is>
      </c>
      <c r="C152" s="301" t="inlineStr">
        <is>
          <t>14*14</t>
        </is>
      </c>
      <c r="D152" s="105" t="n">
        <v>23</v>
      </c>
      <c r="E152" s="301" t="n">
        <v>28</v>
      </c>
      <c r="F152" s="301" t="n">
        <v>336</v>
      </c>
      <c r="G152" s="301" t="n"/>
      <c r="H152" s="312">
        <f>F152-G152</f>
        <v/>
      </c>
      <c r="I152" s="161" t="n"/>
      <c r="J152" s="161" t="n"/>
      <c r="K152" s="161" t="n"/>
      <c r="L152" s="161" t="n"/>
      <c r="M152" s="161" t="n"/>
    </row>
    <row r="153">
      <c r="A153" s="427" t="n"/>
      <c r="B153" s="301" t="inlineStr">
        <is>
          <t>Trilliant</t>
        </is>
      </c>
      <c r="C153" s="301" t="inlineStr">
        <is>
          <t>16*16</t>
        </is>
      </c>
      <c r="D153" s="105" t="n">
        <v>47</v>
      </c>
      <c r="E153" s="301" t="n">
        <v>18</v>
      </c>
      <c r="F153" s="301" t="n">
        <v>18</v>
      </c>
      <c r="G153" s="301" t="n"/>
      <c r="H153" s="312">
        <f>F153-G153</f>
        <v/>
      </c>
      <c r="I153" s="161" t="n"/>
      <c r="J153" s="161" t="n"/>
      <c r="K153" s="161" t="n"/>
      <c r="L153" s="161" t="n"/>
      <c r="M153" s="161" t="n"/>
    </row>
    <row r="154">
      <c r="A154" s="427" t="n"/>
      <c r="B154" s="301" t="inlineStr">
        <is>
          <t>Galactic</t>
        </is>
      </c>
      <c r="C154" s="47" t="inlineStr">
        <is>
          <t>12*19</t>
        </is>
      </c>
      <c r="D154" s="105" t="n">
        <v>47</v>
      </c>
      <c r="E154" s="301" t="n">
        <v>24</v>
      </c>
      <c r="F154" s="301" t="n">
        <v>35</v>
      </c>
      <c r="G154" s="301" t="n"/>
      <c r="H154" s="312">
        <f>F154-G154</f>
        <v/>
      </c>
      <c r="I154" s="161" t="n"/>
      <c r="J154" s="161" t="n"/>
      <c r="K154" s="161" t="n"/>
      <c r="L154" s="161" t="n"/>
      <c r="M154" s="161" t="n"/>
    </row>
    <row r="155">
      <c r="A155" s="427" t="n"/>
      <c r="B155" s="428" t="n"/>
      <c r="C155" s="47" t="inlineStr">
        <is>
          <t>17*27</t>
        </is>
      </c>
      <c r="D155" s="105" t="n">
        <v>50</v>
      </c>
      <c r="E155" s="301" t="n">
        <v>12</v>
      </c>
      <c r="F155" s="301" t="n">
        <v>32</v>
      </c>
      <c r="G155" s="301" t="n"/>
      <c r="H155" s="312">
        <f>F155-G155</f>
        <v/>
      </c>
      <c r="I155" s="161" t="n"/>
      <c r="J155" s="161" t="n"/>
      <c r="K155" s="161" t="n"/>
      <c r="L155" s="161" t="n"/>
      <c r="M155" s="161" t="n"/>
    </row>
    <row r="156">
      <c r="A156" s="427" t="n"/>
      <c r="B156" s="301" t="inlineStr">
        <is>
          <t>Diamond Leaf</t>
        </is>
      </c>
      <c r="C156" s="301" t="inlineStr">
        <is>
          <t>10*20</t>
        </is>
      </c>
      <c r="D156" s="105" t="n">
        <v>30</v>
      </c>
      <c r="E156" s="301" t="n">
        <v>24</v>
      </c>
      <c r="F156" s="301" t="n">
        <v>352</v>
      </c>
      <c r="G156" s="301" t="n"/>
      <c r="H156" s="312">
        <f>F156-G156</f>
        <v/>
      </c>
      <c r="I156" s="161" t="n"/>
      <c r="J156" s="161" t="n"/>
      <c r="K156" s="161" t="n"/>
      <c r="L156" s="161" t="n"/>
      <c r="M156" s="161" t="n"/>
    </row>
    <row r="157" ht="15.75" customHeight="1" thickBot="1">
      <c r="A157" s="428" t="n"/>
      <c r="B157" s="428" t="n"/>
      <c r="C157" s="302" t="inlineStr">
        <is>
          <t>15*30</t>
        </is>
      </c>
      <c r="D157" s="107" t="n">
        <v>35</v>
      </c>
      <c r="E157" s="302" t="n">
        <v>12</v>
      </c>
      <c r="F157" s="318" t="n">
        <v>48</v>
      </c>
      <c r="G157" s="302" t="n"/>
      <c r="H157" s="313">
        <f>F157-G157</f>
        <v/>
      </c>
      <c r="I157" s="161" t="n"/>
      <c r="J157" s="161" t="n"/>
      <c r="K157" s="161" t="n"/>
      <c r="L157" s="161" t="n"/>
      <c r="M157" s="161" t="n"/>
    </row>
    <row r="158" ht="15.75" customHeight="1" thickTop="1">
      <c r="A158" s="383" t="inlineStr">
        <is>
          <t>AURUM</t>
        </is>
      </c>
      <c r="B158" s="303" t="inlineStr">
        <is>
          <t>Drop</t>
        </is>
      </c>
      <c r="C158" s="303" t="inlineStr">
        <is>
          <t>7*12</t>
        </is>
      </c>
      <c r="D158" s="108" t="n">
        <v>11</v>
      </c>
      <c r="E158" s="303" t="n">
        <v>72</v>
      </c>
      <c r="F158" s="303" t="n">
        <v>1728</v>
      </c>
      <c r="G158" s="303" t="n"/>
      <c r="H158" s="303">
        <f>F158-G158</f>
        <v/>
      </c>
      <c r="I158" s="161" t="n"/>
      <c r="J158" s="161" t="n"/>
      <c r="K158" s="161" t="n"/>
      <c r="L158" s="161" t="n"/>
      <c r="M158" s="161" t="n"/>
    </row>
    <row r="159">
      <c r="A159" s="427" t="n"/>
      <c r="B159" s="427" t="n"/>
      <c r="C159" s="317" t="inlineStr">
        <is>
          <t>10*14</t>
        </is>
      </c>
      <c r="D159" s="109" t="n">
        <v>13</v>
      </c>
      <c r="E159" s="317" t="n">
        <v>36</v>
      </c>
      <c r="F159" s="317" t="n">
        <v>1290</v>
      </c>
      <c r="G159" s="317" t="n">
        <v>20</v>
      </c>
      <c r="H159" s="317">
        <f>F159-G159</f>
        <v/>
      </c>
      <c r="I159" s="161" t="n"/>
      <c r="J159" s="161" t="n"/>
      <c r="K159" s="161" t="n"/>
      <c r="L159" s="161" t="n"/>
      <c r="M159" s="161" t="n"/>
    </row>
    <row r="160">
      <c r="A160" s="427" t="n"/>
      <c r="B160" s="427" t="n"/>
      <c r="C160" s="317" t="inlineStr">
        <is>
          <t>11*18</t>
        </is>
      </c>
      <c r="D160" s="109" t="n">
        <v>20</v>
      </c>
      <c r="E160" s="317" t="n">
        <v>24</v>
      </c>
      <c r="F160" s="317" t="n">
        <v>672</v>
      </c>
      <c r="G160" s="317" t="n">
        <v>20</v>
      </c>
      <c r="H160" s="317">
        <f>F160-G160</f>
        <v/>
      </c>
      <c r="I160" s="161" t="n"/>
      <c r="J160" s="161" t="n"/>
      <c r="K160" s="161" t="n"/>
      <c r="L160" s="161" t="n"/>
      <c r="M160" s="161" t="n"/>
    </row>
    <row r="161">
      <c r="A161" s="427" t="n"/>
      <c r="B161" s="428" t="n"/>
      <c r="C161" s="301" t="inlineStr">
        <is>
          <t>17*28</t>
        </is>
      </c>
      <c r="D161" s="105" t="n">
        <v>59</v>
      </c>
      <c r="E161" s="301" t="n">
        <v>12</v>
      </c>
      <c r="F161" s="301" t="n">
        <v>24</v>
      </c>
      <c r="G161" s="301" t="n"/>
      <c r="H161" s="301">
        <f>F161-G161</f>
        <v/>
      </c>
      <c r="I161" s="161" t="n"/>
      <c r="J161" s="161" t="n"/>
      <c r="K161" s="161" t="n"/>
      <c r="L161" s="161" t="n"/>
      <c r="M161" s="161" t="n"/>
    </row>
    <row r="162">
      <c r="A162" s="427" t="n"/>
      <c r="B162" s="301" t="inlineStr">
        <is>
          <t>Navette</t>
        </is>
      </c>
      <c r="C162" s="301" t="inlineStr">
        <is>
          <t>7*15</t>
        </is>
      </c>
      <c r="D162" s="105" t="n">
        <v>13</v>
      </c>
      <c r="E162" s="301" t="n">
        <v>48</v>
      </c>
      <c r="F162" s="301" t="n">
        <v>1764</v>
      </c>
      <c r="G162" s="301" t="n"/>
      <c r="H162" s="301">
        <f>F162-G162</f>
        <v/>
      </c>
      <c r="I162" s="161" t="n"/>
      <c r="J162" s="161" t="n"/>
      <c r="K162" s="161" t="n"/>
      <c r="L162" s="161" t="n"/>
      <c r="M162" s="161" t="n"/>
    </row>
    <row r="163">
      <c r="A163" s="427" t="n"/>
      <c r="B163" s="427" t="n"/>
      <c r="C163" s="301" t="inlineStr">
        <is>
          <t>9*18</t>
        </is>
      </c>
      <c r="D163" s="105" t="n">
        <v>23</v>
      </c>
      <c r="E163" s="301" t="n">
        <v>36</v>
      </c>
      <c r="F163" s="301" t="n">
        <v>1008</v>
      </c>
      <c r="G163" s="301" t="n">
        <v>20</v>
      </c>
      <c r="H163" s="301">
        <f>F163-G163</f>
        <v/>
      </c>
      <c r="I163" s="161" t="n"/>
      <c r="J163" s="161" t="n"/>
      <c r="K163" s="161" t="n"/>
      <c r="L163" s="161" t="n"/>
      <c r="M163" s="161" t="n"/>
    </row>
    <row r="164">
      <c r="A164" s="427" t="n"/>
      <c r="B164" s="428" t="n"/>
      <c r="C164" s="301" t="inlineStr">
        <is>
          <t>13*22</t>
        </is>
      </c>
      <c r="D164" s="105" t="n">
        <v>47</v>
      </c>
      <c r="E164" s="301" t="n">
        <v>24</v>
      </c>
      <c r="F164" s="301" t="n">
        <v>432</v>
      </c>
      <c r="G164" s="301" t="n">
        <v>10</v>
      </c>
      <c r="H164" s="301">
        <f>F164-G164</f>
        <v/>
      </c>
      <c r="I164" s="161" t="n"/>
      <c r="J164" s="161" t="n"/>
      <c r="K164" s="161" t="n"/>
      <c r="L164" s="161" t="n"/>
      <c r="M164" s="161" t="n"/>
    </row>
    <row r="165">
      <c r="A165" s="427" t="n"/>
      <c r="B165" s="301" t="inlineStr">
        <is>
          <t>Rivoli</t>
        </is>
      </c>
      <c r="C165" s="301" t="inlineStr">
        <is>
          <t>10*10</t>
        </is>
      </c>
      <c r="D165" s="105" t="n">
        <v>11</v>
      </c>
      <c r="E165" s="301" t="n">
        <v>45</v>
      </c>
      <c r="F165" s="301">
        <f>269+1664</f>
        <v/>
      </c>
      <c r="G165" s="301" t="n">
        <v>20</v>
      </c>
      <c r="H165" s="301">
        <f>F165-G165</f>
        <v/>
      </c>
      <c r="I165" s="161" t="n"/>
      <c r="J165" s="161" t="n"/>
      <c r="K165" s="161" t="n"/>
      <c r="L165" s="161" t="n"/>
      <c r="M165" s="161" t="n"/>
    </row>
    <row r="166">
      <c r="A166" s="427" t="n"/>
      <c r="B166" s="427" t="n"/>
      <c r="C166" s="301" t="inlineStr">
        <is>
          <t>12*12</t>
        </is>
      </c>
      <c r="D166" s="105" t="n">
        <v>13</v>
      </c>
      <c r="E166" s="301" t="n">
        <v>40</v>
      </c>
      <c r="F166" s="301" t="n">
        <v>1509</v>
      </c>
      <c r="G166" s="301" t="n">
        <v>20</v>
      </c>
      <c r="H166" s="301">
        <f>F166-G166</f>
        <v/>
      </c>
      <c r="I166" s="161" t="n"/>
      <c r="J166" s="161" t="n"/>
      <c r="K166" s="161" t="n"/>
      <c r="L166" s="161" t="n"/>
      <c r="M166" s="161" t="n"/>
    </row>
    <row r="167">
      <c r="A167" s="427" t="n"/>
      <c r="B167" s="428" t="n"/>
      <c r="C167" s="301" t="inlineStr">
        <is>
          <t>14*14</t>
        </is>
      </c>
      <c r="D167" s="105" t="n">
        <v>15</v>
      </c>
      <c r="E167" s="301" t="n">
        <v>28</v>
      </c>
      <c r="F167" s="301" t="n">
        <v>532</v>
      </c>
      <c r="G167" s="301" t="n">
        <v>20</v>
      </c>
      <c r="H167" s="301">
        <f>F167-G167</f>
        <v/>
      </c>
      <c r="I167" s="161" t="n"/>
      <c r="J167" s="161" t="n"/>
      <c r="K167" s="161" t="n"/>
      <c r="L167" s="161" t="n"/>
      <c r="M167" s="161" t="n"/>
    </row>
    <row r="168">
      <c r="A168" s="427" t="n"/>
      <c r="B168" s="301" t="inlineStr">
        <is>
          <t>Trilliant</t>
        </is>
      </c>
      <c r="C168" s="301" t="inlineStr">
        <is>
          <t>12*12</t>
        </is>
      </c>
      <c r="D168" s="105" t="n">
        <v>15</v>
      </c>
      <c r="E168" s="301" t="n">
        <v>28</v>
      </c>
      <c r="F168" s="301" t="n">
        <v>392</v>
      </c>
      <c r="G168" s="301" t="n"/>
      <c r="H168" s="301">
        <f>F168-G168</f>
        <v/>
      </c>
      <c r="I168" s="161" t="n"/>
      <c r="J168" s="161" t="n"/>
      <c r="K168" s="161" t="n"/>
      <c r="L168" s="161" t="n"/>
      <c r="M168" s="161" t="n"/>
    </row>
    <row r="169">
      <c r="A169" s="427" t="n"/>
      <c r="B169" s="301" t="inlineStr">
        <is>
          <t>Cosmic</t>
        </is>
      </c>
      <c r="C169" s="301" t="inlineStr">
        <is>
          <t>9*12</t>
        </is>
      </c>
      <c r="D169" s="105" t="n">
        <v>12</v>
      </c>
      <c r="E169" s="301" t="n">
        <v>48</v>
      </c>
      <c r="F169" s="301" t="n">
        <v>1343</v>
      </c>
      <c r="G169" s="301" t="n"/>
      <c r="H169" s="301">
        <f>F169-G169</f>
        <v/>
      </c>
      <c r="I169" s="161" t="n"/>
      <c r="J169" s="161" t="n"/>
      <c r="K169" s="161" t="n"/>
      <c r="L169" s="161" t="n"/>
      <c r="M169" s="161" t="n"/>
    </row>
    <row r="170">
      <c r="A170" s="427" t="n"/>
      <c r="B170" s="428" t="n"/>
      <c r="C170" s="301" t="inlineStr">
        <is>
          <t>13*17</t>
        </is>
      </c>
      <c r="D170" s="105" t="n">
        <v>47</v>
      </c>
      <c r="E170" s="301" t="n">
        <v>24</v>
      </c>
      <c r="F170" s="301" t="n">
        <v>48</v>
      </c>
      <c r="G170" s="301" t="n"/>
      <c r="H170" s="301">
        <f>F170-G170</f>
        <v/>
      </c>
      <c r="I170" s="161" t="n"/>
      <c r="J170" s="161" t="n"/>
      <c r="K170" s="161" t="n"/>
      <c r="L170" s="161" t="n"/>
      <c r="M170" s="161" t="n"/>
    </row>
    <row r="171">
      <c r="A171" s="427" t="n"/>
      <c r="B171" s="301" t="inlineStr">
        <is>
          <t>Galactic</t>
        </is>
      </c>
      <c r="C171" s="301" t="inlineStr">
        <is>
          <t>9*14</t>
        </is>
      </c>
      <c r="D171" s="105" t="n">
        <v>13</v>
      </c>
      <c r="E171" s="301" t="n">
        <v>48</v>
      </c>
      <c r="F171" s="301" t="n">
        <v>1248</v>
      </c>
      <c r="G171" s="301" t="n">
        <v>20</v>
      </c>
      <c r="H171" s="301">
        <f>F171-G171</f>
        <v/>
      </c>
      <c r="I171" s="161" t="n"/>
      <c r="J171" s="161" t="n"/>
      <c r="K171" s="161" t="n"/>
      <c r="L171" s="161" t="n"/>
      <c r="M171" s="161" t="n"/>
    </row>
    <row r="172">
      <c r="A172" s="427" t="n"/>
      <c r="B172" s="428" t="n"/>
      <c r="C172" s="301" t="inlineStr">
        <is>
          <t>12*19</t>
        </is>
      </c>
      <c r="D172" s="105" t="n">
        <v>47</v>
      </c>
      <c r="E172" s="301" t="n">
        <v>24</v>
      </c>
      <c r="F172" s="301" t="n">
        <v>144</v>
      </c>
      <c r="G172" s="301" t="n"/>
      <c r="H172" s="301">
        <f>F172-G172</f>
        <v/>
      </c>
      <c r="I172" s="161" t="n"/>
      <c r="J172" s="161" t="n"/>
      <c r="K172" s="161" t="n"/>
      <c r="L172" s="161" t="n"/>
      <c r="M172" s="161" t="n"/>
    </row>
    <row r="173">
      <c r="A173" s="427" t="n"/>
      <c r="B173" s="301" t="inlineStr">
        <is>
          <t>Cosmic Baguette</t>
        </is>
      </c>
      <c r="C173" s="301" t="inlineStr">
        <is>
          <t>6*18</t>
        </is>
      </c>
      <c r="D173" s="105" t="n">
        <v>17</v>
      </c>
      <c r="E173" s="301" t="n">
        <v>42</v>
      </c>
      <c r="F173" s="301" t="n">
        <v>588</v>
      </c>
      <c r="G173" s="301" t="n"/>
      <c r="H173" s="301">
        <f>F173-G173</f>
        <v/>
      </c>
      <c r="I173" s="161" t="n"/>
      <c r="J173" s="161" t="n"/>
      <c r="K173" s="161" t="n"/>
      <c r="L173" s="161" t="n"/>
      <c r="M173" s="161" t="n"/>
    </row>
    <row r="174">
      <c r="A174" s="427" t="n"/>
      <c r="B174" s="428" t="n"/>
      <c r="C174" s="301" t="inlineStr">
        <is>
          <t>7*21</t>
        </is>
      </c>
      <c r="D174" s="105" t="n">
        <v>29</v>
      </c>
      <c r="E174" s="301" t="n">
        <v>24</v>
      </c>
      <c r="F174" s="301" t="n">
        <v>336</v>
      </c>
      <c r="G174" s="301" t="n"/>
      <c r="H174" s="301">
        <f>F174-G174</f>
        <v/>
      </c>
      <c r="I174" s="161" t="n"/>
      <c r="J174" s="161" t="n"/>
      <c r="K174" s="161" t="n"/>
      <c r="L174" s="161" t="n"/>
      <c r="M174" s="161" t="n"/>
    </row>
    <row r="175">
      <c r="A175" s="427" t="n"/>
      <c r="B175" s="301" t="inlineStr">
        <is>
          <t xml:space="preserve">Xirus </t>
        </is>
      </c>
      <c r="C175" s="301" t="inlineStr">
        <is>
          <t>8*8</t>
        </is>
      </c>
      <c r="D175" s="105" t="n">
        <v>11</v>
      </c>
      <c r="E175" s="301" t="n">
        <v>84</v>
      </c>
      <c r="F175" s="301" t="n">
        <v>2352</v>
      </c>
      <c r="G175" s="301" t="n"/>
      <c r="H175" s="301">
        <f>F175-G175</f>
        <v/>
      </c>
      <c r="I175" s="161" t="n"/>
      <c r="J175" s="161" t="n"/>
      <c r="K175" s="161" t="n"/>
      <c r="L175" s="161" t="n"/>
      <c r="M175" s="161" t="n"/>
    </row>
    <row r="176">
      <c r="A176" s="427" t="n"/>
      <c r="B176" s="427" t="n"/>
      <c r="C176" s="301" t="inlineStr">
        <is>
          <t>10*10</t>
        </is>
      </c>
      <c r="D176" s="105" t="n">
        <v>13</v>
      </c>
      <c r="E176" s="301" t="n">
        <v>45</v>
      </c>
      <c r="F176" s="301" t="n">
        <v>1260</v>
      </c>
      <c r="G176" s="301" t="n"/>
      <c r="H176" s="301">
        <f>F176-G176</f>
        <v/>
      </c>
      <c r="I176" s="161" t="n"/>
      <c r="J176" s="161" t="n"/>
      <c r="K176" s="161" t="n"/>
      <c r="L176" s="161" t="n"/>
      <c r="M176" s="161" t="n"/>
    </row>
    <row r="177">
      <c r="A177" s="427" t="n"/>
      <c r="B177" s="428" t="n"/>
      <c r="C177" s="318" t="inlineStr">
        <is>
          <t>12*12</t>
        </is>
      </c>
      <c r="D177" s="106" t="n">
        <v>15</v>
      </c>
      <c r="E177" s="318" t="n">
        <v>40</v>
      </c>
      <c r="F177" s="318" t="n">
        <v>800</v>
      </c>
      <c r="G177" s="318" t="n"/>
      <c r="H177" s="301">
        <f>F177-G177</f>
        <v/>
      </c>
      <c r="I177" s="161" t="n"/>
      <c r="J177" s="161" t="n"/>
      <c r="K177" s="161" t="n"/>
      <c r="L177" s="161" t="n"/>
      <c r="M177" s="161" t="n"/>
    </row>
    <row r="178">
      <c r="A178" s="427" t="n"/>
      <c r="B178" s="318" t="inlineStr">
        <is>
          <t>S</t>
        </is>
      </c>
      <c r="C178" s="318" t="inlineStr">
        <is>
          <t>10*20</t>
        </is>
      </c>
      <c r="D178" s="106" t="n">
        <v>33</v>
      </c>
      <c r="E178" s="318" t="n">
        <v>24</v>
      </c>
      <c r="F178" s="318" t="n">
        <v>192</v>
      </c>
      <c r="G178" s="318" t="n"/>
      <c r="H178" s="301">
        <f>F178-G178</f>
        <v/>
      </c>
      <c r="I178" s="161" t="n"/>
      <c r="J178" s="161" t="n"/>
      <c r="K178" s="161" t="n"/>
      <c r="L178" s="161" t="n"/>
      <c r="M178" s="161" t="n"/>
    </row>
    <row r="179" ht="15.75" customHeight="1" thickBot="1">
      <c r="A179" s="427" t="n"/>
      <c r="B179" s="318" t="inlineStr">
        <is>
          <t>Diamond Leaf</t>
        </is>
      </c>
      <c r="C179" s="301" t="inlineStr">
        <is>
          <t>10*20</t>
        </is>
      </c>
      <c r="D179" s="105" t="n">
        <v>33</v>
      </c>
      <c r="E179" s="301" t="n">
        <v>24</v>
      </c>
      <c r="F179" s="301" t="n">
        <v>960</v>
      </c>
      <c r="G179" s="301" t="n">
        <v>10</v>
      </c>
      <c r="H179" s="301">
        <f>F179-G179</f>
        <v/>
      </c>
      <c r="I179" s="161" t="n"/>
      <c r="J179" s="161" t="n"/>
      <c r="K179" s="161" t="n"/>
      <c r="L179" s="161" t="n"/>
      <c r="M179" s="161" t="n"/>
    </row>
    <row r="180" ht="15.75" customHeight="1" thickTop="1">
      <c r="A180" s="383" t="inlineStr">
        <is>
          <t>LABRADOR</t>
        </is>
      </c>
      <c r="B180" s="303" t="inlineStr">
        <is>
          <t>Drop</t>
        </is>
      </c>
      <c r="C180" s="303" t="inlineStr">
        <is>
          <t>7*12</t>
        </is>
      </c>
      <c r="D180" s="108" t="n">
        <v>10.5</v>
      </c>
      <c r="E180" s="303" t="n">
        <v>72</v>
      </c>
      <c r="F180" s="303">
        <f>288+72+72</f>
        <v/>
      </c>
      <c r="G180" s="303" t="n"/>
      <c r="H180" s="303">
        <f>F180-G180</f>
        <v/>
      </c>
      <c r="I180" s="161" t="n"/>
      <c r="J180" s="161" t="n"/>
      <c r="K180" s="161" t="n"/>
      <c r="L180" s="161" t="n"/>
      <c r="M180" s="161" t="n"/>
    </row>
    <row r="181">
      <c r="A181" s="427" t="n"/>
      <c r="B181" s="427" t="n"/>
      <c r="C181" s="301" t="inlineStr">
        <is>
          <t>10*14</t>
        </is>
      </c>
      <c r="D181" s="105" t="n">
        <v>12.6</v>
      </c>
      <c r="E181" s="301" t="n">
        <v>36</v>
      </c>
      <c r="F181" s="301">
        <f>648+36+36+36</f>
        <v/>
      </c>
      <c r="G181" s="301" t="n"/>
      <c r="H181" s="301">
        <f>F181-G181</f>
        <v/>
      </c>
      <c r="I181" s="161" t="n"/>
      <c r="J181" s="161" t="n"/>
      <c r="K181" s="161" t="n"/>
      <c r="L181" s="161" t="n"/>
      <c r="M181" s="161" t="n"/>
    </row>
    <row r="182">
      <c r="A182" s="427" t="n"/>
      <c r="B182" s="428" t="n"/>
      <c r="C182" s="301" t="inlineStr">
        <is>
          <t>11*18</t>
        </is>
      </c>
      <c r="D182" s="105" t="n">
        <v>14.7</v>
      </c>
      <c r="E182" s="301" t="n">
        <v>24</v>
      </c>
      <c r="F182" s="301" t="n">
        <v>192</v>
      </c>
      <c r="G182" s="301" t="n"/>
      <c r="H182" s="301">
        <f>F182-G182</f>
        <v/>
      </c>
      <c r="I182" s="161" t="n"/>
      <c r="J182" s="161" t="n"/>
      <c r="K182" s="161" t="n"/>
      <c r="L182" s="161" t="n"/>
      <c r="M182" s="161" t="n"/>
    </row>
    <row r="183">
      <c r="A183" s="427" t="n"/>
      <c r="B183" s="301" t="inlineStr">
        <is>
          <t>Navette</t>
        </is>
      </c>
      <c r="C183" s="301" t="inlineStr">
        <is>
          <t>7*15</t>
        </is>
      </c>
      <c r="D183" s="105" t="n">
        <v>12.6</v>
      </c>
      <c r="E183" s="301" t="n">
        <v>48</v>
      </c>
      <c r="F183" s="301">
        <f>882+63+63</f>
        <v/>
      </c>
      <c r="G183" s="301" t="n"/>
      <c r="H183" s="301">
        <f>F183-G183</f>
        <v/>
      </c>
      <c r="I183" s="161" t="n"/>
      <c r="J183" s="161" t="n"/>
      <c r="K183" s="161" t="n"/>
      <c r="L183" s="161" t="n"/>
      <c r="M183" s="161" t="n"/>
    </row>
    <row r="184">
      <c r="A184" s="427" t="n"/>
      <c r="B184" s="428" t="n"/>
      <c r="C184" s="301" t="inlineStr">
        <is>
          <t>9*18</t>
        </is>
      </c>
      <c r="D184" s="105" t="n">
        <v>14.7</v>
      </c>
      <c r="E184" s="301" t="n">
        <v>36</v>
      </c>
      <c r="F184" s="301">
        <f>648+36+36</f>
        <v/>
      </c>
      <c r="G184" s="301" t="n">
        <v>10</v>
      </c>
      <c r="H184" s="301">
        <f>F184-G184</f>
        <v/>
      </c>
      <c r="I184" s="161" t="n"/>
      <c r="J184" s="161" t="n"/>
      <c r="K184" s="161" t="n"/>
      <c r="L184" s="161" t="n"/>
      <c r="M184" s="161" t="n"/>
    </row>
    <row r="185">
      <c r="A185" s="427" t="n"/>
      <c r="B185" s="301" t="inlineStr">
        <is>
          <t xml:space="preserve">Rivoli </t>
        </is>
      </c>
      <c r="C185" s="301" t="inlineStr">
        <is>
          <t>10*10</t>
        </is>
      </c>
      <c r="D185" s="105" t="n">
        <v>10.5</v>
      </c>
      <c r="E185" s="301" t="n">
        <v>45</v>
      </c>
      <c r="F185" s="301">
        <f>1350+45+45</f>
        <v/>
      </c>
      <c r="G185" s="301" t="n"/>
      <c r="H185" s="301">
        <f>F185-G185</f>
        <v/>
      </c>
      <c r="I185" s="161" t="n"/>
      <c r="J185" s="161" t="n"/>
      <c r="K185" s="161" t="n"/>
      <c r="L185" s="161" t="n"/>
      <c r="M185" s="161" t="n"/>
    </row>
    <row r="186">
      <c r="A186" s="427" t="n"/>
      <c r="B186" s="427" t="n"/>
      <c r="C186" s="301" t="inlineStr">
        <is>
          <t>12*12</t>
        </is>
      </c>
      <c r="D186" s="105" t="n">
        <v>12.6</v>
      </c>
      <c r="E186" s="301" t="n">
        <v>40</v>
      </c>
      <c r="F186" s="301">
        <f>560+100+40+80</f>
        <v/>
      </c>
      <c r="G186" s="301" t="n">
        <v>10</v>
      </c>
      <c r="H186" s="301">
        <f>F186-G186</f>
        <v/>
      </c>
      <c r="I186" s="161" t="n"/>
      <c r="J186" s="161" t="n"/>
      <c r="K186" s="161" t="n"/>
      <c r="L186" s="161" t="n"/>
      <c r="M186" s="161" t="n"/>
    </row>
    <row r="187">
      <c r="A187" s="427" t="n"/>
      <c r="B187" s="428" t="n"/>
      <c r="C187" s="301" t="inlineStr">
        <is>
          <t>14*14</t>
        </is>
      </c>
      <c r="D187" s="105" t="n">
        <v>14.7</v>
      </c>
      <c r="E187" s="301" t="n">
        <v>28</v>
      </c>
      <c r="F187" s="301">
        <f>784+28+28</f>
        <v/>
      </c>
      <c r="G187" s="301" t="n">
        <v>10</v>
      </c>
      <c r="H187" s="301">
        <f>F187-G187</f>
        <v/>
      </c>
      <c r="I187" s="161" t="n"/>
      <c r="J187" s="161" t="n"/>
      <c r="K187" s="161" t="n"/>
      <c r="L187" s="161" t="n"/>
      <c r="M187" s="161" t="n"/>
    </row>
    <row r="188">
      <c r="A188" s="427" t="n"/>
      <c r="B188" s="318" t="inlineStr">
        <is>
          <t>Trilliant</t>
        </is>
      </c>
      <c r="C188" s="318" t="inlineStr">
        <is>
          <t>12*12</t>
        </is>
      </c>
      <c r="D188" s="106" t="n">
        <v>14.7</v>
      </c>
      <c r="E188" s="318" t="n">
        <v>28</v>
      </c>
      <c r="F188" s="318">
        <f>504+28+28</f>
        <v/>
      </c>
      <c r="G188" s="318" t="n"/>
      <c r="H188" s="301">
        <f>F188-G188</f>
        <v/>
      </c>
      <c r="I188" s="161" t="n"/>
      <c r="J188" s="161" t="n"/>
      <c r="K188" s="161" t="n"/>
      <c r="L188" s="161" t="n"/>
      <c r="M188" s="161" t="n"/>
    </row>
    <row r="189">
      <c r="A189" s="427" t="n"/>
      <c r="B189" s="318" t="inlineStr">
        <is>
          <t>Cosmic</t>
        </is>
      </c>
      <c r="C189" s="318" t="inlineStr">
        <is>
          <t>10*14</t>
        </is>
      </c>
      <c r="D189" s="106" t="n">
        <v>14.7</v>
      </c>
      <c r="E189" s="318" t="n">
        <v>28</v>
      </c>
      <c r="F189" s="318">
        <f>504+28+28</f>
        <v/>
      </c>
      <c r="G189" s="318" t="n"/>
      <c r="H189" s="301">
        <f>F189-G189</f>
        <v/>
      </c>
      <c r="I189" s="161" t="n"/>
      <c r="J189" s="161" t="n"/>
      <c r="K189" s="161" t="n"/>
      <c r="L189" s="161" t="n"/>
      <c r="M189" s="161" t="n"/>
    </row>
    <row r="190">
      <c r="A190" s="427" t="n"/>
      <c r="B190" s="318" t="inlineStr">
        <is>
          <t>Galactic</t>
        </is>
      </c>
      <c r="C190" s="318" t="inlineStr">
        <is>
          <t>9*14</t>
        </is>
      </c>
      <c r="D190" s="106" t="n">
        <v>12.6</v>
      </c>
      <c r="E190" s="318" t="n">
        <v>48</v>
      </c>
      <c r="F190" s="318">
        <f>864+48</f>
        <v/>
      </c>
      <c r="G190" s="318" t="n"/>
      <c r="H190" s="301">
        <f>F190-G190</f>
        <v/>
      </c>
      <c r="I190" s="161" t="n"/>
      <c r="J190" s="161" t="n"/>
      <c r="K190" s="161" t="n"/>
      <c r="L190" s="161" t="n"/>
      <c r="M190" s="161" t="n"/>
    </row>
    <row r="191">
      <c r="A191" s="427" t="n"/>
      <c r="B191" s="318" t="inlineStr">
        <is>
          <t xml:space="preserve">Xirus </t>
        </is>
      </c>
      <c r="C191" s="318" t="inlineStr">
        <is>
          <t>8*8</t>
        </is>
      </c>
      <c r="D191" s="106" t="n">
        <v>10.5</v>
      </c>
      <c r="E191" s="318" t="n">
        <v>84</v>
      </c>
      <c r="F191" s="318" t="n">
        <v>1512</v>
      </c>
      <c r="G191" s="318" t="n"/>
      <c r="H191" s="301">
        <f>F191-G191</f>
        <v/>
      </c>
      <c r="I191" s="161" t="n"/>
      <c r="J191" s="161" t="n"/>
      <c r="K191" s="161" t="n"/>
      <c r="L191" s="161" t="n"/>
      <c r="M191" s="161" t="n"/>
    </row>
    <row r="192">
      <c r="A192" s="427" t="n"/>
      <c r="B192" s="427" t="n"/>
      <c r="C192" s="318" t="inlineStr">
        <is>
          <t>10*10</t>
        </is>
      </c>
      <c r="D192" s="106" t="n">
        <v>12.6</v>
      </c>
      <c r="E192" s="318" t="n">
        <v>45</v>
      </c>
      <c r="F192" s="318" t="n">
        <v>810</v>
      </c>
      <c r="G192" s="318" t="n"/>
      <c r="H192" s="301">
        <f>F192-G192</f>
        <v/>
      </c>
      <c r="I192" s="161" t="n"/>
      <c r="J192" s="161" t="n"/>
      <c r="K192" s="161" t="n"/>
      <c r="L192" s="161" t="n"/>
      <c r="M192" s="161" t="n"/>
    </row>
    <row r="193" ht="15.75" customHeight="1" thickBot="1">
      <c r="A193" s="427" t="n"/>
      <c r="B193" s="427" t="n"/>
      <c r="C193" s="318" t="inlineStr">
        <is>
          <t>12*12</t>
        </is>
      </c>
      <c r="D193" s="106" t="n">
        <v>14.7</v>
      </c>
      <c r="E193" s="318" t="n">
        <v>40</v>
      </c>
      <c r="F193" s="318" t="n">
        <v>400</v>
      </c>
      <c r="G193" s="318" t="n"/>
      <c r="H193" s="318">
        <f>F193-G193</f>
        <v/>
      </c>
      <c r="I193" s="161" t="n"/>
      <c r="J193" s="161" t="n"/>
      <c r="K193" s="161" t="n"/>
      <c r="L193" s="161" t="n"/>
      <c r="M193" s="161" t="n"/>
    </row>
    <row r="194" ht="15.75" customHeight="1" thickTop="1">
      <c r="A194" s="338" t="inlineStr">
        <is>
          <t>COFFEE</t>
        </is>
      </c>
      <c r="B194" s="303" t="inlineStr">
        <is>
          <t>Drop</t>
        </is>
      </c>
      <c r="C194" s="303" t="inlineStr">
        <is>
          <t>11*18</t>
        </is>
      </c>
      <c r="D194" s="108" t="n">
        <v>27</v>
      </c>
      <c r="E194" s="303" t="n">
        <v>24</v>
      </c>
      <c r="F194" s="303" t="n">
        <v>840</v>
      </c>
      <c r="G194" s="303" t="n">
        <v>48</v>
      </c>
      <c r="H194" s="303">
        <f>F194-G194</f>
        <v/>
      </c>
      <c r="I194" s="161" t="n"/>
      <c r="J194" s="161" t="n"/>
      <c r="K194" s="161" t="n"/>
      <c r="L194" s="161" t="n"/>
      <c r="M194" s="161" t="n"/>
    </row>
    <row r="195">
      <c r="A195" s="427" t="n"/>
      <c r="B195" s="427" t="n"/>
      <c r="C195" s="301" t="inlineStr">
        <is>
          <t>13*22</t>
        </is>
      </c>
      <c r="D195" s="105" t="n">
        <v>59</v>
      </c>
      <c r="E195" s="301" t="n">
        <v>24</v>
      </c>
      <c r="F195" s="301" t="n">
        <v>720</v>
      </c>
      <c r="G195" s="301" t="n">
        <v>48</v>
      </c>
      <c r="H195" s="301">
        <f>F195-G195</f>
        <v/>
      </c>
      <c r="I195" s="161" t="n"/>
      <c r="J195" s="161" t="n"/>
      <c r="K195" s="161" t="n"/>
      <c r="L195" s="161" t="n"/>
      <c r="M195" s="161" t="n"/>
    </row>
    <row r="196">
      <c r="A196" s="427" t="n"/>
      <c r="B196" s="428" t="n"/>
      <c r="C196" s="301" t="inlineStr">
        <is>
          <t>17*28</t>
        </is>
      </c>
      <c r="D196" s="105" t="n">
        <v>88</v>
      </c>
      <c r="E196" s="301" t="n">
        <v>12</v>
      </c>
      <c r="F196" s="301" t="n">
        <v>300</v>
      </c>
      <c r="G196" s="301" t="n"/>
      <c r="H196" s="301">
        <f>F196-G196</f>
        <v/>
      </c>
      <c r="I196" s="161" t="n"/>
      <c r="J196" s="161" t="n"/>
      <c r="K196" s="161" t="n"/>
      <c r="L196" s="161" t="n"/>
      <c r="M196" s="161" t="n"/>
    </row>
    <row r="197">
      <c r="A197" s="427" t="n"/>
      <c r="B197" s="301" t="inlineStr">
        <is>
          <t>NAVETTE</t>
        </is>
      </c>
      <c r="C197" s="301" t="inlineStr">
        <is>
          <t>7*15</t>
        </is>
      </c>
      <c r="D197" s="105" t="n">
        <v>24</v>
      </c>
      <c r="E197" s="301" t="n">
        <v>63</v>
      </c>
      <c r="F197" s="301" t="n">
        <v>2016</v>
      </c>
      <c r="G197" s="301" t="n"/>
      <c r="H197" s="301">
        <f>F197-G197</f>
        <v/>
      </c>
      <c r="I197" s="161" t="n"/>
      <c r="J197" s="161" t="n"/>
      <c r="K197" s="161" t="n"/>
      <c r="L197" s="161" t="n"/>
      <c r="M197" s="161" t="n"/>
    </row>
    <row r="198">
      <c r="A198" s="427" t="n"/>
      <c r="B198" s="301" t="inlineStr">
        <is>
          <t>Trilliant</t>
        </is>
      </c>
      <c r="C198" s="301" t="inlineStr">
        <is>
          <t>12*12</t>
        </is>
      </c>
      <c r="D198" s="105" t="n">
        <v>15</v>
      </c>
      <c r="E198" s="301" t="n">
        <v>28</v>
      </c>
      <c r="F198" s="301">
        <f>784+196</f>
        <v/>
      </c>
      <c r="G198" s="301" t="n">
        <v>28</v>
      </c>
      <c r="H198" s="301">
        <f>F198-G198</f>
        <v/>
      </c>
      <c r="I198" s="161" t="n"/>
      <c r="J198" s="161" t="n"/>
      <c r="K198" s="161" t="n"/>
      <c r="L198" s="161" t="n"/>
      <c r="M198" s="161" t="n"/>
    </row>
    <row r="199">
      <c r="A199" s="427" t="n"/>
      <c r="B199" s="428" t="n"/>
      <c r="C199" s="301" t="inlineStr">
        <is>
          <t>16*16</t>
        </is>
      </c>
      <c r="D199" s="105" t="n">
        <v>33</v>
      </c>
      <c r="E199" s="301" t="n">
        <v>18</v>
      </c>
      <c r="F199" s="301" t="n">
        <v>540</v>
      </c>
      <c r="G199" s="301" t="n"/>
      <c r="H199" s="301">
        <f>F199-G199</f>
        <v/>
      </c>
      <c r="I199" s="161" t="n"/>
      <c r="J199" s="161" t="n"/>
      <c r="K199" s="161" t="n"/>
      <c r="L199" s="161" t="n"/>
      <c r="M199" s="161" t="n"/>
    </row>
    <row r="200">
      <c r="A200" s="427" t="n"/>
      <c r="B200" s="301" t="inlineStr">
        <is>
          <t>RIVOLI</t>
        </is>
      </c>
      <c r="C200" s="301" t="inlineStr">
        <is>
          <t>12*12</t>
        </is>
      </c>
      <c r="D200" s="105" t="n">
        <v>27</v>
      </c>
      <c r="E200" s="301" t="n">
        <v>40</v>
      </c>
      <c r="F200" s="301" t="n">
        <v>1200</v>
      </c>
      <c r="G200" s="301" t="n"/>
      <c r="H200" s="301">
        <f>F200-G200</f>
        <v/>
      </c>
      <c r="I200" s="161" t="n"/>
      <c r="J200" s="161" t="n"/>
      <c r="K200" s="161" t="n"/>
      <c r="L200" s="161" t="n"/>
      <c r="M200" s="161" t="n"/>
    </row>
    <row r="201">
      <c r="A201" s="427" t="n"/>
      <c r="B201" s="428" t="n"/>
      <c r="C201" s="301" t="inlineStr">
        <is>
          <t>14*14</t>
        </is>
      </c>
      <c r="D201" s="105" t="n">
        <v>31</v>
      </c>
      <c r="E201" s="301" t="n">
        <v>28</v>
      </c>
      <c r="F201" s="301" t="n">
        <v>672</v>
      </c>
      <c r="G201" s="301" t="n"/>
      <c r="H201" s="301">
        <f>F201-G201</f>
        <v/>
      </c>
      <c r="I201" s="161" t="n"/>
      <c r="J201" s="161" t="n"/>
      <c r="K201" s="161" t="n"/>
      <c r="L201" s="161" t="n"/>
      <c r="M201" s="161" t="n"/>
    </row>
    <row r="202">
      <c r="A202" s="427" t="n"/>
      <c r="B202" s="301" t="inlineStr">
        <is>
          <t>COSMIC</t>
        </is>
      </c>
      <c r="C202" s="301" t="inlineStr">
        <is>
          <t>10*14</t>
        </is>
      </c>
      <c r="D202" s="105" t="n">
        <v>27</v>
      </c>
      <c r="E202" s="301" t="n">
        <v>28</v>
      </c>
      <c r="F202" s="301" t="n">
        <v>784</v>
      </c>
      <c r="G202" s="301">
        <f>56+28</f>
        <v/>
      </c>
      <c r="H202" s="301">
        <f>F202-G202</f>
        <v/>
      </c>
      <c r="I202" s="161" t="n"/>
      <c r="J202" s="161" t="n"/>
      <c r="K202" s="161" t="n"/>
      <c r="L202" s="161" t="n"/>
      <c r="M202" s="161" t="n"/>
    </row>
    <row r="203">
      <c r="A203" s="427" t="n"/>
      <c r="B203" s="428" t="n"/>
      <c r="C203" s="301" t="inlineStr">
        <is>
          <t>17*21</t>
        </is>
      </c>
      <c r="D203" s="105" t="n">
        <v>88</v>
      </c>
      <c r="E203" s="301" t="n">
        <v>15</v>
      </c>
      <c r="F203" s="301" t="n">
        <v>375</v>
      </c>
      <c r="G203" s="301" t="n"/>
      <c r="H203" s="301">
        <f>F203-G203</f>
        <v/>
      </c>
      <c r="I203" s="161" t="n"/>
      <c r="J203" s="161" t="n"/>
      <c r="K203" s="161" t="n"/>
      <c r="L203" s="161" t="n"/>
      <c r="M203" s="161" t="n"/>
    </row>
    <row r="204">
      <c r="A204" s="427" t="n"/>
      <c r="B204" s="301" t="inlineStr">
        <is>
          <t>Galactic</t>
        </is>
      </c>
      <c r="C204" s="301" t="inlineStr">
        <is>
          <t>9*14</t>
        </is>
      </c>
      <c r="D204" s="105" t="n">
        <v>28</v>
      </c>
      <c r="E204" s="301" t="n">
        <v>48</v>
      </c>
      <c r="F204" s="301" t="n">
        <v>1536</v>
      </c>
      <c r="G204" s="301" t="n"/>
      <c r="H204" s="301">
        <f>F204-G204</f>
        <v/>
      </c>
      <c r="I204" s="161" t="n"/>
      <c r="J204" s="161" t="n"/>
      <c r="K204" s="161" t="n"/>
      <c r="L204" s="161" t="n"/>
      <c r="M204" s="161" t="n"/>
    </row>
    <row r="205">
      <c r="A205" s="427" t="n"/>
      <c r="B205" s="428" t="n"/>
      <c r="C205" s="301" t="inlineStr">
        <is>
          <t>17*27</t>
        </is>
      </c>
      <c r="D205" s="105" t="n">
        <v>88</v>
      </c>
      <c r="E205" s="301" t="n">
        <v>12</v>
      </c>
      <c r="F205" s="301" t="n">
        <v>288</v>
      </c>
      <c r="G205" s="301" t="n">
        <v>12</v>
      </c>
      <c r="H205" s="301">
        <f>F205-G205</f>
        <v/>
      </c>
      <c r="I205" s="161" t="n"/>
      <c r="J205" s="161" t="n"/>
      <c r="K205" s="161" t="n"/>
      <c r="L205" s="161" t="n"/>
      <c r="M205" s="161" t="n"/>
    </row>
    <row r="206">
      <c r="A206" s="427" t="n"/>
      <c r="B206" s="301" t="inlineStr">
        <is>
          <t>Xirus</t>
        </is>
      </c>
      <c r="C206" s="301" t="inlineStr">
        <is>
          <t>8*8</t>
        </is>
      </c>
      <c r="D206" s="105" t="n">
        <v>20</v>
      </c>
      <c r="E206" s="301" t="n">
        <v>84</v>
      </c>
      <c r="F206" s="301" t="n">
        <v>2016</v>
      </c>
      <c r="G206" s="301" t="n"/>
      <c r="H206" s="301">
        <f>F206-G206</f>
        <v/>
      </c>
      <c r="I206" s="161" t="n"/>
      <c r="J206" s="161" t="n"/>
      <c r="K206" s="161" t="n"/>
      <c r="L206" s="161" t="n"/>
      <c r="M206" s="161" t="n"/>
    </row>
    <row r="207">
      <c r="A207" s="427" t="n"/>
      <c r="B207" s="428" t="n"/>
      <c r="C207" s="301" t="inlineStr">
        <is>
          <t>12*12</t>
        </is>
      </c>
      <c r="D207" s="105" t="n">
        <v>27</v>
      </c>
      <c r="E207" s="301" t="n">
        <v>40</v>
      </c>
      <c r="F207" s="301">
        <f>720+240</f>
        <v/>
      </c>
      <c r="G207" s="301" t="n"/>
      <c r="H207" s="301">
        <f>F207-G207</f>
        <v/>
      </c>
      <c r="I207" s="161" t="n"/>
      <c r="J207" s="161" t="n"/>
      <c r="K207" s="161" t="n"/>
      <c r="L207" s="161" t="n"/>
      <c r="M207" s="161" t="n"/>
    </row>
    <row r="208">
      <c r="A208" s="427" t="n"/>
      <c r="B208" s="301" t="inlineStr">
        <is>
          <t>Rivoli</t>
        </is>
      </c>
      <c r="C208" s="301" t="inlineStr">
        <is>
          <t>8*8</t>
        </is>
      </c>
      <c r="D208" s="105" t="n">
        <v>20</v>
      </c>
      <c r="E208" s="301" t="n">
        <v>84</v>
      </c>
      <c r="F208" s="301" t="n">
        <v>2016</v>
      </c>
      <c r="G208" s="301" t="n"/>
      <c r="H208" s="301">
        <f>F208-G208</f>
        <v/>
      </c>
      <c r="I208" s="161" t="n"/>
      <c r="J208" s="161" t="n"/>
      <c r="K208" s="161" t="n"/>
      <c r="L208" s="161" t="n"/>
      <c r="M208" s="161" t="n"/>
    </row>
    <row r="209" ht="15.75" customHeight="1" thickBot="1">
      <c r="A209" s="428" t="n"/>
      <c r="B209" s="428" t="n"/>
      <c r="C209" s="302" t="inlineStr">
        <is>
          <t>14*14</t>
        </is>
      </c>
      <c r="D209" s="107" t="n">
        <v>27</v>
      </c>
      <c r="E209" s="302" t="n">
        <v>28</v>
      </c>
      <c r="F209" s="302" t="n">
        <v>168</v>
      </c>
      <c r="G209" s="302" t="n"/>
      <c r="H209" s="302">
        <f>F209-G209</f>
        <v/>
      </c>
      <c r="I209" s="161" t="n"/>
      <c r="J209" s="161" t="n"/>
      <c r="K209" s="161" t="n"/>
      <c r="L209" s="161" t="n"/>
      <c r="M209" s="161" t="n"/>
    </row>
    <row r="210" ht="16.5" customHeight="1" thickBot="1" thickTop="1">
      <c r="A210" s="235" t="inlineStr">
        <is>
          <t>Lt. TOPAZ</t>
        </is>
      </c>
      <c r="B210" s="31" t="inlineStr">
        <is>
          <t>Rivoli</t>
        </is>
      </c>
      <c r="C210" s="31" t="inlineStr">
        <is>
          <t>12*12</t>
        </is>
      </c>
      <c r="D210" s="110" t="n">
        <v>20</v>
      </c>
      <c r="E210" s="31" t="n">
        <v>40</v>
      </c>
      <c r="F210" s="31" t="n">
        <v>144</v>
      </c>
      <c r="G210" s="31" t="n"/>
      <c r="H210" s="31">
        <f>F210-G210</f>
        <v/>
      </c>
      <c r="I210" s="161" t="n"/>
      <c r="J210" s="161" t="n"/>
      <c r="K210" s="161" t="n"/>
      <c r="L210" s="161" t="n"/>
      <c r="M210" s="161" t="n"/>
    </row>
    <row r="211" ht="16.5" customHeight="1" thickBot="1" thickTop="1">
      <c r="A211" s="235" t="inlineStr">
        <is>
          <t>Lt. TOPAZ AB</t>
        </is>
      </c>
      <c r="B211" s="31" t="inlineStr">
        <is>
          <t>Rivoli</t>
        </is>
      </c>
      <c r="C211" s="31" t="inlineStr">
        <is>
          <t>12*12</t>
        </is>
      </c>
      <c r="D211" s="110" t="n">
        <v>30</v>
      </c>
      <c r="E211" s="31" t="n">
        <v>40</v>
      </c>
      <c r="F211" s="31" t="n">
        <v>103</v>
      </c>
      <c r="G211" s="31" t="n"/>
      <c r="H211" s="31">
        <f>F211-G211</f>
        <v/>
      </c>
      <c r="I211" s="161" t="n"/>
      <c r="J211" s="161" t="n"/>
      <c r="K211" s="161" t="n"/>
      <c r="L211" s="161" t="n"/>
      <c r="M211" s="161" t="n"/>
    </row>
    <row r="212" ht="16.5" customHeight="1" thickBot="1" thickTop="1">
      <c r="A212" s="383" t="inlineStr">
        <is>
          <t>Lt. Colorado Topaz</t>
        </is>
      </c>
      <c r="B212" s="31" t="inlineStr">
        <is>
          <t>Rivoli</t>
        </is>
      </c>
      <c r="C212" s="31" t="inlineStr">
        <is>
          <t>12*12</t>
        </is>
      </c>
      <c r="D212" s="129" t="n">
        <v>20</v>
      </c>
      <c r="E212" s="304" t="n">
        <v>40</v>
      </c>
      <c r="F212" s="304" t="n">
        <v>154</v>
      </c>
      <c r="G212" s="304" t="n"/>
      <c r="H212" s="31">
        <f>F212-G212</f>
        <v/>
      </c>
      <c r="I212" s="161" t="n"/>
      <c r="J212" s="161" t="n"/>
      <c r="K212" s="161" t="n"/>
      <c r="L212" s="161" t="n"/>
      <c r="M212" s="161" t="n"/>
    </row>
    <row r="213" ht="15.75" customHeight="1" thickTop="1">
      <c r="A213" s="235" t="inlineStr">
        <is>
          <t>COBALT</t>
        </is>
      </c>
      <c r="B213" s="303" t="inlineStr">
        <is>
          <t>Drop</t>
        </is>
      </c>
      <c r="C213" s="303" t="inlineStr">
        <is>
          <t>7*12</t>
        </is>
      </c>
      <c r="D213" s="108" t="n">
        <v>10.5</v>
      </c>
      <c r="E213" s="303" t="n">
        <v>72</v>
      </c>
      <c r="F213" s="303">
        <f>(76*2*72)+144</f>
        <v/>
      </c>
      <c r="G213" s="303" t="n"/>
      <c r="H213" s="303">
        <f>F213-G213</f>
        <v/>
      </c>
      <c r="I213" s="161" t="n"/>
      <c r="J213" s="161" t="n"/>
      <c r="K213" s="161" t="n"/>
      <c r="L213" s="161" t="n"/>
      <c r="M213" s="161" t="n"/>
    </row>
    <row r="214">
      <c r="A214" s="427" t="n"/>
      <c r="B214" s="427" t="n"/>
      <c r="C214" s="317" t="inlineStr">
        <is>
          <t>10*14</t>
        </is>
      </c>
      <c r="D214" s="109" t="n">
        <v>12.6</v>
      </c>
      <c r="E214" s="317" t="n">
        <v>36</v>
      </c>
      <c r="F214" s="317">
        <f>(36*2*36)+72</f>
        <v/>
      </c>
      <c r="G214" s="317" t="n"/>
      <c r="H214" s="317">
        <f>F214-G214</f>
        <v/>
      </c>
      <c r="I214" s="161" t="n"/>
      <c r="J214" s="161" t="n"/>
      <c r="K214" s="161" t="n"/>
      <c r="L214" s="161" t="n"/>
      <c r="M214" s="161" t="n"/>
    </row>
    <row r="215">
      <c r="A215" s="427" t="n"/>
      <c r="B215" s="428" t="n"/>
      <c r="C215" s="317" t="inlineStr">
        <is>
          <t>17*28</t>
        </is>
      </c>
      <c r="D215" s="109" t="n">
        <v>32.55</v>
      </c>
      <c r="E215" s="317" t="n">
        <v>12</v>
      </c>
      <c r="F215" s="317">
        <f>(36*2*12)+24</f>
        <v/>
      </c>
      <c r="G215" s="317">
        <f>10+10</f>
        <v/>
      </c>
      <c r="H215" s="317">
        <f>F215-G215</f>
        <v/>
      </c>
      <c r="I215" s="161" t="n"/>
      <c r="J215" s="161" t="n"/>
      <c r="K215" s="161" t="n"/>
      <c r="L215" s="161" t="n"/>
      <c r="M215" s="161" t="n"/>
    </row>
    <row r="216">
      <c r="A216" s="427" t="n"/>
      <c r="B216" s="301" t="inlineStr">
        <is>
          <t>Navette</t>
        </is>
      </c>
      <c r="C216" s="317" t="inlineStr">
        <is>
          <t>7*15</t>
        </is>
      </c>
      <c r="D216" s="109" t="n">
        <v>12.6</v>
      </c>
      <c r="E216" s="317" t="n">
        <v>48</v>
      </c>
      <c r="F216" s="317">
        <f>72*2*48</f>
        <v/>
      </c>
      <c r="G216" s="317" t="n">
        <v>96</v>
      </c>
      <c r="H216" s="317">
        <f>F216-G216</f>
        <v/>
      </c>
      <c r="I216" s="161" t="n"/>
      <c r="J216" s="161" t="n"/>
      <c r="K216" s="161" t="n"/>
      <c r="L216" s="161" t="n"/>
      <c r="M216" s="161" t="n"/>
    </row>
    <row r="217">
      <c r="A217" s="427" t="n"/>
      <c r="B217" s="428" t="n"/>
      <c r="C217" s="317" t="inlineStr">
        <is>
          <t>9*18</t>
        </is>
      </c>
      <c r="D217" s="109" t="n">
        <v>14.7</v>
      </c>
      <c r="E217" s="317" t="n">
        <v>36</v>
      </c>
      <c r="F217" s="317">
        <f>(36*2*36)+72</f>
        <v/>
      </c>
      <c r="G217" s="317">
        <f>20+56+10</f>
        <v/>
      </c>
      <c r="H217" s="317">
        <f>F217-G217</f>
        <v/>
      </c>
      <c r="I217" s="161" t="n"/>
      <c r="J217" s="161" t="n"/>
      <c r="K217" s="161" t="n"/>
      <c r="L217" s="161" t="n"/>
      <c r="M217" s="161" t="n"/>
    </row>
    <row r="218">
      <c r="A218" s="427" t="n"/>
      <c r="B218" s="318" t="inlineStr">
        <is>
          <t>Rivoli</t>
        </is>
      </c>
      <c r="C218" s="317" t="inlineStr">
        <is>
          <t>8*8</t>
        </is>
      </c>
      <c r="D218" s="109" t="n">
        <v>8.4</v>
      </c>
      <c r="E218" s="317" t="n">
        <v>84</v>
      </c>
      <c r="F218" s="317">
        <f>56*2*84</f>
        <v/>
      </c>
      <c r="G218" s="317" t="n"/>
      <c r="H218" s="317">
        <f>F218-G218</f>
        <v/>
      </c>
      <c r="I218" s="161" t="n"/>
      <c r="J218" s="161" t="n"/>
      <c r="K218" s="161" t="n"/>
      <c r="L218" s="161" t="n"/>
      <c r="M218" s="161" t="n"/>
    </row>
    <row r="219">
      <c r="A219" s="427" t="n"/>
      <c r="B219" s="427" t="n"/>
      <c r="C219" s="317" t="inlineStr">
        <is>
          <t>10*10</t>
        </is>
      </c>
      <c r="D219" s="109" t="n">
        <v>10.5</v>
      </c>
      <c r="E219" s="317" t="n">
        <v>45</v>
      </c>
      <c r="F219" s="317">
        <f>11565+90</f>
        <v/>
      </c>
      <c r="G219" s="317" t="n"/>
      <c r="H219" s="317">
        <f>F219-G219</f>
        <v/>
      </c>
      <c r="I219" s="161" t="n"/>
      <c r="J219" s="161" t="n"/>
      <c r="K219" s="161" t="n"/>
      <c r="L219" s="161" t="n"/>
      <c r="M219" s="161" t="n"/>
    </row>
    <row r="220">
      <c r="A220" s="427" t="n"/>
      <c r="B220" s="427" t="n"/>
      <c r="C220" s="317" t="inlineStr">
        <is>
          <t>12*12</t>
        </is>
      </c>
      <c r="D220" s="109" t="n">
        <v>12.6</v>
      </c>
      <c r="E220" s="317" t="n">
        <v>40</v>
      </c>
      <c r="F220" s="317">
        <f>(82*2*40)+273</f>
        <v/>
      </c>
      <c r="G220" s="317">
        <f>10+10+40</f>
        <v/>
      </c>
      <c r="H220" s="317">
        <f>F220-G220</f>
        <v/>
      </c>
      <c r="I220" s="161" t="n"/>
      <c r="J220" s="161" t="n"/>
      <c r="K220" s="161" t="n"/>
      <c r="L220" s="161" t="n"/>
      <c r="M220" s="161" t="n"/>
    </row>
    <row r="221">
      <c r="A221" s="427" t="n"/>
      <c r="B221" s="427" t="n"/>
      <c r="C221" s="317" t="inlineStr">
        <is>
          <t>14*14</t>
        </is>
      </c>
      <c r="D221" s="109" t="n">
        <v>14.7</v>
      </c>
      <c r="E221" s="317" t="n">
        <v>28</v>
      </c>
      <c r="F221" s="317">
        <f>108*2*28</f>
        <v/>
      </c>
      <c r="G221" s="317">
        <f>10+10</f>
        <v/>
      </c>
      <c r="H221" s="317">
        <f>F221-G221</f>
        <v/>
      </c>
      <c r="I221" s="161" t="n"/>
      <c r="J221" s="161" t="n"/>
      <c r="K221" s="161" t="n"/>
      <c r="L221" s="161" t="n"/>
      <c r="M221" s="161" t="n"/>
    </row>
    <row r="222">
      <c r="A222" s="427" t="n"/>
      <c r="B222" s="301" t="inlineStr">
        <is>
          <t>Trilliant</t>
        </is>
      </c>
      <c r="C222" s="317" t="inlineStr">
        <is>
          <t>16*16</t>
        </is>
      </c>
      <c r="D222" s="109" t="n">
        <v>26.25</v>
      </c>
      <c r="E222" s="317" t="n">
        <v>18</v>
      </c>
      <c r="F222" s="317">
        <f>(36*2*18)+36</f>
        <v/>
      </c>
      <c r="G222" s="317">
        <f>36+36+10+18</f>
        <v/>
      </c>
      <c r="H222" s="317">
        <f>F222-G222</f>
        <v/>
      </c>
      <c r="I222" s="161" t="n"/>
      <c r="J222" s="161" t="n"/>
      <c r="K222" s="161" t="n"/>
      <c r="L222" s="161" t="n"/>
      <c r="M222" s="161" t="n"/>
    </row>
    <row r="223">
      <c r="A223" s="427" t="n"/>
      <c r="B223" s="318" t="inlineStr">
        <is>
          <t>Lemon</t>
        </is>
      </c>
      <c r="C223" s="317" t="inlineStr">
        <is>
          <t>9*14</t>
        </is>
      </c>
      <c r="D223" s="119" t="n">
        <v>21</v>
      </c>
      <c r="E223" s="317" t="n">
        <v>48</v>
      </c>
      <c r="F223" s="317">
        <f>72*2*48</f>
        <v/>
      </c>
      <c r="G223" s="317" t="n"/>
      <c r="H223" s="317">
        <f>F223-G223</f>
        <v/>
      </c>
      <c r="I223" s="161" t="n"/>
      <c r="J223" s="161" t="n"/>
      <c r="K223" s="161" t="n"/>
      <c r="L223" s="161" t="n"/>
      <c r="M223" s="161" t="n"/>
    </row>
    <row r="224">
      <c r="A224" s="427" t="n"/>
      <c r="B224" s="301" t="inlineStr">
        <is>
          <t>Cosmic</t>
        </is>
      </c>
      <c r="C224" s="317" t="inlineStr">
        <is>
          <t>9*12</t>
        </is>
      </c>
      <c r="D224" s="109" t="n">
        <v>11.55</v>
      </c>
      <c r="E224" s="317" t="n">
        <v>48</v>
      </c>
      <c r="F224" s="317">
        <f>111*2*48</f>
        <v/>
      </c>
      <c r="G224" s="317" t="n">
        <v>48</v>
      </c>
      <c r="H224" s="317">
        <f>F224-G224</f>
        <v/>
      </c>
      <c r="I224" s="161" t="n"/>
      <c r="J224" s="161" t="n"/>
      <c r="K224" s="161" t="n"/>
      <c r="L224" s="161" t="n"/>
      <c r="M224" s="161" t="n"/>
    </row>
    <row r="225">
      <c r="A225" s="427" t="n"/>
      <c r="B225" s="427" t="n"/>
      <c r="C225" s="317" t="inlineStr">
        <is>
          <t>10*14</t>
        </is>
      </c>
      <c r="D225" s="109" t="n">
        <v>14.7</v>
      </c>
      <c r="E225" s="317" t="n">
        <v>28</v>
      </c>
      <c r="F225" s="317">
        <f>448+5880+56+28+56</f>
        <v/>
      </c>
      <c r="G225" s="317">
        <f>28+56+20</f>
        <v/>
      </c>
      <c r="H225" s="317">
        <f>F225-G225</f>
        <v/>
      </c>
      <c r="I225" s="161" t="n"/>
      <c r="J225" s="161" t="n"/>
      <c r="K225" s="161" t="n"/>
      <c r="L225" s="161" t="n"/>
      <c r="M225" s="161" t="n"/>
    </row>
    <row r="226">
      <c r="A226" s="427" t="n"/>
      <c r="B226" s="428" t="n"/>
      <c r="C226" s="301" t="inlineStr">
        <is>
          <t>17*21</t>
        </is>
      </c>
      <c r="D226" s="105" t="n">
        <v>33.6</v>
      </c>
      <c r="E226" s="301" t="n">
        <v>15</v>
      </c>
      <c r="F226" s="301">
        <f>50*2*15</f>
        <v/>
      </c>
      <c r="G226" s="301">
        <f>15+10+10</f>
        <v/>
      </c>
      <c r="H226" s="317">
        <f>F226-G226</f>
        <v/>
      </c>
      <c r="I226" s="161" t="n"/>
      <c r="J226" s="161" t="n"/>
      <c r="K226" s="161" t="n"/>
      <c r="L226" s="161" t="n"/>
      <c r="M226" s="161" t="n"/>
    </row>
    <row r="227">
      <c r="A227" s="427" t="n"/>
      <c r="B227" s="301" t="inlineStr">
        <is>
          <t>Galactic</t>
        </is>
      </c>
      <c r="C227" s="301" t="inlineStr">
        <is>
          <t>9*14</t>
        </is>
      </c>
      <c r="D227" s="105" t="n">
        <v>12.6</v>
      </c>
      <c r="E227" s="301" t="n">
        <v>48</v>
      </c>
      <c r="F227" s="301">
        <f>768+4032+98+45</f>
        <v/>
      </c>
      <c r="G227" s="301" t="n"/>
      <c r="H227" s="317">
        <f>F227-G227</f>
        <v/>
      </c>
      <c r="I227" s="161" t="n"/>
      <c r="J227" s="161" t="n"/>
      <c r="K227" s="161" t="n"/>
      <c r="L227" s="161" t="n"/>
      <c r="M227" s="161" t="n"/>
    </row>
    <row r="228">
      <c r="A228" s="427" t="n"/>
      <c r="B228" s="427" t="n"/>
      <c r="C228" s="301" t="inlineStr">
        <is>
          <t>12*19</t>
        </is>
      </c>
      <c r="D228" s="105" t="n">
        <v>28.35</v>
      </c>
      <c r="E228" s="301" t="n">
        <v>24</v>
      </c>
      <c r="F228" s="301">
        <f>384+1728+48+24+48</f>
        <v/>
      </c>
      <c r="G228" s="301">
        <f>29+10</f>
        <v/>
      </c>
      <c r="H228" s="317">
        <f>F228-G228</f>
        <v/>
      </c>
      <c r="I228" s="161" t="n"/>
      <c r="J228" s="161" t="n"/>
      <c r="K228" s="161" t="n"/>
      <c r="L228" s="161" t="n"/>
      <c r="M228" s="161" t="n"/>
    </row>
    <row r="229">
      <c r="A229" s="427" t="n"/>
      <c r="B229" s="428" t="n"/>
      <c r="C229" s="301" t="inlineStr">
        <is>
          <t>17*27</t>
        </is>
      </c>
      <c r="D229" s="105" t="n">
        <v>32.55</v>
      </c>
      <c r="E229" s="301" t="n">
        <v>12</v>
      </c>
      <c r="F229" s="301">
        <f>36*2*12</f>
        <v/>
      </c>
      <c r="G229" s="301">
        <f>10+10</f>
        <v/>
      </c>
      <c r="H229" s="317">
        <f>F229-G229</f>
        <v/>
      </c>
      <c r="I229" s="161" t="n"/>
      <c r="J229" s="161" t="n"/>
      <c r="K229" s="161" t="n"/>
      <c r="L229" s="161" t="n"/>
      <c r="M229" s="161" t="n"/>
    </row>
    <row r="230">
      <c r="A230" s="427" t="n"/>
      <c r="B230" s="301" t="inlineStr">
        <is>
          <t>Cosmic Baguette</t>
        </is>
      </c>
      <c r="C230" s="301" t="inlineStr">
        <is>
          <t>6*18</t>
        </is>
      </c>
      <c r="D230" s="105" t="n">
        <v>16.8</v>
      </c>
      <c r="E230" s="301" t="n">
        <v>42</v>
      </c>
      <c r="F230" s="301">
        <f>924+6048+42+84</f>
        <v/>
      </c>
      <c r="G230" s="301" t="n">
        <v>42</v>
      </c>
      <c r="H230" s="317">
        <f>F230-G230</f>
        <v/>
      </c>
      <c r="I230" s="161" t="n"/>
      <c r="J230" s="161" t="n"/>
      <c r="K230" s="161" t="n"/>
      <c r="L230" s="161" t="n"/>
      <c r="M230" s="161" t="n"/>
    </row>
    <row r="231">
      <c r="A231" s="427" t="n"/>
      <c r="B231" s="428" t="n"/>
      <c r="C231" s="301" t="inlineStr">
        <is>
          <t>7*21</t>
        </is>
      </c>
      <c r="D231" s="105" t="n">
        <v>28.35</v>
      </c>
      <c r="E231" s="301" t="n">
        <v>24</v>
      </c>
      <c r="F231" s="301">
        <f>107*2*24</f>
        <v/>
      </c>
      <c r="G231" s="301" t="n"/>
      <c r="H231" s="317">
        <f>F231-G231</f>
        <v/>
      </c>
      <c r="I231" s="161" t="n"/>
      <c r="J231" s="161" t="n"/>
      <c r="K231" s="161" t="n"/>
      <c r="L231" s="161" t="n"/>
      <c r="M231" s="161" t="n"/>
    </row>
    <row r="232">
      <c r="A232" s="427" t="n"/>
      <c r="B232" s="301" t="inlineStr">
        <is>
          <t xml:space="preserve">Xirus </t>
        </is>
      </c>
      <c r="C232" s="301" t="inlineStr">
        <is>
          <t>8*8</t>
        </is>
      </c>
      <c r="D232" s="105" t="n">
        <v>10.5</v>
      </c>
      <c r="E232" s="301" t="n">
        <v>84</v>
      </c>
      <c r="F232" s="301">
        <f>(24*2*84)+168</f>
        <v/>
      </c>
      <c r="G232" s="301" t="n">
        <v>45</v>
      </c>
      <c r="H232" s="317">
        <f>F232-G232</f>
        <v/>
      </c>
      <c r="I232" s="161" t="n"/>
      <c r="J232" s="161" t="n"/>
      <c r="K232" s="161" t="n"/>
      <c r="L232" s="161" t="n"/>
      <c r="M232" s="161" t="n"/>
    </row>
    <row r="233">
      <c r="A233" s="427" t="n"/>
      <c r="B233" s="427" t="n"/>
      <c r="C233" s="301" t="inlineStr">
        <is>
          <t>10*10</t>
        </is>
      </c>
      <c r="D233" s="105" t="n">
        <v>12.6</v>
      </c>
      <c r="E233" s="301" t="n">
        <v>45</v>
      </c>
      <c r="F233" s="301">
        <f>810+5760+44+90</f>
        <v/>
      </c>
      <c r="G233" s="301" t="n"/>
      <c r="H233" s="317">
        <f>F233-G233</f>
        <v/>
      </c>
      <c r="I233" s="161" t="n"/>
      <c r="J233" s="161" t="n"/>
      <c r="K233" s="161" t="n"/>
      <c r="L233" s="161" t="n"/>
      <c r="M233" s="161" t="n"/>
    </row>
    <row r="234">
      <c r="A234" s="427" t="n"/>
      <c r="B234" s="428" t="n"/>
      <c r="C234" s="318" t="inlineStr">
        <is>
          <t>12*12</t>
        </is>
      </c>
      <c r="D234" s="106" t="n">
        <v>15</v>
      </c>
      <c r="E234" s="318" t="n">
        <v>40</v>
      </c>
      <c r="F234" s="318" t="n">
        <v>4000</v>
      </c>
      <c r="G234" s="318" t="n"/>
      <c r="H234" s="317">
        <f>F234-G234</f>
        <v/>
      </c>
      <c r="I234" s="161" t="n"/>
      <c r="J234" s="161" t="n"/>
      <c r="K234" s="161" t="n"/>
      <c r="L234" s="161" t="n"/>
      <c r="M234" s="161" t="n"/>
    </row>
    <row r="235" ht="15.75" customHeight="1" thickBot="1">
      <c r="A235" s="429" t="n"/>
      <c r="B235" s="302" t="inlineStr">
        <is>
          <t>Diamond Leaf</t>
        </is>
      </c>
      <c r="C235" s="302" t="inlineStr">
        <is>
          <t>10*20</t>
        </is>
      </c>
      <c r="D235" s="107" t="n">
        <v>28.35</v>
      </c>
      <c r="E235" s="302" t="n">
        <v>24</v>
      </c>
      <c r="F235" s="318">
        <f>480+3312</f>
        <v/>
      </c>
      <c r="G235" s="318" t="n"/>
      <c r="H235" s="305">
        <f>F235-G235</f>
        <v/>
      </c>
      <c r="I235" s="161" t="n"/>
      <c r="J235" s="161" t="n"/>
      <c r="K235" s="161" t="n"/>
      <c r="L235" s="161" t="n"/>
      <c r="M235" s="161" t="n"/>
    </row>
    <row r="236" ht="16.5" customHeight="1" thickBot="1" thickTop="1">
      <c r="A236" s="387" t="inlineStr">
        <is>
          <t>Lt. Sapphire</t>
        </is>
      </c>
      <c r="B236" s="305" t="inlineStr">
        <is>
          <t>RIVOLI</t>
        </is>
      </c>
      <c r="C236" s="305" t="inlineStr">
        <is>
          <t>12*12</t>
        </is>
      </c>
      <c r="D236" s="124" t="n">
        <v>20</v>
      </c>
      <c r="E236" s="305" t="n">
        <v>40</v>
      </c>
      <c r="F236" s="304" t="n">
        <v>119</v>
      </c>
      <c r="G236" s="304" t="n"/>
      <c r="H236" s="304">
        <f>F236-G236</f>
        <v/>
      </c>
      <c r="I236" s="161" t="n"/>
      <c r="J236" s="161" t="n"/>
      <c r="K236" s="161" t="n"/>
      <c r="L236" s="161" t="n"/>
      <c r="M236" s="161" t="n"/>
    </row>
    <row r="237" ht="16.5" customHeight="1" thickBot="1" thickTop="1">
      <c r="A237" s="235" t="inlineStr">
        <is>
          <t>Lt. Sapphire AB</t>
        </is>
      </c>
      <c r="B237" s="31" t="inlineStr">
        <is>
          <t>RIVOLI</t>
        </is>
      </c>
      <c r="C237" s="31" t="inlineStr">
        <is>
          <t>12*12</t>
        </is>
      </c>
      <c r="D237" s="110" t="n">
        <v>30</v>
      </c>
      <c r="E237" s="31" t="n">
        <v>40</v>
      </c>
      <c r="F237" s="31" t="n">
        <v>75</v>
      </c>
      <c r="G237" s="31" t="n"/>
      <c r="H237" s="31">
        <f>F237-G237</f>
        <v/>
      </c>
      <c r="I237" s="161" t="n"/>
      <c r="J237" s="161" t="n"/>
      <c r="K237" s="161" t="n"/>
      <c r="L237" s="161" t="n"/>
      <c r="M237" s="161" t="n"/>
    </row>
    <row r="238" ht="15.75" customHeight="1" thickTop="1">
      <c r="A238" s="351" t="inlineStr">
        <is>
          <t>SAPPHIRE</t>
        </is>
      </c>
      <c r="B238" s="311" t="inlineStr">
        <is>
          <t>DROP</t>
        </is>
      </c>
      <c r="C238" s="308" t="inlineStr">
        <is>
          <t>7*12</t>
        </is>
      </c>
      <c r="D238" s="120" t="n">
        <v>16.670745</v>
      </c>
      <c r="E238" s="308" t="n">
        <v>72</v>
      </c>
      <c r="F238" s="308" t="n">
        <v>405</v>
      </c>
      <c r="G238" s="308" t="n"/>
      <c r="H238" s="311">
        <f>F238-G238</f>
        <v/>
      </c>
      <c r="I238" s="161" t="n"/>
      <c r="J238" s="161" t="n"/>
      <c r="K238" s="161" t="n"/>
      <c r="L238" s="161" t="n"/>
      <c r="M238" s="161" t="n"/>
    </row>
    <row r="239">
      <c r="A239" s="427" t="n"/>
      <c r="B239" s="427" t="n"/>
      <c r="C239" s="301" t="inlineStr">
        <is>
          <t>10*14</t>
        </is>
      </c>
      <c r="D239" s="105" t="n">
        <v>12.6</v>
      </c>
      <c r="E239" s="301" t="n">
        <v>36</v>
      </c>
      <c r="F239" s="301">
        <f>580+36+36</f>
        <v/>
      </c>
      <c r="G239" s="301" t="n"/>
      <c r="H239" s="312">
        <f>F239-G239</f>
        <v/>
      </c>
      <c r="I239" s="161" t="n"/>
      <c r="J239" s="161" t="n"/>
      <c r="K239" s="161" t="n"/>
      <c r="L239" s="161" t="n"/>
      <c r="M239" s="161" t="n"/>
    </row>
    <row r="240">
      <c r="A240" s="427" t="n"/>
      <c r="B240" s="427" t="n"/>
      <c r="C240" s="312" t="inlineStr">
        <is>
          <t>11*18</t>
        </is>
      </c>
      <c r="D240" s="113" t="n">
        <v>23.46253</v>
      </c>
      <c r="E240" s="312" t="n">
        <v>24</v>
      </c>
      <c r="F240" s="312">
        <f>151+95</f>
        <v/>
      </c>
      <c r="G240" s="312" t="n"/>
      <c r="H240" s="312">
        <f>F240-G240</f>
        <v/>
      </c>
      <c r="I240" s="161" t="n"/>
      <c r="J240" s="161" t="n"/>
      <c r="K240" s="161" t="n"/>
      <c r="L240" s="161" t="n"/>
      <c r="M240" s="161" t="n"/>
    </row>
    <row r="241">
      <c r="A241" s="427" t="n"/>
      <c r="B241" s="427" t="n"/>
      <c r="C241" s="312" t="inlineStr">
        <is>
          <t>13*22</t>
        </is>
      </c>
      <c r="D241" s="113" t="n">
        <v>46.92506</v>
      </c>
      <c r="E241" s="312" t="n">
        <v>24</v>
      </c>
      <c r="F241" s="312" t="n">
        <v>6</v>
      </c>
      <c r="G241" s="312" t="n"/>
      <c r="H241" s="312">
        <f>F241-G241</f>
        <v/>
      </c>
      <c r="I241" s="161" t="n"/>
      <c r="J241" s="161" t="n"/>
      <c r="K241" s="161" t="n"/>
      <c r="L241" s="161" t="n"/>
      <c r="M241" s="161" t="n"/>
    </row>
    <row r="242">
      <c r="A242" s="427" t="n"/>
      <c r="B242" s="428" t="n"/>
      <c r="C242" s="312" t="inlineStr">
        <is>
          <t>17*28</t>
        </is>
      </c>
      <c r="D242" s="113" t="n">
        <v>58.656325</v>
      </c>
      <c r="E242" s="312" t="n">
        <v>12</v>
      </c>
      <c r="F242" s="312" t="n">
        <v>27</v>
      </c>
      <c r="G242" s="312" t="n"/>
      <c r="H242" s="312">
        <f>F242-G242</f>
        <v/>
      </c>
      <c r="I242" s="161" t="n"/>
      <c r="J242" s="161" t="n"/>
      <c r="K242" s="161" t="n"/>
      <c r="L242" s="161" t="n"/>
      <c r="M242" s="161" t="n"/>
    </row>
    <row r="243">
      <c r="A243" s="427" t="n"/>
      <c r="B243" s="312" t="inlineStr">
        <is>
          <t>NAVETTE</t>
        </is>
      </c>
      <c r="C243" s="312" t="inlineStr">
        <is>
          <t>7*15</t>
        </is>
      </c>
      <c r="D243" s="113" t="n">
        <v>20.375355</v>
      </c>
      <c r="E243" s="312" t="n">
        <v>63</v>
      </c>
      <c r="F243" s="312" t="n">
        <v>1512</v>
      </c>
      <c r="G243" s="312" t="n"/>
      <c r="H243" s="312">
        <f>F243-G243</f>
        <v/>
      </c>
      <c r="I243" s="161" t="n"/>
      <c r="J243" s="161" t="n"/>
      <c r="K243" s="161" t="n"/>
      <c r="L243" s="161" t="n"/>
      <c r="M243" s="161" t="n"/>
    </row>
    <row r="244">
      <c r="A244" s="427" t="n"/>
      <c r="B244" s="428" t="n"/>
      <c r="C244" s="318" t="inlineStr">
        <is>
          <t>9*18</t>
        </is>
      </c>
      <c r="D244" s="106" t="n">
        <v>14.7</v>
      </c>
      <c r="E244" s="318" t="n">
        <v>36</v>
      </c>
      <c r="F244" s="318">
        <f>504+1002</f>
        <v/>
      </c>
      <c r="G244" s="318" t="n"/>
      <c r="H244" s="312">
        <f>F244-G244</f>
        <v/>
      </c>
      <c r="I244" s="161" t="n"/>
      <c r="J244" s="161" t="n"/>
      <c r="K244" s="161" t="n"/>
      <c r="L244" s="161" t="n"/>
      <c r="M244" s="161" t="n"/>
    </row>
    <row r="245">
      <c r="A245" s="427" t="n"/>
      <c r="B245" s="312" t="inlineStr">
        <is>
          <t>RIVOLI</t>
        </is>
      </c>
      <c r="C245" s="312" t="inlineStr">
        <is>
          <t>10*10</t>
        </is>
      </c>
      <c r="D245" s="113" t="n">
        <v>16.670745</v>
      </c>
      <c r="E245" s="312" t="n">
        <v>45</v>
      </c>
      <c r="F245" s="312">
        <f>225+585+180</f>
        <v/>
      </c>
      <c r="G245" s="312" t="n">
        <v>45</v>
      </c>
      <c r="H245" s="312">
        <f>F245-G245</f>
        <v/>
      </c>
      <c r="I245" s="161" t="n"/>
      <c r="J245" s="161" t="n"/>
      <c r="K245" s="161" t="n"/>
      <c r="L245" s="161" t="n"/>
      <c r="M245" s="161" t="n"/>
    </row>
    <row r="246">
      <c r="A246" s="427" t="n"/>
      <c r="B246" s="427" t="n"/>
      <c r="C246" s="312" t="inlineStr">
        <is>
          <t>12*12</t>
        </is>
      </c>
      <c r="D246" s="113" t="n">
        <v>20.375355</v>
      </c>
      <c r="E246" s="312" t="n">
        <v>40</v>
      </c>
      <c r="F246" s="312">
        <f>239+154</f>
        <v/>
      </c>
      <c r="G246" s="312" t="n">
        <v>40</v>
      </c>
      <c r="H246" s="312">
        <f>F246-G246</f>
        <v/>
      </c>
      <c r="I246" s="161" t="n"/>
      <c r="J246" s="161" t="n"/>
      <c r="K246" s="161" t="n"/>
      <c r="L246" s="161" t="n"/>
      <c r="M246" s="161" t="n"/>
    </row>
    <row r="247">
      <c r="A247" s="427" t="n"/>
      <c r="B247" s="428" t="n"/>
      <c r="C247" s="312" t="inlineStr">
        <is>
          <t>14*14</t>
        </is>
      </c>
      <c r="D247" s="113" t="n">
        <v>23.46253</v>
      </c>
      <c r="E247" s="312" t="n">
        <v>28</v>
      </c>
      <c r="F247" s="312">
        <f>168+140</f>
        <v/>
      </c>
      <c r="G247" s="312" t="n"/>
      <c r="H247" s="312">
        <f>F247-G247</f>
        <v/>
      </c>
      <c r="I247" s="161" t="n"/>
      <c r="J247" s="161" t="n"/>
      <c r="K247" s="161" t="n"/>
      <c r="L247" s="161" t="n"/>
      <c r="M247" s="161" t="n"/>
    </row>
    <row r="248">
      <c r="A248" s="427" t="n"/>
      <c r="B248" s="360" t="inlineStr">
        <is>
          <t>COSMIC</t>
        </is>
      </c>
      <c r="C248" s="312" t="inlineStr">
        <is>
          <t>9*12</t>
        </is>
      </c>
      <c r="D248" s="113" t="n">
        <v>18.52305</v>
      </c>
      <c r="E248" s="312" t="n">
        <v>48</v>
      </c>
      <c r="F248" s="312">
        <f>288+48+672</f>
        <v/>
      </c>
      <c r="G248" s="312" t="n">
        <v>48</v>
      </c>
      <c r="H248" s="312">
        <f>F248-G248</f>
        <v/>
      </c>
      <c r="I248" s="161" t="n"/>
      <c r="J248" s="161" t="n"/>
      <c r="K248" s="161" t="n"/>
      <c r="L248" s="161" t="n"/>
      <c r="M248" s="161" t="n"/>
    </row>
    <row r="249">
      <c r="A249" s="427" t="n"/>
      <c r="B249" s="427" t="n"/>
      <c r="C249" s="312" t="inlineStr">
        <is>
          <t>10*14</t>
        </is>
      </c>
      <c r="D249" s="113" t="n">
        <v>23</v>
      </c>
      <c r="E249" s="312" t="n">
        <v>28</v>
      </c>
      <c r="F249" s="312" t="n">
        <v>420</v>
      </c>
      <c r="G249" s="312" t="n">
        <v>28</v>
      </c>
      <c r="H249" s="312">
        <f>F249-G249</f>
        <v/>
      </c>
      <c r="I249" s="161" t="n"/>
      <c r="J249" s="161" t="n"/>
      <c r="K249" s="161" t="n"/>
      <c r="L249" s="161" t="n"/>
      <c r="M249" s="161" t="n"/>
    </row>
    <row r="250">
      <c r="A250" s="427" t="n"/>
      <c r="B250" s="427" t="n"/>
      <c r="C250" s="312" t="inlineStr">
        <is>
          <t>13*17</t>
        </is>
      </c>
      <c r="D250" s="113" t="n">
        <v>46.92506</v>
      </c>
      <c r="E250" s="312" t="n">
        <v>24</v>
      </c>
      <c r="F250" s="312" t="n">
        <v>144</v>
      </c>
      <c r="G250" s="312" t="n">
        <v>24</v>
      </c>
      <c r="H250" s="312">
        <f>F250-G250</f>
        <v/>
      </c>
      <c r="I250" s="161" t="n"/>
      <c r="J250" s="161" t="n"/>
      <c r="K250" s="161" t="n"/>
      <c r="L250" s="161" t="n"/>
      <c r="M250" s="161" t="n"/>
    </row>
    <row r="251">
      <c r="A251" s="427" t="n"/>
      <c r="B251" s="312" t="inlineStr">
        <is>
          <t>GALACTIC</t>
        </is>
      </c>
      <c r="C251" s="312" t="inlineStr">
        <is>
          <t>9*14</t>
        </is>
      </c>
      <c r="D251" s="113" t="n">
        <v>20.375355</v>
      </c>
      <c r="E251" s="312" t="n">
        <v>48</v>
      </c>
      <c r="F251" s="312">
        <f>1152+316+1200</f>
        <v/>
      </c>
      <c r="G251" s="312" t="n">
        <v>48</v>
      </c>
      <c r="H251" s="312">
        <f>F251-G251</f>
        <v/>
      </c>
      <c r="I251" s="161" t="n"/>
      <c r="J251" s="161" t="n"/>
      <c r="K251" s="161" t="n"/>
      <c r="L251" s="161" t="n"/>
      <c r="M251" s="161" t="n"/>
    </row>
    <row r="252">
      <c r="A252" s="427" t="n"/>
      <c r="B252" s="428" t="n"/>
      <c r="C252" s="312" t="inlineStr">
        <is>
          <t>12*19</t>
        </is>
      </c>
      <c r="D252" s="113" t="n">
        <v>28</v>
      </c>
      <c r="E252" s="312" t="n">
        <v>24</v>
      </c>
      <c r="F252" s="312">
        <f>504+672+31</f>
        <v/>
      </c>
      <c r="G252" s="312" t="n">
        <v>24</v>
      </c>
      <c r="H252" s="312">
        <f>F252-G252</f>
        <v/>
      </c>
      <c r="I252" s="161" t="n"/>
      <c r="J252" s="161" t="n"/>
      <c r="K252" s="161" t="n"/>
      <c r="L252" s="161" t="n"/>
      <c r="M252" s="161" t="n"/>
    </row>
    <row r="253" ht="30" customHeight="1">
      <c r="A253" s="427" t="n"/>
      <c r="B253" s="312" t="inlineStr">
        <is>
          <t>COSMIC BAGUETTE</t>
        </is>
      </c>
      <c r="C253" s="312" t="inlineStr">
        <is>
          <t>6*18</t>
        </is>
      </c>
      <c r="D253" s="113" t="n">
        <v>26.68575</v>
      </c>
      <c r="E253" s="312" t="n">
        <v>42</v>
      </c>
      <c r="F253" s="312">
        <f>210+42</f>
        <v/>
      </c>
      <c r="G253" s="312" t="n"/>
      <c r="H253" s="312">
        <f>F253-G253</f>
        <v/>
      </c>
      <c r="I253" s="161" t="n"/>
      <c r="J253" s="161" t="n"/>
      <c r="K253" s="161" t="n"/>
      <c r="L253" s="161" t="n"/>
      <c r="M253" s="161" t="n"/>
    </row>
    <row r="254">
      <c r="A254" s="427" t="n"/>
      <c r="B254" s="301" t="inlineStr">
        <is>
          <t>Trilliant</t>
        </is>
      </c>
      <c r="C254" s="301" t="inlineStr">
        <is>
          <t>12*12</t>
        </is>
      </c>
      <c r="D254" s="105" t="n">
        <v>14.7</v>
      </c>
      <c r="E254" s="301" t="n">
        <v>28</v>
      </c>
      <c r="F254" s="301">
        <f>344+28</f>
        <v/>
      </c>
      <c r="G254" s="301" t="n">
        <v>28</v>
      </c>
      <c r="H254" s="312">
        <f>F254-G254</f>
        <v/>
      </c>
      <c r="I254" s="161" t="n"/>
      <c r="J254" s="161" t="n"/>
      <c r="K254" s="161" t="n"/>
      <c r="L254" s="161" t="n"/>
      <c r="M254" s="161" t="n"/>
    </row>
    <row r="255">
      <c r="A255" s="427" t="n"/>
      <c r="B255" s="428" t="n"/>
      <c r="C255" s="317" t="inlineStr">
        <is>
          <t>16*16</t>
        </is>
      </c>
      <c r="D255" s="109" t="n">
        <v>26</v>
      </c>
      <c r="E255" s="317" t="n">
        <v>18</v>
      </c>
      <c r="F255" s="317">
        <f>18+18+34</f>
        <v/>
      </c>
      <c r="G255" s="317" t="n">
        <v>18</v>
      </c>
      <c r="H255" s="312">
        <f>F255-G255</f>
        <v/>
      </c>
      <c r="I255" s="161" t="n"/>
      <c r="J255" s="161" t="n"/>
      <c r="K255" s="161" t="n"/>
      <c r="L255" s="161" t="n"/>
      <c r="M255" s="161" t="n"/>
    </row>
    <row r="256">
      <c r="A256" s="427" t="n"/>
      <c r="B256" s="361" t="inlineStr">
        <is>
          <t>XIRIUS</t>
        </is>
      </c>
      <c r="C256" s="361" t="inlineStr">
        <is>
          <t>8*8</t>
        </is>
      </c>
      <c r="D256" s="122" t="n">
        <v>16.670745</v>
      </c>
      <c r="E256" s="361" t="n">
        <v>84</v>
      </c>
      <c r="F256" s="361" t="n">
        <v>1975</v>
      </c>
      <c r="G256" s="361" t="n"/>
      <c r="H256" s="312">
        <f>F256-G256</f>
        <v/>
      </c>
      <c r="I256" s="161" t="n"/>
      <c r="J256" s="161" t="n"/>
      <c r="K256" s="161" t="n"/>
      <c r="L256" s="161" t="n"/>
      <c r="M256" s="161" t="n"/>
    </row>
    <row r="257">
      <c r="A257" s="427" t="n"/>
      <c r="B257" s="427" t="n"/>
      <c r="C257" s="312" t="inlineStr">
        <is>
          <t>10*10</t>
        </is>
      </c>
      <c r="D257" s="113" t="n">
        <v>20.375355</v>
      </c>
      <c r="E257" s="312" t="n">
        <v>45</v>
      </c>
      <c r="F257" s="312" t="n">
        <v>908</v>
      </c>
      <c r="G257" s="312" t="n"/>
      <c r="H257" s="312">
        <f>F257-G257</f>
        <v/>
      </c>
      <c r="I257" s="161" t="n"/>
      <c r="J257" s="161" t="n"/>
      <c r="K257" s="161" t="n"/>
      <c r="L257" s="161" t="n"/>
      <c r="M257" s="161" t="n"/>
    </row>
    <row r="258" ht="15.75" customHeight="1" thickBot="1">
      <c r="A258" s="428" t="n"/>
      <c r="B258" s="428" t="n"/>
      <c r="C258" s="313" t="inlineStr">
        <is>
          <t>12*12</t>
        </is>
      </c>
      <c r="D258" s="115" t="n">
        <v>23.46253</v>
      </c>
      <c r="E258" s="313" t="n">
        <v>40</v>
      </c>
      <c r="F258" s="313" t="n">
        <v>865</v>
      </c>
      <c r="G258" s="313" t="n"/>
      <c r="H258" s="313">
        <f>F258-G258</f>
        <v/>
      </c>
      <c r="I258" s="161" t="n"/>
      <c r="J258" s="161" t="n"/>
      <c r="K258" s="161" t="n"/>
      <c r="L258" s="161" t="n"/>
      <c r="M258" s="161" t="n"/>
    </row>
    <row r="259" ht="15.75" customHeight="1" thickTop="1">
      <c r="A259" s="237" t="inlineStr">
        <is>
          <t>SAPPHIRE AB</t>
        </is>
      </c>
      <c r="B259" s="311" t="inlineStr">
        <is>
          <t>GALACTIC</t>
        </is>
      </c>
      <c r="C259" s="311" t="inlineStr">
        <is>
          <t>12*19</t>
        </is>
      </c>
      <c r="D259" s="111" t="n">
        <v>59</v>
      </c>
      <c r="E259" s="311" t="n">
        <v>24</v>
      </c>
      <c r="F259" s="311" t="n">
        <v>168</v>
      </c>
      <c r="G259" s="311" t="n"/>
      <c r="H259" s="311">
        <f>F259-G259</f>
        <v/>
      </c>
      <c r="I259" s="161" t="n"/>
      <c r="J259" s="161" t="n"/>
      <c r="K259" s="161" t="n"/>
      <c r="L259" s="161" t="n"/>
      <c r="M259" s="161" t="n"/>
    </row>
    <row r="260" ht="15.75" customHeight="1" thickBot="1">
      <c r="A260" s="429" t="n"/>
      <c r="B260" s="313" t="inlineStr">
        <is>
          <t>RIVOLI</t>
        </is>
      </c>
      <c r="C260" s="313" t="inlineStr">
        <is>
          <t>12*12</t>
        </is>
      </c>
      <c r="D260" s="115" t="n">
        <v>30</v>
      </c>
      <c r="E260" s="313" t="n">
        <v>40</v>
      </c>
      <c r="F260" s="313">
        <f>160+57</f>
        <v/>
      </c>
      <c r="G260" s="313" t="n"/>
      <c r="H260" s="313">
        <f>F260-G260</f>
        <v/>
      </c>
      <c r="I260" s="161" t="n"/>
      <c r="J260" s="161" t="n"/>
      <c r="K260" s="161" t="n"/>
      <c r="L260" s="161" t="n"/>
      <c r="M260" s="161" t="n"/>
    </row>
    <row r="261" ht="15.75" customHeight="1" thickTop="1">
      <c r="A261" s="357" t="inlineStr">
        <is>
          <t>AQUAMARINE</t>
        </is>
      </c>
      <c r="B261" s="311" t="inlineStr">
        <is>
          <t>DROP</t>
        </is>
      </c>
      <c r="C261" s="311" t="inlineStr">
        <is>
          <t>7*12</t>
        </is>
      </c>
      <c r="D261" s="111" t="n">
        <v>16.670745</v>
      </c>
      <c r="E261" s="311" t="n">
        <v>72</v>
      </c>
      <c r="F261" s="311" t="n">
        <v>1728</v>
      </c>
      <c r="G261" s="311" t="n"/>
      <c r="H261" s="311">
        <f>F261-G261</f>
        <v/>
      </c>
      <c r="I261" s="161" t="n"/>
      <c r="J261" s="161" t="n"/>
      <c r="K261" s="161" t="n"/>
      <c r="L261" s="161" t="n"/>
      <c r="M261" s="161" t="n"/>
    </row>
    <row r="262">
      <c r="A262" s="427" t="n"/>
      <c r="B262" s="427" t="n"/>
      <c r="C262" s="301" t="inlineStr">
        <is>
          <t>10*14</t>
        </is>
      </c>
      <c r="D262" s="105" t="n">
        <v>12.6</v>
      </c>
      <c r="E262" s="301" t="n">
        <v>36</v>
      </c>
      <c r="F262" s="301" t="n">
        <v>251</v>
      </c>
      <c r="G262" s="361" t="n"/>
      <c r="H262" s="361">
        <f>F262-G262</f>
        <v/>
      </c>
      <c r="I262" s="161" t="n"/>
      <c r="J262" s="161" t="n"/>
      <c r="K262" s="161" t="n"/>
      <c r="L262" s="161" t="n"/>
      <c r="M262" s="161" t="n"/>
    </row>
    <row r="263">
      <c r="A263" s="427" t="n"/>
      <c r="B263" s="428" t="n"/>
      <c r="C263" s="312" t="inlineStr">
        <is>
          <t>11*18</t>
        </is>
      </c>
      <c r="D263" s="113" t="n">
        <v>23.46253</v>
      </c>
      <c r="E263" s="312" t="n">
        <v>24</v>
      </c>
      <c r="F263" s="312" t="n">
        <v>144</v>
      </c>
      <c r="G263" s="312" t="n"/>
      <c r="H263" s="361">
        <f>F263-G263</f>
        <v/>
      </c>
      <c r="I263" s="161" t="n"/>
      <c r="J263" s="161" t="n"/>
      <c r="K263" s="161" t="n"/>
      <c r="L263" s="161" t="n"/>
      <c r="M263" s="161" t="n"/>
    </row>
    <row r="264">
      <c r="A264" s="427" t="n"/>
      <c r="B264" s="312" t="inlineStr">
        <is>
          <t>NAVETTE</t>
        </is>
      </c>
      <c r="C264" s="312" t="inlineStr">
        <is>
          <t>7*15</t>
        </is>
      </c>
      <c r="D264" s="113" t="n">
        <v>20.375355</v>
      </c>
      <c r="E264" s="312" t="n">
        <v>63</v>
      </c>
      <c r="F264" s="312" t="n">
        <v>1197</v>
      </c>
      <c r="G264" s="312" t="n"/>
      <c r="H264" s="361">
        <f>F264-G264</f>
        <v/>
      </c>
      <c r="I264" s="161" t="n"/>
      <c r="J264" s="161" t="n"/>
      <c r="K264" s="161" t="n"/>
      <c r="L264" s="161" t="n"/>
      <c r="M264" s="161" t="n"/>
    </row>
    <row r="265">
      <c r="A265" s="427" t="n"/>
      <c r="B265" s="428" t="n"/>
      <c r="C265" s="317" t="inlineStr">
        <is>
          <t>9*18</t>
        </is>
      </c>
      <c r="D265" s="109" t="n">
        <v>14.7</v>
      </c>
      <c r="E265" s="317" t="n">
        <v>36</v>
      </c>
      <c r="F265" s="317" t="n">
        <v>72</v>
      </c>
      <c r="G265" s="317" t="n"/>
      <c r="H265" s="361">
        <f>F265-G265</f>
        <v/>
      </c>
      <c r="I265" s="161" t="n"/>
      <c r="J265" s="161" t="n"/>
      <c r="K265" s="161" t="n"/>
      <c r="L265" s="161" t="n"/>
      <c r="M265" s="161" t="n"/>
    </row>
    <row r="266">
      <c r="A266" s="427" t="n"/>
      <c r="B266" s="312" t="inlineStr">
        <is>
          <t>RIVOLI</t>
        </is>
      </c>
      <c r="C266" s="312" t="inlineStr">
        <is>
          <t>10*10</t>
        </is>
      </c>
      <c r="D266" s="113" t="n">
        <v>16.670745</v>
      </c>
      <c r="E266" s="312" t="n">
        <v>45</v>
      </c>
      <c r="F266" s="312" t="n">
        <v>1034</v>
      </c>
      <c r="G266" s="312" t="n"/>
      <c r="H266" s="361">
        <f>F266-G266</f>
        <v/>
      </c>
      <c r="I266" s="161" t="n"/>
      <c r="J266" s="161" t="n"/>
      <c r="K266" s="161" t="n"/>
      <c r="L266" s="161" t="n"/>
      <c r="M266" s="161" t="n"/>
    </row>
    <row r="267">
      <c r="A267" s="427" t="n"/>
      <c r="B267" s="427" t="n"/>
      <c r="C267" s="312" t="inlineStr">
        <is>
          <t>12*12</t>
        </is>
      </c>
      <c r="D267" s="113" t="n">
        <v>20.375355</v>
      </c>
      <c r="E267" s="312" t="n">
        <v>40</v>
      </c>
      <c r="F267" s="312" t="n">
        <v>940</v>
      </c>
      <c r="G267" s="312" t="n"/>
      <c r="H267" s="361">
        <f>F267-G267</f>
        <v/>
      </c>
      <c r="I267" s="161" t="n"/>
      <c r="J267" s="161" t="n"/>
      <c r="K267" s="161" t="n"/>
      <c r="L267" s="161" t="n"/>
      <c r="M267" s="161" t="n"/>
    </row>
    <row r="268">
      <c r="A268" s="427" t="n"/>
      <c r="B268" s="428" t="n"/>
      <c r="C268" s="312" t="inlineStr">
        <is>
          <t>14*14</t>
        </is>
      </c>
      <c r="D268" s="113" t="n">
        <v>23.46253</v>
      </c>
      <c r="E268" s="312" t="n">
        <v>28</v>
      </c>
      <c r="F268" s="312" t="n">
        <v>476</v>
      </c>
      <c r="G268" s="312" t="n"/>
      <c r="H268" s="361">
        <f>F268-G268</f>
        <v/>
      </c>
      <c r="I268" s="161" t="n"/>
      <c r="J268" s="161" t="n"/>
      <c r="K268" s="161" t="n"/>
      <c r="L268" s="161" t="n"/>
      <c r="M268" s="161" t="n"/>
    </row>
    <row r="269">
      <c r="A269" s="427" t="n"/>
      <c r="B269" s="312" t="inlineStr">
        <is>
          <t>COSMIC</t>
        </is>
      </c>
      <c r="C269" s="312" t="inlineStr">
        <is>
          <t>9*12</t>
        </is>
      </c>
      <c r="D269" s="113" t="n">
        <v>18.52305</v>
      </c>
      <c r="E269" s="312" t="n">
        <v>48</v>
      </c>
      <c r="F269" s="312" t="n">
        <v>1008</v>
      </c>
      <c r="G269" s="312" t="n"/>
      <c r="H269" s="361">
        <f>F269-G269</f>
        <v/>
      </c>
      <c r="I269" s="161" t="n"/>
      <c r="J269" s="161" t="n"/>
      <c r="K269" s="161" t="n"/>
      <c r="L269" s="161" t="n"/>
      <c r="M269" s="161" t="n"/>
    </row>
    <row r="270">
      <c r="A270" s="427" t="n"/>
      <c r="B270" s="312" t="inlineStr">
        <is>
          <t>GALACTIC</t>
        </is>
      </c>
      <c r="C270" s="301" t="inlineStr">
        <is>
          <t>7*12</t>
        </is>
      </c>
      <c r="D270" s="105" t="n">
        <v>10.5</v>
      </c>
      <c r="E270" s="301" t="n">
        <v>72</v>
      </c>
      <c r="F270" s="301" t="n">
        <v>2592</v>
      </c>
      <c r="G270" s="301" t="n"/>
      <c r="H270" s="361">
        <f>F270-G270</f>
        <v/>
      </c>
      <c r="I270" s="161" t="n"/>
      <c r="J270" s="161" t="n"/>
      <c r="K270" s="161" t="n"/>
      <c r="L270" s="161" t="n"/>
      <c r="M270" s="161" t="n"/>
    </row>
    <row r="271">
      <c r="A271" s="427" t="n"/>
      <c r="B271" s="427" t="n"/>
      <c r="C271" s="312" t="inlineStr">
        <is>
          <t>9*14</t>
        </is>
      </c>
      <c r="D271" s="113" t="n">
        <v>20.375355</v>
      </c>
      <c r="E271" s="312" t="n">
        <v>48</v>
      </c>
      <c r="F271" s="312" t="n">
        <v>588</v>
      </c>
      <c r="G271" s="312" t="n"/>
      <c r="H271" s="361">
        <f>F271-G271</f>
        <v/>
      </c>
      <c r="I271" s="161" t="n"/>
      <c r="J271" s="161" t="n"/>
      <c r="K271" s="161" t="n"/>
      <c r="L271" s="161" t="n"/>
      <c r="M271" s="161" t="n"/>
    </row>
    <row r="272" ht="13.5" customHeight="1">
      <c r="A272" s="427" t="n"/>
      <c r="B272" s="428" t="n"/>
      <c r="C272" s="312" t="inlineStr">
        <is>
          <t>12*19</t>
        </is>
      </c>
      <c r="D272" s="113" t="n">
        <v>46.92506</v>
      </c>
      <c r="E272" s="312" t="n">
        <v>24</v>
      </c>
      <c r="F272" s="312" t="n">
        <v>24</v>
      </c>
      <c r="G272" s="312" t="n"/>
      <c r="H272" s="361">
        <f>F272-G272</f>
        <v/>
      </c>
      <c r="I272" s="161" t="n"/>
      <c r="J272" s="161" t="n"/>
      <c r="K272" s="161" t="n"/>
      <c r="L272" s="161" t="n"/>
      <c r="M272" s="161" t="n"/>
    </row>
    <row r="273" ht="30" customHeight="1">
      <c r="A273" s="427" t="n"/>
      <c r="B273" s="360" t="inlineStr">
        <is>
          <t>COSMIC BAGUETTE</t>
        </is>
      </c>
      <c r="C273" s="312" t="inlineStr">
        <is>
          <t>6*18</t>
        </is>
      </c>
      <c r="D273" s="113" t="n">
        <v>26.68575</v>
      </c>
      <c r="E273" s="312" t="n">
        <v>42</v>
      </c>
      <c r="F273" s="312" t="n">
        <v>336</v>
      </c>
      <c r="G273" s="312" t="n"/>
      <c r="H273" s="361">
        <f>F273-G273</f>
        <v/>
      </c>
      <c r="I273" s="161" t="n"/>
      <c r="J273" s="161" t="n"/>
      <c r="K273" s="161" t="n"/>
      <c r="L273" s="161" t="n"/>
      <c r="M273" s="161" t="n"/>
    </row>
    <row r="274">
      <c r="A274" s="427" t="n"/>
      <c r="B274" s="301" t="inlineStr">
        <is>
          <t>Trilliant</t>
        </is>
      </c>
      <c r="C274" s="318" t="inlineStr">
        <is>
          <t>12*12</t>
        </is>
      </c>
      <c r="D274" s="106" t="n">
        <v>14.7</v>
      </c>
      <c r="E274" s="318" t="n">
        <v>28</v>
      </c>
      <c r="F274" s="318" t="n">
        <v>504</v>
      </c>
      <c r="G274" s="318" t="n"/>
      <c r="H274" s="361">
        <f>F274-G274</f>
        <v/>
      </c>
      <c r="I274" s="161" t="n"/>
      <c r="J274" s="161" t="n"/>
      <c r="K274" s="161" t="n"/>
      <c r="L274" s="161" t="n"/>
      <c r="M274" s="161" t="n"/>
    </row>
    <row r="275">
      <c r="A275" s="427" t="n"/>
      <c r="B275" s="428" t="n"/>
      <c r="C275" s="318" t="inlineStr">
        <is>
          <t>16*16</t>
        </is>
      </c>
      <c r="D275" s="106" t="n">
        <v>26</v>
      </c>
      <c r="E275" s="318" t="n">
        <v>18</v>
      </c>
      <c r="F275" s="318" t="n">
        <v>36</v>
      </c>
      <c r="G275" s="318" t="n"/>
      <c r="H275" s="361">
        <f>F275-G275</f>
        <v/>
      </c>
      <c r="I275" s="161" t="n"/>
      <c r="J275" s="161" t="n"/>
      <c r="K275" s="161" t="n"/>
      <c r="L275" s="161" t="n"/>
      <c r="M275" s="161" t="n"/>
    </row>
    <row r="276">
      <c r="A276" s="427" t="n"/>
      <c r="B276" s="318" t="inlineStr">
        <is>
          <t>Diamond Leaf</t>
        </is>
      </c>
      <c r="C276" s="318" t="inlineStr">
        <is>
          <t>10*20</t>
        </is>
      </c>
      <c r="D276" s="106" t="n">
        <v>33</v>
      </c>
      <c r="E276" s="318" t="n">
        <v>24</v>
      </c>
      <c r="F276" s="318" t="n">
        <v>240</v>
      </c>
      <c r="G276" s="318" t="n"/>
      <c r="H276" s="361">
        <f>F276-G276</f>
        <v/>
      </c>
      <c r="I276" s="161" t="n"/>
      <c r="J276" s="161" t="n"/>
      <c r="K276" s="161" t="n"/>
      <c r="L276" s="161" t="n"/>
      <c r="M276" s="161" t="n"/>
    </row>
    <row r="277" ht="14.25" customHeight="1">
      <c r="A277" s="427" t="n"/>
      <c r="B277" s="312" t="inlineStr">
        <is>
          <t>XIRIUS</t>
        </is>
      </c>
      <c r="C277" s="312" t="inlineStr">
        <is>
          <t>8*8</t>
        </is>
      </c>
      <c r="D277" s="113" t="n">
        <v>16.670745</v>
      </c>
      <c r="E277" s="312" t="n">
        <v>84</v>
      </c>
      <c r="F277" s="312" t="n">
        <v>2016</v>
      </c>
      <c r="G277" s="312" t="n"/>
      <c r="H277" s="361">
        <f>F277-G277</f>
        <v/>
      </c>
      <c r="I277" s="161" t="n"/>
      <c r="J277" s="161" t="n"/>
      <c r="K277" s="161" t="n"/>
      <c r="L277" s="161" t="n"/>
      <c r="M277" s="161" t="n"/>
    </row>
    <row r="278">
      <c r="A278" s="427" t="n"/>
      <c r="B278" s="427" t="n"/>
      <c r="C278" s="312" t="inlineStr">
        <is>
          <t>10*10</t>
        </is>
      </c>
      <c r="D278" s="113" t="n">
        <v>20.375355</v>
      </c>
      <c r="E278" s="312" t="n">
        <v>45</v>
      </c>
      <c r="F278" s="312" t="n">
        <v>945</v>
      </c>
      <c r="G278" s="312" t="n"/>
      <c r="H278" s="361">
        <f>F278-G278</f>
        <v/>
      </c>
      <c r="I278" s="161" t="n"/>
      <c r="J278" s="161" t="n"/>
      <c r="K278" s="161" t="n"/>
      <c r="L278" s="161" t="n"/>
      <c r="M278" s="161" t="n"/>
    </row>
    <row r="279" ht="15.75" customHeight="1" thickBot="1">
      <c r="A279" s="427" t="n"/>
      <c r="B279" s="428" t="n"/>
      <c r="C279" s="360" t="inlineStr">
        <is>
          <t>12*12</t>
        </is>
      </c>
      <c r="D279" s="117" t="n">
        <v>23.46253</v>
      </c>
      <c r="E279" s="360" t="n">
        <v>40</v>
      </c>
      <c r="F279" s="360" t="n">
        <v>480</v>
      </c>
      <c r="G279" s="360" t="n"/>
      <c r="H279" s="309">
        <f>F279-G279</f>
        <v/>
      </c>
      <c r="I279" s="161" t="n"/>
      <c r="J279" s="161" t="n"/>
      <c r="K279" s="161" t="n"/>
      <c r="L279" s="161" t="n"/>
      <c r="M279" s="161" t="n"/>
    </row>
    <row r="280" ht="16.5" customHeight="1" thickBot="1" thickTop="1">
      <c r="A280" s="237" t="inlineStr">
        <is>
          <t>AQUAMARINE AB</t>
        </is>
      </c>
      <c r="B280" s="36" t="inlineStr">
        <is>
          <t xml:space="preserve">Rivoli </t>
        </is>
      </c>
      <c r="C280" s="36" t="inlineStr">
        <is>
          <t>12*12</t>
        </is>
      </c>
      <c r="D280" s="130" t="n">
        <v>30</v>
      </c>
      <c r="E280" s="36" t="n">
        <v>40</v>
      </c>
      <c r="F280" s="36" t="n">
        <v>140</v>
      </c>
      <c r="G280" s="36" t="n"/>
      <c r="H280" s="36">
        <f>F280-G280</f>
        <v/>
      </c>
      <c r="I280" s="161" t="n"/>
      <c r="J280" s="161" t="n"/>
      <c r="K280" s="161" t="n"/>
      <c r="L280" s="161" t="n"/>
      <c r="M280" s="161" t="n"/>
    </row>
    <row r="281" ht="16.5" customHeight="1" thickBot="1" thickTop="1">
      <c r="A281" s="237" t="inlineStr">
        <is>
          <t>BLUE ZIRCON</t>
        </is>
      </c>
      <c r="B281" s="36" t="inlineStr">
        <is>
          <t xml:space="preserve">Rivoli </t>
        </is>
      </c>
      <c r="C281" s="36" t="inlineStr">
        <is>
          <t>12*12</t>
        </is>
      </c>
      <c r="D281" s="130" t="n">
        <v>20</v>
      </c>
      <c r="E281" s="36" t="n">
        <v>40</v>
      </c>
      <c r="F281" s="36" t="n">
        <v>144</v>
      </c>
      <c r="G281" s="36" t="n"/>
      <c r="H281" s="36">
        <f>F281-G281</f>
        <v/>
      </c>
      <c r="I281" s="161" t="n"/>
      <c r="J281" s="161" t="n"/>
      <c r="K281" s="161" t="n"/>
      <c r="L281" s="161" t="n"/>
      <c r="M281" s="161" t="n"/>
    </row>
    <row r="282" ht="15.75" customHeight="1" thickTop="1">
      <c r="A282" s="237" t="inlineStr">
        <is>
          <t>BLUE ZIRCON AB</t>
        </is>
      </c>
      <c r="B282" s="308" t="inlineStr">
        <is>
          <t xml:space="preserve">Rivoli </t>
        </is>
      </c>
      <c r="C282" s="308" t="inlineStr">
        <is>
          <t>12*12</t>
        </is>
      </c>
      <c r="D282" s="120" t="n">
        <v>30</v>
      </c>
      <c r="E282" s="308" t="n">
        <v>40</v>
      </c>
      <c r="F282" s="308" t="n">
        <v>145</v>
      </c>
      <c r="G282" s="308" t="n"/>
      <c r="H282" s="308">
        <f>F282-G282</f>
        <v/>
      </c>
      <c r="I282" s="161" t="n"/>
      <c r="J282" s="161" t="n"/>
      <c r="K282" s="161" t="n"/>
      <c r="L282" s="161" t="n"/>
      <c r="M282" s="161" t="n"/>
    </row>
    <row r="283" ht="15.75" customHeight="1" thickBot="1">
      <c r="A283" s="429" t="n"/>
      <c r="B283" s="313" t="inlineStr">
        <is>
          <t>COSMIC</t>
        </is>
      </c>
      <c r="C283" s="313" t="inlineStr">
        <is>
          <t>13*17</t>
        </is>
      </c>
      <c r="D283" s="115" t="n">
        <v>47</v>
      </c>
      <c r="E283" s="313" t="n">
        <v>24</v>
      </c>
      <c r="F283" s="313" t="n">
        <v>144</v>
      </c>
      <c r="G283" s="313" t="n"/>
      <c r="H283" s="313">
        <f>F283-G283</f>
        <v/>
      </c>
      <c r="I283" s="161" t="n"/>
      <c r="J283" s="161" t="n"/>
      <c r="K283" s="161" t="n"/>
      <c r="L283" s="161" t="n"/>
      <c r="M283" s="161" t="n"/>
    </row>
    <row r="284" ht="15.75" customHeight="1" thickTop="1">
      <c r="A284" s="237" t="inlineStr">
        <is>
          <t>Dark Montana</t>
        </is>
      </c>
      <c r="B284" s="303" t="inlineStr">
        <is>
          <t>Drop</t>
        </is>
      </c>
      <c r="C284" s="303" t="inlineStr">
        <is>
          <t>7*12</t>
        </is>
      </c>
      <c r="D284" s="108" t="n">
        <v>10.5</v>
      </c>
      <c r="E284" s="303" t="n">
        <v>72</v>
      </c>
      <c r="F284" s="303">
        <f>1296+144</f>
        <v/>
      </c>
      <c r="G284" s="303" t="n"/>
      <c r="H284" s="303">
        <f>F284-G284</f>
        <v/>
      </c>
      <c r="I284" s="161" t="n"/>
      <c r="J284" s="161" t="n"/>
      <c r="K284" s="161" t="n"/>
      <c r="L284" s="161" t="n"/>
      <c r="M284" s="161" t="n"/>
    </row>
    <row r="285">
      <c r="A285" s="427" t="n"/>
      <c r="B285" s="427" t="n"/>
      <c r="C285" s="301" t="inlineStr">
        <is>
          <t>10*14</t>
        </is>
      </c>
      <c r="D285" s="105" t="n">
        <v>12.6</v>
      </c>
      <c r="E285" s="301" t="n">
        <v>36</v>
      </c>
      <c r="F285" s="301">
        <f>648+720+36</f>
        <v/>
      </c>
      <c r="G285" s="301" t="n"/>
      <c r="H285" s="301">
        <f>F285-G285</f>
        <v/>
      </c>
      <c r="I285" s="161" t="n"/>
      <c r="J285" s="161" t="n"/>
      <c r="K285" s="161" t="n"/>
      <c r="L285" s="161" t="n"/>
      <c r="M285" s="161" t="n"/>
    </row>
    <row r="286">
      <c r="A286" s="427" t="n"/>
      <c r="B286" s="427" t="n"/>
      <c r="C286" s="301" t="inlineStr">
        <is>
          <t>11*18</t>
        </is>
      </c>
      <c r="D286" s="105" t="n">
        <v>17</v>
      </c>
      <c r="E286" s="301" t="n">
        <v>24</v>
      </c>
      <c r="F286" s="301">
        <f>480+240+24+24</f>
        <v/>
      </c>
      <c r="G286" s="301" t="n"/>
      <c r="H286" s="301">
        <f>F286-G286</f>
        <v/>
      </c>
      <c r="I286" s="161" t="n"/>
      <c r="J286" s="161" t="n"/>
      <c r="K286" s="161" t="n"/>
      <c r="L286" s="161" t="n"/>
      <c r="M286" s="161" t="n"/>
    </row>
    <row r="287">
      <c r="A287" s="427" t="n"/>
      <c r="B287" s="427" t="n"/>
      <c r="C287" s="301" t="inlineStr">
        <is>
          <t>13*22</t>
        </is>
      </c>
      <c r="D287" s="105" t="n">
        <v>28.35</v>
      </c>
      <c r="E287" s="301" t="n">
        <v>24</v>
      </c>
      <c r="F287" s="301">
        <f>432+24+24</f>
        <v/>
      </c>
      <c r="G287" s="301" t="n"/>
      <c r="H287" s="301">
        <f>F287-G287</f>
        <v/>
      </c>
      <c r="I287" s="161" t="n"/>
      <c r="J287" s="161" t="n"/>
      <c r="K287" s="161" t="n"/>
      <c r="L287" s="161" t="n"/>
      <c r="M287" s="161" t="n"/>
    </row>
    <row r="288">
      <c r="A288" s="427" t="n"/>
      <c r="B288" s="428" t="n"/>
      <c r="C288" s="301" t="inlineStr">
        <is>
          <t>17*28</t>
        </is>
      </c>
      <c r="D288" s="105" t="n">
        <v>34.65</v>
      </c>
      <c r="E288" s="301" t="n">
        <v>12</v>
      </c>
      <c r="F288" s="301">
        <f>168+24</f>
        <v/>
      </c>
      <c r="G288" s="301" t="n"/>
      <c r="H288" s="301">
        <f>F288-G288</f>
        <v/>
      </c>
      <c r="I288" s="161" t="n"/>
      <c r="J288" s="161" t="n"/>
      <c r="K288" s="161" t="n"/>
      <c r="L288" s="161" t="n"/>
      <c r="M288" s="161" t="n"/>
    </row>
    <row r="289">
      <c r="A289" s="427" t="n"/>
      <c r="B289" s="301" t="inlineStr">
        <is>
          <t>Navette</t>
        </is>
      </c>
      <c r="C289" s="301" t="inlineStr">
        <is>
          <t>7*15</t>
        </is>
      </c>
      <c r="D289" s="105" t="n">
        <v>12.6</v>
      </c>
      <c r="E289" s="301" t="n">
        <v>63</v>
      </c>
      <c r="F289" s="301">
        <f>1416+63+126+63</f>
        <v/>
      </c>
      <c r="G289" s="301" t="n"/>
      <c r="H289" s="301">
        <f>F289-G289</f>
        <v/>
      </c>
      <c r="I289" s="161" t="n"/>
      <c r="J289" s="161" t="n"/>
      <c r="K289" s="161" t="n"/>
      <c r="L289" s="161" t="n"/>
      <c r="M289" s="161" t="n"/>
    </row>
    <row r="290">
      <c r="A290" s="427" t="n"/>
      <c r="B290" s="428" t="n"/>
      <c r="C290" s="301" t="inlineStr">
        <is>
          <t>9*18</t>
        </is>
      </c>
      <c r="D290" s="105" t="n">
        <v>14.7</v>
      </c>
      <c r="E290" s="301" t="n">
        <v>36</v>
      </c>
      <c r="F290" s="301">
        <f>576+36+36</f>
        <v/>
      </c>
      <c r="G290" s="301" t="n"/>
      <c r="H290" s="301">
        <f>F290-G290</f>
        <v/>
      </c>
      <c r="I290" s="161" t="n"/>
      <c r="J290" s="161" t="n"/>
      <c r="K290" s="161" t="n"/>
      <c r="L290" s="161" t="n"/>
      <c r="M290" s="161" t="n"/>
    </row>
    <row r="291">
      <c r="A291" s="427" t="n"/>
      <c r="B291" s="301" t="inlineStr">
        <is>
          <t xml:space="preserve">Rivoli </t>
        </is>
      </c>
      <c r="C291" s="301" t="inlineStr">
        <is>
          <t>10*10</t>
        </is>
      </c>
      <c r="D291" s="105" t="n">
        <v>10.5</v>
      </c>
      <c r="E291" s="301" t="n">
        <v>45</v>
      </c>
      <c r="F291" s="301">
        <f>94+45+45+45</f>
        <v/>
      </c>
      <c r="G291" s="301" t="n"/>
      <c r="H291" s="301">
        <f>F291-G291</f>
        <v/>
      </c>
      <c r="I291" s="161" t="n"/>
      <c r="J291" s="161" t="n"/>
      <c r="K291" s="161" t="n"/>
      <c r="L291" s="161" t="n"/>
      <c r="M291" s="161" t="n"/>
    </row>
    <row r="292">
      <c r="A292" s="427" t="n"/>
      <c r="B292" s="427" t="n"/>
      <c r="C292" s="301" t="inlineStr">
        <is>
          <t>12*12</t>
        </is>
      </c>
      <c r="D292" s="105" t="n">
        <v>12.6</v>
      </c>
      <c r="E292" s="301" t="n">
        <v>40</v>
      </c>
      <c r="F292" s="301">
        <f>480+40+80+111</f>
        <v/>
      </c>
      <c r="G292" s="301" t="n"/>
      <c r="H292" s="301">
        <f>F292-G292</f>
        <v/>
      </c>
      <c r="I292" s="161" t="n"/>
      <c r="J292" s="161" t="n"/>
      <c r="K292" s="161" t="n"/>
      <c r="L292" s="161" t="n"/>
      <c r="M292" s="161" t="n"/>
    </row>
    <row r="293">
      <c r="A293" s="427" t="n"/>
      <c r="B293" s="427" t="n"/>
      <c r="C293" s="301" t="inlineStr">
        <is>
          <t>14*14</t>
        </is>
      </c>
      <c r="D293" s="113" t="n">
        <v>23.46253</v>
      </c>
      <c r="E293" s="312" t="n">
        <v>28</v>
      </c>
      <c r="F293" s="301" t="n">
        <v>28</v>
      </c>
      <c r="G293" s="301" t="n"/>
      <c r="H293" s="301">
        <f>F293-G293</f>
        <v/>
      </c>
      <c r="I293" s="161" t="n"/>
      <c r="J293" s="161" t="n"/>
      <c r="K293" s="161" t="n"/>
      <c r="L293" s="161" t="n"/>
      <c r="M293" s="161" t="n"/>
    </row>
    <row r="294">
      <c r="A294" s="427" t="n"/>
      <c r="B294" s="428" t="n"/>
      <c r="C294" s="301" t="inlineStr">
        <is>
          <t>16*16</t>
        </is>
      </c>
      <c r="D294" s="105" t="n">
        <v>26.25</v>
      </c>
      <c r="E294" s="301" t="n">
        <v>28</v>
      </c>
      <c r="F294" s="301">
        <f>652+28+56</f>
        <v/>
      </c>
      <c r="G294" s="301" t="n"/>
      <c r="H294" s="301">
        <f>F294-G294</f>
        <v/>
      </c>
      <c r="I294" s="161" t="n"/>
      <c r="J294" s="161" t="n"/>
      <c r="K294" s="161" t="n"/>
      <c r="L294" s="161" t="n"/>
      <c r="M294" s="161" t="n"/>
    </row>
    <row r="295">
      <c r="A295" s="427" t="n"/>
      <c r="B295" s="301" t="inlineStr">
        <is>
          <t>Trilliant</t>
        </is>
      </c>
      <c r="C295" s="301" t="inlineStr">
        <is>
          <t>12*12</t>
        </is>
      </c>
      <c r="D295" s="105" t="n">
        <v>14.7</v>
      </c>
      <c r="E295" s="301" t="n">
        <v>28</v>
      </c>
      <c r="F295" s="301">
        <f>420+56</f>
        <v/>
      </c>
      <c r="G295" s="301" t="n"/>
      <c r="H295" s="301">
        <f>F295-G295</f>
        <v/>
      </c>
      <c r="I295" s="161" t="n"/>
      <c r="J295" s="161" t="n"/>
      <c r="K295" s="161" t="n"/>
      <c r="L295" s="161" t="n"/>
      <c r="M295" s="161" t="n"/>
    </row>
    <row r="296">
      <c r="A296" s="427" t="n"/>
      <c r="B296" s="428" t="n"/>
      <c r="C296" s="301" t="inlineStr">
        <is>
          <t>16*16</t>
        </is>
      </c>
      <c r="D296" s="105" t="n">
        <v>26.25</v>
      </c>
      <c r="E296" s="301" t="n">
        <v>18</v>
      </c>
      <c r="F296" s="301">
        <f>72+18+36+18</f>
        <v/>
      </c>
      <c r="G296" s="301" t="n"/>
      <c r="H296" s="301">
        <f>F296-G296</f>
        <v/>
      </c>
      <c r="I296" s="161" t="n"/>
      <c r="J296" s="161" t="n"/>
      <c r="K296" s="161" t="n"/>
      <c r="L296" s="161" t="n"/>
      <c r="M296" s="161" t="n"/>
    </row>
    <row r="297">
      <c r="A297" s="427" t="n"/>
      <c r="B297" s="301" t="inlineStr">
        <is>
          <t>Cosmic</t>
        </is>
      </c>
      <c r="C297" s="301" t="inlineStr">
        <is>
          <t>9*12</t>
        </is>
      </c>
      <c r="D297" s="105" t="n">
        <v>11.55</v>
      </c>
      <c r="E297" s="301" t="n">
        <v>48</v>
      </c>
      <c r="F297" s="301">
        <f>696+48+48+96</f>
        <v/>
      </c>
      <c r="G297" s="301" t="n"/>
      <c r="H297" s="301">
        <f>F297-G297</f>
        <v/>
      </c>
      <c r="I297" s="161" t="n"/>
      <c r="J297" s="161" t="n"/>
      <c r="K297" s="161" t="n"/>
      <c r="L297" s="161" t="n"/>
      <c r="M297" s="161" t="n"/>
    </row>
    <row r="298">
      <c r="A298" s="427" t="n"/>
      <c r="B298" s="428" t="n"/>
      <c r="C298" s="301" t="inlineStr">
        <is>
          <t>10*14</t>
        </is>
      </c>
      <c r="D298" s="105" t="n">
        <v>14.7</v>
      </c>
      <c r="E298" s="301" t="n">
        <v>28</v>
      </c>
      <c r="F298" s="301">
        <f>84+28+28+28+28</f>
        <v/>
      </c>
      <c r="G298" s="301" t="n"/>
      <c r="H298" s="301">
        <f>F298-G298</f>
        <v/>
      </c>
      <c r="I298" s="161" t="n"/>
      <c r="J298" s="161" t="n"/>
      <c r="K298" s="161" t="n"/>
      <c r="L298" s="161" t="n"/>
      <c r="M298" s="161" t="n"/>
    </row>
    <row r="299">
      <c r="A299" s="427" t="n"/>
      <c r="B299" s="317" t="inlineStr">
        <is>
          <t>Galactic</t>
        </is>
      </c>
      <c r="C299" s="301" t="inlineStr">
        <is>
          <t>12*19</t>
        </is>
      </c>
      <c r="D299" s="105" t="n">
        <v>28.35</v>
      </c>
      <c r="E299" s="301" t="n">
        <v>24</v>
      </c>
      <c r="F299" s="301">
        <f>288+24+24</f>
        <v/>
      </c>
      <c r="G299" s="301" t="n"/>
      <c r="H299" s="301">
        <f>F299-G299</f>
        <v/>
      </c>
      <c r="I299" s="161" t="n"/>
      <c r="J299" s="161" t="n"/>
      <c r="K299" s="161" t="n"/>
      <c r="L299" s="161" t="n"/>
      <c r="M299" s="161" t="n"/>
    </row>
    <row r="300">
      <c r="A300" s="427" t="n"/>
      <c r="B300" s="317" t="inlineStr">
        <is>
          <t>Cosmic Baguette</t>
        </is>
      </c>
      <c r="C300" s="301" t="inlineStr">
        <is>
          <t>6*18</t>
        </is>
      </c>
      <c r="D300" s="105" t="n">
        <v>16.8</v>
      </c>
      <c r="E300" s="301" t="n">
        <v>42</v>
      </c>
      <c r="F300" s="301">
        <f>756+42+42</f>
        <v/>
      </c>
      <c r="G300" s="301" t="n"/>
      <c r="H300" s="301">
        <f>F300-G300</f>
        <v/>
      </c>
      <c r="I300" s="161" t="n"/>
      <c r="J300" s="161" t="n"/>
      <c r="K300" s="161" t="n"/>
      <c r="L300" s="161" t="n"/>
      <c r="M300" s="161" t="n"/>
    </row>
    <row r="301">
      <c r="A301" s="427" t="n"/>
      <c r="B301" s="302" t="inlineStr">
        <is>
          <t>Xirus</t>
        </is>
      </c>
      <c r="C301" s="301" t="inlineStr">
        <is>
          <t>8*8</t>
        </is>
      </c>
      <c r="D301" s="105" t="n">
        <v>10.5</v>
      </c>
      <c r="E301" s="301" t="n">
        <v>84</v>
      </c>
      <c r="F301" s="301">
        <f>924+168+168</f>
        <v/>
      </c>
      <c r="G301" s="301" t="n"/>
      <c r="H301" s="301">
        <f>F301-G301</f>
        <v/>
      </c>
      <c r="I301" s="161" t="n"/>
      <c r="J301" s="161" t="n"/>
      <c r="K301" s="161" t="n"/>
      <c r="L301" s="161" t="n"/>
      <c r="M301" s="161" t="n"/>
    </row>
    <row r="302">
      <c r="A302" s="427" t="n"/>
      <c r="B302" s="427" t="n"/>
      <c r="C302" s="301" t="inlineStr">
        <is>
          <t>10*10</t>
        </is>
      </c>
      <c r="D302" s="105" t="n">
        <v>12.6</v>
      </c>
      <c r="E302" s="301" t="n">
        <v>45</v>
      </c>
      <c r="F302" s="301">
        <f>810+45+45+45</f>
        <v/>
      </c>
      <c r="G302" s="301" t="n"/>
      <c r="H302" s="301">
        <f>F302-G302</f>
        <v/>
      </c>
      <c r="I302" s="161" t="n"/>
      <c r="J302" s="161" t="n"/>
      <c r="K302" s="161" t="n"/>
      <c r="L302" s="161" t="n"/>
      <c r="M302" s="161" t="n"/>
    </row>
    <row r="303" ht="15.75" customHeight="1" thickBot="1">
      <c r="A303" s="429" t="n"/>
      <c r="B303" s="429" t="n"/>
      <c r="C303" s="318" t="inlineStr">
        <is>
          <t>12*12</t>
        </is>
      </c>
      <c r="D303" s="106" t="n">
        <v>14.7</v>
      </c>
      <c r="E303" s="318" t="n">
        <v>40</v>
      </c>
      <c r="F303" s="318">
        <f>640+80</f>
        <v/>
      </c>
      <c r="G303" s="318" t="n"/>
      <c r="H303" s="318">
        <f>F303-G303</f>
        <v/>
      </c>
      <c r="I303" s="161" t="n"/>
      <c r="J303" s="161" t="n"/>
      <c r="K303" s="161" t="n"/>
      <c r="L303" s="161" t="n"/>
      <c r="M303" s="161" t="n"/>
    </row>
    <row r="304" ht="15.75" customHeight="1" thickTop="1">
      <c r="A304" s="359" t="inlineStr">
        <is>
          <t>Lt. Siam</t>
        </is>
      </c>
      <c r="B304" s="309" t="inlineStr">
        <is>
          <t>DROP</t>
        </is>
      </c>
      <c r="C304" s="303" t="inlineStr">
        <is>
          <t>7*12</t>
        </is>
      </c>
      <c r="D304" s="108" t="n">
        <v>12.6</v>
      </c>
      <c r="E304" s="303" t="n">
        <v>72</v>
      </c>
      <c r="F304" s="303" t="n">
        <v>1320</v>
      </c>
      <c r="G304" s="303">
        <f>10+2</f>
        <v/>
      </c>
      <c r="H304" s="303">
        <f>F304-G304</f>
        <v/>
      </c>
      <c r="I304" s="161" t="n"/>
      <c r="J304" s="161" t="n"/>
      <c r="K304" s="161" t="n"/>
      <c r="L304" s="161" t="n"/>
      <c r="M304" s="161" t="n"/>
    </row>
    <row r="305">
      <c r="A305" s="427" t="n"/>
      <c r="B305" s="427" t="n"/>
      <c r="C305" s="301" t="inlineStr">
        <is>
          <t>10*14</t>
        </is>
      </c>
      <c r="D305" s="105" t="n">
        <v>14.7</v>
      </c>
      <c r="E305" s="301" t="n">
        <v>36</v>
      </c>
      <c r="F305" s="301" t="n">
        <v>1893</v>
      </c>
      <c r="G305" s="301">
        <f>5+2</f>
        <v/>
      </c>
      <c r="H305" s="301">
        <f>F305-G305</f>
        <v/>
      </c>
      <c r="I305" s="161" t="n"/>
      <c r="J305" s="161" t="n"/>
      <c r="K305" s="161" t="n"/>
      <c r="L305" s="161" t="n"/>
      <c r="M305" s="161" t="n"/>
    </row>
    <row r="306">
      <c r="A306" s="427" t="n"/>
      <c r="B306" s="427" t="n"/>
      <c r="C306" s="301" t="inlineStr">
        <is>
          <t>11*18</t>
        </is>
      </c>
      <c r="D306" s="105" t="n">
        <v>16.8</v>
      </c>
      <c r="E306" s="301" t="n">
        <v>24</v>
      </c>
      <c r="F306" s="301" t="n">
        <v>604</v>
      </c>
      <c r="G306" s="301" t="n">
        <v>2</v>
      </c>
      <c r="H306" s="301">
        <f>F306-G306</f>
        <v/>
      </c>
      <c r="I306" s="161" t="n"/>
      <c r="J306" s="161" t="n"/>
      <c r="K306" s="161" t="n"/>
      <c r="L306" s="161" t="n"/>
      <c r="M306" s="161" t="n"/>
    </row>
    <row r="307">
      <c r="A307" s="427" t="n"/>
      <c r="B307" s="427" t="n"/>
      <c r="C307" s="301" t="inlineStr">
        <is>
          <t>13*22</t>
        </is>
      </c>
      <c r="D307" s="105" t="n">
        <v>34.65</v>
      </c>
      <c r="E307" s="301" t="n">
        <v>24</v>
      </c>
      <c r="F307" s="301" t="n">
        <v>414</v>
      </c>
      <c r="G307" s="301" t="n">
        <v>2</v>
      </c>
      <c r="H307" s="301">
        <f>F307-G307</f>
        <v/>
      </c>
      <c r="I307" s="161" t="n"/>
      <c r="J307" s="161" t="n"/>
      <c r="K307" s="161" t="n"/>
      <c r="L307" s="161" t="n"/>
      <c r="M307" s="161" t="n"/>
    </row>
    <row r="308">
      <c r="A308" s="427" t="n"/>
      <c r="B308" s="312" t="inlineStr">
        <is>
          <t>NAVETTE</t>
        </is>
      </c>
      <c r="C308" s="312" t="inlineStr">
        <is>
          <t>7*15</t>
        </is>
      </c>
      <c r="D308" s="113" t="n">
        <v>23.54625</v>
      </c>
      <c r="E308" s="312" t="n">
        <v>63</v>
      </c>
      <c r="F308" s="312" t="n">
        <v>1042</v>
      </c>
      <c r="G308" s="312">
        <f>10+2</f>
        <v/>
      </c>
      <c r="H308" s="301">
        <f>F308-G308</f>
        <v/>
      </c>
      <c r="I308" s="161" t="n"/>
      <c r="J308" s="161" t="n"/>
      <c r="K308" s="161" t="n"/>
      <c r="L308" s="161" t="n"/>
      <c r="M308" s="161" t="n"/>
    </row>
    <row r="309">
      <c r="A309" s="427" t="n"/>
      <c r="B309" s="428" t="n"/>
      <c r="C309" s="312" t="inlineStr">
        <is>
          <t>9*18</t>
        </is>
      </c>
      <c r="D309" s="113" t="n">
        <v>26</v>
      </c>
      <c r="E309" s="312" t="n">
        <v>36</v>
      </c>
      <c r="F309" s="312" t="n">
        <v>1046</v>
      </c>
      <c r="G309" s="312">
        <f>5+2</f>
        <v/>
      </c>
      <c r="H309" s="301">
        <f>F309-G309</f>
        <v/>
      </c>
      <c r="I309" s="161" t="n"/>
      <c r="J309" s="161" t="n"/>
      <c r="K309" s="161" t="n"/>
      <c r="L309" s="161" t="n"/>
      <c r="M309" s="161" t="n"/>
    </row>
    <row r="310">
      <c r="A310" s="427" t="n"/>
      <c r="B310" s="312" t="inlineStr">
        <is>
          <t>RIVOLI</t>
        </is>
      </c>
      <c r="C310" s="312" t="inlineStr">
        <is>
          <t>10*10</t>
        </is>
      </c>
      <c r="D310" s="113" t="n">
        <v>23.54625</v>
      </c>
      <c r="E310" s="312" t="n">
        <v>45</v>
      </c>
      <c r="F310" s="312" t="n">
        <v>494</v>
      </c>
      <c r="G310" s="312">
        <f>5+2+45</f>
        <v/>
      </c>
      <c r="H310" s="301">
        <f>F310-G310</f>
        <v/>
      </c>
      <c r="I310" s="161" t="n"/>
      <c r="J310" s="161" t="n"/>
      <c r="K310" s="161" t="n"/>
      <c r="L310" s="161" t="n"/>
      <c r="M310" s="161" t="n"/>
    </row>
    <row r="311">
      <c r="A311" s="427" t="n"/>
      <c r="B311" s="427" t="n"/>
      <c r="C311" s="312" t="inlineStr">
        <is>
          <t>12*12</t>
        </is>
      </c>
      <c r="D311" s="113" t="n">
        <v>26</v>
      </c>
      <c r="E311" s="312" t="n">
        <v>40</v>
      </c>
      <c r="F311" s="312" t="n">
        <v>50</v>
      </c>
      <c r="G311" s="312">
        <f>5+2+40</f>
        <v/>
      </c>
      <c r="H311" s="301">
        <f>F311-G311</f>
        <v/>
      </c>
      <c r="I311" s="161" t="n"/>
      <c r="J311" s="161" t="n"/>
      <c r="K311" s="161" t="n"/>
      <c r="L311" s="161" t="n"/>
      <c r="M311" s="161" t="n"/>
    </row>
    <row r="312">
      <c r="A312" s="427" t="n"/>
      <c r="B312" s="428" t="n"/>
      <c r="C312" s="312" t="inlineStr">
        <is>
          <t>14*14</t>
        </is>
      </c>
      <c r="D312" s="113" t="n">
        <v>26.549705</v>
      </c>
      <c r="E312" s="312" t="n">
        <v>28</v>
      </c>
      <c r="F312" s="312" t="n">
        <v>438</v>
      </c>
      <c r="G312" s="312" t="n">
        <v>2</v>
      </c>
      <c r="H312" s="301">
        <f>F312-G312</f>
        <v/>
      </c>
      <c r="I312" s="161" t="n"/>
      <c r="J312" s="161" t="n"/>
      <c r="K312" s="161" t="n"/>
      <c r="L312" s="161" t="n"/>
      <c r="M312" s="161" t="n"/>
    </row>
    <row r="313">
      <c r="A313" s="427" t="n"/>
      <c r="B313" s="301" t="inlineStr">
        <is>
          <t>Trilliant</t>
        </is>
      </c>
      <c r="C313" s="301" t="inlineStr">
        <is>
          <t>12*12</t>
        </is>
      </c>
      <c r="D313" s="105" t="n">
        <v>14.7</v>
      </c>
      <c r="E313" s="301" t="n">
        <v>28</v>
      </c>
      <c r="F313" s="301" t="n">
        <v>463</v>
      </c>
      <c r="G313" s="301" t="n">
        <v>2</v>
      </c>
      <c r="H313" s="301">
        <f>F313-G313</f>
        <v/>
      </c>
      <c r="I313" s="161" t="n"/>
      <c r="J313" s="161" t="n"/>
      <c r="K313" s="161" t="n"/>
      <c r="L313" s="161" t="n"/>
      <c r="M313" s="161" t="n"/>
    </row>
    <row r="314">
      <c r="A314" s="427" t="n"/>
      <c r="B314" s="312" t="inlineStr">
        <is>
          <t>COSMIC</t>
        </is>
      </c>
      <c r="C314" s="317" t="inlineStr">
        <is>
          <t>10*14</t>
        </is>
      </c>
      <c r="D314" s="109" t="n">
        <v>45</v>
      </c>
      <c r="E314" s="317" t="n">
        <v>28</v>
      </c>
      <c r="F314" s="317" t="n">
        <v>280</v>
      </c>
      <c r="G314" s="317">
        <f>5+2+28</f>
        <v/>
      </c>
      <c r="H314" s="301">
        <f>F314-G314</f>
        <v/>
      </c>
      <c r="I314" s="161" t="n"/>
      <c r="J314" s="161" t="n"/>
      <c r="K314" s="161" t="n"/>
      <c r="L314" s="161" t="n"/>
      <c r="M314" s="161" t="n"/>
    </row>
    <row r="315">
      <c r="A315" s="427" t="n"/>
      <c r="B315" s="428" t="n"/>
      <c r="C315" s="361" t="inlineStr">
        <is>
          <t>17*21</t>
        </is>
      </c>
      <c r="D315" s="122" t="n">
        <v>88</v>
      </c>
      <c r="E315" s="361" t="n">
        <v>15</v>
      </c>
      <c r="F315" s="361" t="n">
        <v>35</v>
      </c>
      <c r="G315" s="361" t="n">
        <v>2</v>
      </c>
      <c r="H315" s="301">
        <f>F315-G315</f>
        <v/>
      </c>
      <c r="I315" s="161" t="n"/>
      <c r="J315" s="161" t="n"/>
      <c r="K315" s="161" t="n"/>
      <c r="L315" s="161" t="n"/>
      <c r="M315" s="161" t="n"/>
    </row>
    <row r="316">
      <c r="A316" s="427" t="n"/>
      <c r="B316" s="312" t="inlineStr">
        <is>
          <t>XIRIUS</t>
        </is>
      </c>
      <c r="C316" s="312" t="inlineStr">
        <is>
          <t>8*8</t>
        </is>
      </c>
      <c r="D316" s="113" t="n">
        <v>20.375355</v>
      </c>
      <c r="E316" s="312" t="n">
        <v>84</v>
      </c>
      <c r="F316" s="312" t="n">
        <v>2016</v>
      </c>
      <c r="G316" s="312" t="n">
        <v>2</v>
      </c>
      <c r="H316" s="301">
        <f>F316-G316</f>
        <v/>
      </c>
      <c r="I316" s="161" t="n"/>
      <c r="J316" s="161" t="n"/>
      <c r="K316" s="161" t="n"/>
      <c r="L316" s="161" t="n"/>
      <c r="M316" s="161" t="n"/>
    </row>
    <row r="317">
      <c r="A317" s="427" t="n"/>
      <c r="B317" s="427" t="n"/>
      <c r="C317" s="312" t="inlineStr">
        <is>
          <t>10*10</t>
        </is>
      </c>
      <c r="D317" s="113" t="n">
        <v>23.46253</v>
      </c>
      <c r="E317" s="312" t="n">
        <v>45</v>
      </c>
      <c r="F317" s="312" t="n">
        <v>715</v>
      </c>
      <c r="G317" s="312" t="n">
        <v>2</v>
      </c>
      <c r="H317" s="301">
        <f>F317-G317</f>
        <v/>
      </c>
      <c r="I317" s="161" t="n"/>
      <c r="J317" s="161" t="n"/>
      <c r="K317" s="161" t="n"/>
      <c r="L317" s="161" t="n"/>
      <c r="M317" s="161" t="n"/>
    </row>
    <row r="318" ht="15.75" customHeight="1" thickBot="1">
      <c r="A318" s="429" t="n"/>
      <c r="B318" s="428" t="n"/>
      <c r="C318" s="360" t="inlineStr">
        <is>
          <t>12*12</t>
        </is>
      </c>
      <c r="D318" s="117" t="n">
        <v>26.549705</v>
      </c>
      <c r="E318" s="360" t="n">
        <v>40</v>
      </c>
      <c r="F318" s="360" t="n">
        <v>554</v>
      </c>
      <c r="G318" s="360" t="n">
        <v>2</v>
      </c>
      <c r="H318" s="318">
        <f>F318-G318</f>
        <v/>
      </c>
      <c r="I318" s="161" t="n"/>
      <c r="J318" s="161" t="n"/>
      <c r="K318" s="161" t="n"/>
      <c r="L318" s="161" t="n"/>
      <c r="M318" s="161" t="n"/>
    </row>
    <row r="319" ht="16.5" customHeight="1" thickBot="1" thickTop="1">
      <c r="A319" s="358" t="inlineStr">
        <is>
          <t>Lt. Siam AB</t>
        </is>
      </c>
      <c r="B319" s="311" t="inlineStr">
        <is>
          <t>RIVOLI</t>
        </is>
      </c>
      <c r="C319" s="311" t="inlineStr">
        <is>
          <t>12*12</t>
        </is>
      </c>
      <c r="D319" s="111" t="n">
        <v>35</v>
      </c>
      <c r="E319" s="36" t="n">
        <v>40</v>
      </c>
      <c r="F319" s="36" t="n">
        <v>140</v>
      </c>
      <c r="G319" s="36" t="n"/>
      <c r="H319" s="31">
        <f>F319-G319</f>
        <v/>
      </c>
      <c r="I319" s="161" t="n"/>
      <c r="J319" s="161" t="n"/>
      <c r="K319" s="161" t="n"/>
      <c r="L319" s="161" t="n"/>
      <c r="M319" s="161" t="n"/>
    </row>
    <row r="320" ht="15.75" customHeight="1" thickTop="1">
      <c r="A320" s="237" t="inlineStr">
        <is>
          <t>Lt. Rose</t>
        </is>
      </c>
      <c r="B320" s="36" t="inlineStr">
        <is>
          <t>RIVOLI</t>
        </is>
      </c>
      <c r="C320" s="308" t="inlineStr">
        <is>
          <t>10*10</t>
        </is>
      </c>
      <c r="D320" s="120" t="n">
        <v>24</v>
      </c>
      <c r="E320" s="308" t="n">
        <v>45</v>
      </c>
      <c r="F320" s="308" t="n">
        <v>1260</v>
      </c>
      <c r="G320" s="308" t="n"/>
      <c r="H320" s="304">
        <f>F320-G320</f>
        <v/>
      </c>
      <c r="I320" s="161" t="n"/>
      <c r="J320" s="161" t="n"/>
      <c r="K320" s="161" t="n"/>
      <c r="L320" s="161" t="n"/>
      <c r="M320" s="161" t="n"/>
    </row>
    <row r="321" ht="15.75" customHeight="1" thickBot="1">
      <c r="A321" s="429" t="n"/>
      <c r="B321" s="429" t="n"/>
      <c r="C321" s="313" t="inlineStr">
        <is>
          <t>12*12</t>
        </is>
      </c>
      <c r="D321" s="115" t="n">
        <v>27</v>
      </c>
      <c r="E321" s="313" t="n">
        <v>40</v>
      </c>
      <c r="F321" s="313" t="n">
        <v>144</v>
      </c>
      <c r="G321" s="313" t="n"/>
      <c r="H321" s="302">
        <f>F321-G321</f>
        <v/>
      </c>
      <c r="I321" s="161" t="n"/>
      <c r="J321" s="161" t="n"/>
      <c r="K321" s="161" t="n"/>
      <c r="L321" s="161" t="n"/>
      <c r="M321" s="161" t="n"/>
    </row>
    <row r="322" ht="16.5" customHeight="1" thickBot="1" thickTop="1">
      <c r="A322" s="357" t="inlineStr">
        <is>
          <t>Lt. Rose AB</t>
        </is>
      </c>
      <c r="B322" s="311" t="inlineStr">
        <is>
          <t>RIVOLI</t>
        </is>
      </c>
      <c r="C322" s="311" t="inlineStr">
        <is>
          <t>12*12</t>
        </is>
      </c>
      <c r="D322" s="111" t="n">
        <v>35</v>
      </c>
      <c r="E322" s="311" t="n">
        <v>40</v>
      </c>
      <c r="F322" s="311" t="n">
        <v>70</v>
      </c>
      <c r="G322" s="311" t="n"/>
      <c r="H322" s="303">
        <f>F322-G322</f>
        <v/>
      </c>
      <c r="I322" s="161" t="n"/>
      <c r="J322" s="161" t="n"/>
      <c r="K322" s="161" t="n"/>
      <c r="L322" s="161" t="n"/>
      <c r="M322" s="161" t="n"/>
    </row>
    <row r="323" ht="15.75" customHeight="1" thickTop="1">
      <c r="A323" s="351" t="inlineStr">
        <is>
          <t>ROSE</t>
        </is>
      </c>
      <c r="B323" s="311" t="inlineStr">
        <is>
          <t>DROP</t>
        </is>
      </c>
      <c r="C323" s="311" t="inlineStr">
        <is>
          <t>7*12</t>
        </is>
      </c>
      <c r="D323" s="111" t="n">
        <v>20.375355</v>
      </c>
      <c r="E323" s="311" t="n">
        <v>72</v>
      </c>
      <c r="F323" s="311" t="n">
        <v>1728</v>
      </c>
      <c r="G323" s="311" t="n"/>
      <c r="H323" s="311">
        <f>F323-G323</f>
        <v/>
      </c>
      <c r="I323" s="161" t="n"/>
      <c r="J323" s="161" t="n"/>
      <c r="K323" s="161" t="n"/>
      <c r="L323" s="161" t="n"/>
      <c r="M323" s="161" t="n"/>
    </row>
    <row r="324">
      <c r="A324" s="427" t="n"/>
      <c r="B324" s="427" t="n"/>
      <c r="C324" s="312" t="inlineStr">
        <is>
          <t>11*18</t>
        </is>
      </c>
      <c r="D324" s="113" t="n">
        <v>26.549705</v>
      </c>
      <c r="E324" s="312" t="n">
        <v>24</v>
      </c>
      <c r="F324" s="312" t="n">
        <v>655</v>
      </c>
      <c r="G324" s="312" t="n"/>
      <c r="H324" s="312">
        <f>F324-G324</f>
        <v/>
      </c>
      <c r="I324" s="161" t="n"/>
      <c r="J324" s="161" t="n"/>
      <c r="K324" s="161" t="n"/>
      <c r="L324" s="161" t="n"/>
      <c r="M324" s="161" t="n"/>
    </row>
    <row r="325">
      <c r="A325" s="427" t="n"/>
      <c r="B325" s="428" t="n"/>
      <c r="C325" s="312" t="inlineStr">
        <is>
          <t>17*28</t>
        </is>
      </c>
      <c r="D325" s="113" t="n">
        <v>88.293205</v>
      </c>
      <c r="E325" s="312" t="n">
        <v>12</v>
      </c>
      <c r="F325" s="312" t="n">
        <v>60</v>
      </c>
      <c r="G325" s="312" t="n"/>
      <c r="H325" s="312">
        <f>F325-G325</f>
        <v/>
      </c>
      <c r="I325" s="161" t="n"/>
      <c r="J325" s="161" t="n"/>
      <c r="K325" s="161" t="n"/>
      <c r="L325" s="161" t="n"/>
      <c r="M325" s="161" t="n"/>
    </row>
    <row r="326">
      <c r="A326" s="427" t="n"/>
      <c r="B326" s="312" t="inlineStr">
        <is>
          <t>NAVETTE</t>
        </is>
      </c>
      <c r="C326" s="312" t="inlineStr">
        <is>
          <t>7*15</t>
        </is>
      </c>
      <c r="D326" s="113" t="n">
        <v>23.54625</v>
      </c>
      <c r="E326" s="312" t="n">
        <v>63</v>
      </c>
      <c r="F326" s="312" t="n">
        <v>1449</v>
      </c>
      <c r="G326" s="312" t="n"/>
      <c r="H326" s="312">
        <f>F326-G326</f>
        <v/>
      </c>
      <c r="I326" s="161" t="n"/>
      <c r="J326" s="161" t="n"/>
      <c r="K326" s="161" t="n"/>
      <c r="L326" s="161" t="n"/>
      <c r="M326" s="161" t="n"/>
    </row>
    <row r="327">
      <c r="A327" s="427" t="n"/>
      <c r="B327" s="428" t="n"/>
      <c r="C327" s="312" t="inlineStr">
        <is>
          <t>9*18</t>
        </is>
      </c>
      <c r="D327" s="113" t="n">
        <v>15</v>
      </c>
      <c r="E327" s="312" t="n">
        <v>36</v>
      </c>
      <c r="F327" s="312" t="n">
        <v>468</v>
      </c>
      <c r="G327" s="312" t="n"/>
      <c r="H327" s="312">
        <f>F327-G327</f>
        <v/>
      </c>
      <c r="I327" s="161" t="n"/>
      <c r="J327" s="161" t="n"/>
      <c r="K327" s="161" t="n"/>
      <c r="L327" s="161" t="n"/>
      <c r="M327" s="161" t="n"/>
    </row>
    <row r="328">
      <c r="A328" s="427" t="n"/>
      <c r="B328" s="312" t="inlineStr">
        <is>
          <t>RIVOLI</t>
        </is>
      </c>
      <c r="C328" s="312" t="inlineStr">
        <is>
          <t>12*12</t>
        </is>
      </c>
      <c r="D328" s="113" t="n">
        <v>26.549705</v>
      </c>
      <c r="E328" s="312" t="n">
        <v>40</v>
      </c>
      <c r="F328" s="312" t="n">
        <v>758</v>
      </c>
      <c r="G328" s="312" t="n"/>
      <c r="H328" s="312">
        <f>F328-G328</f>
        <v/>
      </c>
      <c r="I328" s="161" t="n"/>
      <c r="J328" s="161" t="n"/>
      <c r="K328" s="161" t="n"/>
      <c r="L328" s="161" t="n"/>
      <c r="M328" s="161" t="n"/>
    </row>
    <row r="329">
      <c r="A329" s="427" t="n"/>
      <c r="B329" s="428" t="n"/>
      <c r="C329" s="312" t="inlineStr">
        <is>
          <t>14*14</t>
        </is>
      </c>
      <c r="D329" s="113" t="n">
        <v>26.549705</v>
      </c>
      <c r="E329" s="312" t="n">
        <v>28</v>
      </c>
      <c r="F329" s="312" t="n">
        <v>470</v>
      </c>
      <c r="G329" s="312" t="n"/>
      <c r="H329" s="312">
        <f>F329-G329</f>
        <v/>
      </c>
      <c r="I329" s="161" t="n"/>
      <c r="J329" s="161" t="n"/>
      <c r="K329" s="161" t="n"/>
      <c r="L329" s="161" t="n"/>
      <c r="M329" s="161" t="n"/>
    </row>
    <row r="330">
      <c r="A330" s="427" t="n"/>
      <c r="B330" s="312" t="inlineStr">
        <is>
          <t>Trilliant</t>
        </is>
      </c>
      <c r="C330" s="301" t="inlineStr">
        <is>
          <t>12*12</t>
        </is>
      </c>
      <c r="D330" s="105" t="n">
        <v>14.7</v>
      </c>
      <c r="E330" s="301" t="n">
        <v>28</v>
      </c>
      <c r="F330" s="301" t="n">
        <v>504</v>
      </c>
      <c r="G330" s="301" t="n"/>
      <c r="H330" s="301">
        <f>F330-G330</f>
        <v/>
      </c>
      <c r="I330" s="161" t="n"/>
      <c r="J330" s="161" t="n"/>
      <c r="K330" s="161" t="n"/>
      <c r="L330" s="161" t="n"/>
      <c r="M330" s="161" t="n"/>
    </row>
    <row r="331">
      <c r="A331" s="427" t="n"/>
      <c r="B331" s="428" t="n"/>
      <c r="C331" s="301" t="inlineStr">
        <is>
          <t>16*16</t>
        </is>
      </c>
      <c r="D331" s="105" t="n">
        <v>32.55</v>
      </c>
      <c r="E331" s="301" t="n">
        <v>18</v>
      </c>
      <c r="F331" s="301" t="n">
        <v>288</v>
      </c>
      <c r="G331" s="301" t="n"/>
      <c r="H331" s="301">
        <f>F331-G331</f>
        <v/>
      </c>
      <c r="I331" s="161" t="n"/>
      <c r="J331" s="161" t="n"/>
      <c r="K331" s="161" t="n"/>
      <c r="L331" s="161" t="n"/>
      <c r="M331" s="161" t="n"/>
    </row>
    <row r="332">
      <c r="A332" s="427" t="n"/>
      <c r="B332" s="312" t="inlineStr">
        <is>
          <t>COSMIC</t>
        </is>
      </c>
      <c r="C332" s="312" t="inlineStr">
        <is>
          <t>10*14</t>
        </is>
      </c>
      <c r="D332" s="113" t="n">
        <v>26.549705</v>
      </c>
      <c r="E332" s="312" t="n">
        <v>28</v>
      </c>
      <c r="F332" s="312" t="n">
        <v>554</v>
      </c>
      <c r="G332" s="312" t="n"/>
      <c r="H332" s="312">
        <f>F332-G332</f>
        <v/>
      </c>
      <c r="I332" s="161" t="n"/>
      <c r="J332" s="161" t="n"/>
      <c r="K332" s="161" t="n"/>
      <c r="L332" s="161" t="n"/>
      <c r="M332" s="161" t="n"/>
    </row>
    <row r="333">
      <c r="A333" s="427" t="n"/>
      <c r="B333" s="312" t="inlineStr">
        <is>
          <t>GALACTIC</t>
        </is>
      </c>
      <c r="C333" s="312" t="inlineStr">
        <is>
          <t>7*12</t>
        </is>
      </c>
      <c r="D333" s="113" t="n">
        <v>18.52305</v>
      </c>
      <c r="E333" s="312" t="n">
        <v>72</v>
      </c>
      <c r="F333" s="312" t="n">
        <v>2592</v>
      </c>
      <c r="G333" s="312" t="n"/>
      <c r="H333" s="312">
        <f>F333-G333</f>
        <v/>
      </c>
      <c r="I333" s="161" t="n"/>
      <c r="J333" s="161" t="n"/>
      <c r="K333" s="161" t="n"/>
      <c r="L333" s="161" t="n"/>
      <c r="M333" s="161" t="n"/>
    </row>
    <row r="334">
      <c r="A334" s="427" t="n"/>
      <c r="B334" s="427" t="n"/>
      <c r="C334" s="312" t="inlineStr">
        <is>
          <t>9*14</t>
        </is>
      </c>
      <c r="D334" s="113" t="n">
        <v>28</v>
      </c>
      <c r="E334" s="312" t="n">
        <v>48</v>
      </c>
      <c r="F334" s="312" t="n">
        <v>336</v>
      </c>
      <c r="G334" s="312" t="n"/>
      <c r="H334" s="312">
        <f>F334-G334</f>
        <v/>
      </c>
      <c r="I334" s="161" t="n"/>
      <c r="J334" s="161" t="n"/>
      <c r="K334" s="161" t="n"/>
      <c r="L334" s="161" t="n"/>
      <c r="M334" s="161" t="n"/>
    </row>
    <row r="335">
      <c r="A335" s="427" t="n"/>
      <c r="B335" s="428" t="n"/>
      <c r="C335" s="312" t="inlineStr">
        <is>
          <t>12*19</t>
        </is>
      </c>
      <c r="D335" s="113" t="n">
        <v>58.656325</v>
      </c>
      <c r="E335" s="312" t="n">
        <v>24</v>
      </c>
      <c r="F335" s="312" t="n">
        <v>336</v>
      </c>
      <c r="G335" s="312" t="n"/>
      <c r="H335" s="312">
        <f>F335-G335</f>
        <v/>
      </c>
      <c r="I335" s="161" t="n"/>
      <c r="J335" s="161" t="n"/>
      <c r="K335" s="161" t="n"/>
      <c r="L335" s="161" t="n"/>
      <c r="M335" s="161" t="n"/>
    </row>
    <row r="336" ht="30" customHeight="1">
      <c r="A336" s="427" t="n"/>
      <c r="B336" s="361" t="inlineStr">
        <is>
          <t>COSMIC BAGUETTE</t>
        </is>
      </c>
      <c r="C336" s="312" t="inlineStr">
        <is>
          <t>7*21</t>
        </is>
      </c>
      <c r="D336" s="113" t="n">
        <v>58.656325</v>
      </c>
      <c r="E336" s="312" t="n">
        <v>24</v>
      </c>
      <c r="F336" s="312" t="n">
        <v>240</v>
      </c>
      <c r="G336" s="312" t="n"/>
      <c r="H336" s="312">
        <f>F336-G336</f>
        <v/>
      </c>
      <c r="I336" s="161" t="n"/>
      <c r="J336" s="161" t="n"/>
      <c r="K336" s="161" t="n"/>
      <c r="L336" s="161" t="n"/>
      <c r="M336" s="161" t="n"/>
    </row>
    <row r="337">
      <c r="A337" s="427" t="n"/>
      <c r="B337" s="312" t="inlineStr">
        <is>
          <t>XIRIUS</t>
        </is>
      </c>
      <c r="C337" s="312" t="inlineStr">
        <is>
          <t>8*8</t>
        </is>
      </c>
      <c r="D337" s="113" t="n">
        <v>20.375355</v>
      </c>
      <c r="E337" s="312" t="n">
        <v>84</v>
      </c>
      <c r="F337" s="312" t="n">
        <v>2001</v>
      </c>
      <c r="G337" s="312" t="n"/>
      <c r="H337" s="312">
        <f>F337-G337</f>
        <v/>
      </c>
      <c r="I337" s="161" t="n"/>
      <c r="J337" s="161" t="n"/>
      <c r="K337" s="161" t="n"/>
      <c r="L337" s="161" t="n"/>
      <c r="M337" s="161" t="n"/>
    </row>
    <row r="338">
      <c r="A338" s="427" t="n"/>
      <c r="B338" s="427" t="n"/>
      <c r="C338" s="312" t="inlineStr">
        <is>
          <t>10*10</t>
        </is>
      </c>
      <c r="D338" s="113" t="n">
        <v>23.46253</v>
      </c>
      <c r="E338" s="312" t="n">
        <v>45</v>
      </c>
      <c r="F338" s="312" t="n">
        <v>900</v>
      </c>
      <c r="G338" s="312" t="n"/>
      <c r="H338" s="312">
        <f>F338-G338</f>
        <v/>
      </c>
      <c r="I338" s="161" t="n"/>
      <c r="J338" s="161" t="n"/>
      <c r="K338" s="161" t="n"/>
      <c r="L338" s="161" t="n"/>
      <c r="M338" s="161" t="n"/>
    </row>
    <row r="339">
      <c r="A339" s="427" t="n"/>
      <c r="B339" s="428" t="n"/>
      <c r="C339" s="312" t="inlineStr">
        <is>
          <t>12*12</t>
        </is>
      </c>
      <c r="D339" s="113" t="n">
        <v>26.549705</v>
      </c>
      <c r="E339" s="312" t="n">
        <v>40</v>
      </c>
      <c r="F339" s="312" t="n">
        <v>680</v>
      </c>
      <c r="G339" s="312" t="n"/>
      <c r="H339" s="312">
        <f>F339-G339</f>
        <v/>
      </c>
      <c r="I339" s="161" t="n"/>
      <c r="J339" s="161" t="n"/>
      <c r="K339" s="161" t="n"/>
      <c r="L339" s="161" t="n"/>
      <c r="M339" s="161" t="n"/>
    </row>
    <row r="340" ht="15.75" customHeight="1" thickBot="1">
      <c r="A340" s="428" t="n"/>
      <c r="B340" s="313" t="inlineStr">
        <is>
          <t>Diamond Leaf</t>
        </is>
      </c>
      <c r="C340" s="313" t="inlineStr">
        <is>
          <t>10*20</t>
        </is>
      </c>
      <c r="D340" s="115" t="n">
        <v>47</v>
      </c>
      <c r="E340" s="313" t="n">
        <v>24</v>
      </c>
      <c r="F340" s="313" t="n">
        <v>192</v>
      </c>
      <c r="G340" s="313" t="n"/>
      <c r="H340" s="313">
        <f>F340-G340</f>
        <v/>
      </c>
      <c r="I340" s="161" t="n"/>
      <c r="J340" s="161" t="n"/>
      <c r="K340" s="161" t="n"/>
      <c r="L340" s="161" t="n"/>
      <c r="M340" s="161" t="n"/>
    </row>
    <row r="341" ht="15.75" customHeight="1" thickTop="1">
      <c r="A341" s="387" t="inlineStr">
        <is>
          <t>DARK SIAM</t>
        </is>
      </c>
      <c r="B341" s="303" t="inlineStr">
        <is>
          <t>Drop</t>
        </is>
      </c>
      <c r="C341" s="317" t="inlineStr">
        <is>
          <t>7*12</t>
        </is>
      </c>
      <c r="D341" s="109" t="n">
        <v>12.6</v>
      </c>
      <c r="E341" s="317" t="n">
        <v>72</v>
      </c>
      <c r="F341" s="317">
        <f>2433+144</f>
        <v/>
      </c>
      <c r="G341" s="317">
        <f>10+2</f>
        <v/>
      </c>
      <c r="H341" s="317">
        <f>F341-G341</f>
        <v/>
      </c>
      <c r="I341" s="161" t="n"/>
      <c r="J341" s="161" t="n"/>
      <c r="K341" s="161" t="n"/>
      <c r="L341" s="161" t="n"/>
      <c r="M341" s="161" t="n"/>
    </row>
    <row r="342">
      <c r="A342" s="427" t="n"/>
      <c r="B342" s="427" t="n"/>
      <c r="C342" s="301" t="inlineStr">
        <is>
          <t>10*14</t>
        </is>
      </c>
      <c r="D342" s="105" t="n">
        <v>14.7</v>
      </c>
      <c r="E342" s="301" t="n">
        <v>36</v>
      </c>
      <c r="F342" s="301">
        <f>936+72</f>
        <v/>
      </c>
      <c r="G342" s="301">
        <f>5+2</f>
        <v/>
      </c>
      <c r="H342" s="301">
        <f>F342-G342</f>
        <v/>
      </c>
      <c r="I342" s="161" t="n"/>
      <c r="J342" s="161" t="n"/>
      <c r="K342" s="161" t="n"/>
      <c r="L342" s="161" t="n"/>
      <c r="M342" s="161" t="n"/>
    </row>
    <row r="343">
      <c r="A343" s="427" t="n"/>
      <c r="B343" s="427" t="n"/>
      <c r="C343" s="301" t="inlineStr">
        <is>
          <t>17*28</t>
        </is>
      </c>
      <c r="D343" s="105" t="n">
        <v>49.34999999999999</v>
      </c>
      <c r="E343" s="301" t="n">
        <v>12</v>
      </c>
      <c r="F343" s="301">
        <f>216+12+12</f>
        <v/>
      </c>
      <c r="G343" s="301" t="n">
        <v>2</v>
      </c>
      <c r="H343" s="301">
        <f>F343-G343</f>
        <v/>
      </c>
      <c r="I343" s="161" t="n"/>
      <c r="J343" s="161" t="n"/>
      <c r="K343" s="161" t="n"/>
      <c r="L343" s="161" t="n"/>
      <c r="M343" s="161" t="n"/>
    </row>
    <row r="344">
      <c r="A344" s="427" t="n"/>
      <c r="B344" s="428" t="n"/>
      <c r="C344" s="301" t="inlineStr">
        <is>
          <t>13*22</t>
        </is>
      </c>
      <c r="D344" s="105" t="n">
        <v>35</v>
      </c>
      <c r="E344" s="301" t="n">
        <v>24</v>
      </c>
      <c r="F344" s="301" t="n">
        <v>432</v>
      </c>
      <c r="G344" s="301" t="n"/>
      <c r="H344" s="301">
        <f>F344-G344</f>
        <v/>
      </c>
      <c r="I344" s="161" t="n"/>
      <c r="J344" s="161" t="n"/>
      <c r="K344" s="161" t="n"/>
      <c r="L344" s="161" t="n"/>
      <c r="M344" s="161" t="n"/>
    </row>
    <row r="345">
      <c r="A345" s="427" t="n"/>
      <c r="B345" s="301" t="inlineStr">
        <is>
          <t>Navette</t>
        </is>
      </c>
      <c r="C345" s="301" t="inlineStr">
        <is>
          <t>7*15</t>
        </is>
      </c>
      <c r="D345" s="105" t="n">
        <v>24</v>
      </c>
      <c r="E345" s="301" t="n">
        <v>63</v>
      </c>
      <c r="F345" s="301">
        <f>378</f>
        <v/>
      </c>
      <c r="G345" s="301">
        <f>10+2</f>
        <v/>
      </c>
      <c r="H345" s="301">
        <f>F345-G345</f>
        <v/>
      </c>
      <c r="I345" s="161" t="n"/>
      <c r="J345" s="161" t="n"/>
      <c r="K345" s="161" t="n"/>
      <c r="L345" s="161" t="n"/>
      <c r="M345" s="161" t="n"/>
    </row>
    <row r="346">
      <c r="A346" s="427" t="n"/>
      <c r="B346" s="428" t="n"/>
      <c r="C346" s="301" t="inlineStr">
        <is>
          <t>9*18</t>
        </is>
      </c>
      <c r="D346" s="105" t="n">
        <v>26</v>
      </c>
      <c r="E346" s="301" t="n">
        <v>36</v>
      </c>
      <c r="F346" s="301" t="n">
        <v>422</v>
      </c>
      <c r="G346" s="301">
        <f>5+2</f>
        <v/>
      </c>
      <c r="H346" s="301">
        <f>F346-G346</f>
        <v/>
      </c>
      <c r="I346" s="161" t="n"/>
      <c r="J346" s="161" t="n"/>
      <c r="K346" s="161" t="n"/>
      <c r="L346" s="161" t="n"/>
      <c r="M346" s="161" t="n"/>
    </row>
    <row r="347">
      <c r="A347" s="427" t="n"/>
      <c r="B347" s="301" t="inlineStr">
        <is>
          <t>Trilliant</t>
        </is>
      </c>
      <c r="C347" s="301" t="inlineStr">
        <is>
          <t>16*16</t>
        </is>
      </c>
      <c r="D347" s="105" t="n">
        <v>33.6</v>
      </c>
      <c r="E347" s="301" t="n">
        <v>18</v>
      </c>
      <c r="F347" s="301">
        <f>345+36+36</f>
        <v/>
      </c>
      <c r="G347" s="301" t="n">
        <v>2</v>
      </c>
      <c r="H347" s="301">
        <f>F347-G347</f>
        <v/>
      </c>
      <c r="I347" s="161" t="n"/>
      <c r="J347" s="161" t="n"/>
      <c r="K347" s="161" t="n"/>
      <c r="L347" s="161" t="n"/>
      <c r="M347" s="161" t="n"/>
    </row>
    <row r="348">
      <c r="A348" s="427" t="n"/>
      <c r="B348" s="301" t="inlineStr">
        <is>
          <t>Cosmic</t>
        </is>
      </c>
      <c r="C348" s="301" t="inlineStr">
        <is>
          <t>9*12</t>
        </is>
      </c>
      <c r="D348" s="105" t="n">
        <v>12.6</v>
      </c>
      <c r="E348" s="301" t="n">
        <v>48</v>
      </c>
      <c r="F348" s="301" t="n">
        <v>455</v>
      </c>
      <c r="G348" s="301">
        <f>10+2</f>
        <v/>
      </c>
      <c r="H348" s="301">
        <f>F348-G348</f>
        <v/>
      </c>
      <c r="I348" s="161" t="n"/>
      <c r="J348" s="161" t="n"/>
      <c r="K348" s="161" t="n"/>
      <c r="L348" s="161" t="n"/>
      <c r="M348" s="161" t="n"/>
    </row>
    <row r="349">
      <c r="A349" s="427" t="n"/>
      <c r="B349" s="427" t="n"/>
      <c r="C349" s="301" t="inlineStr">
        <is>
          <t>10*14</t>
        </is>
      </c>
      <c r="D349" s="105" t="n">
        <v>14.7</v>
      </c>
      <c r="E349" s="301" t="n">
        <v>28</v>
      </c>
      <c r="F349" s="301">
        <f>56+28</f>
        <v/>
      </c>
      <c r="G349" s="301">
        <f>5+2+28</f>
        <v/>
      </c>
      <c r="H349" s="301">
        <f>F349-G349</f>
        <v/>
      </c>
      <c r="I349" s="161" t="n"/>
      <c r="J349" s="161" t="n"/>
      <c r="K349" s="161" t="n"/>
      <c r="L349" s="161" t="n"/>
      <c r="M349" s="161" t="n"/>
    </row>
    <row r="350">
      <c r="A350" s="427" t="n"/>
      <c r="B350" s="428" t="n"/>
      <c r="C350" s="301" t="inlineStr">
        <is>
          <t>13*17</t>
        </is>
      </c>
      <c r="D350" s="105" t="n">
        <v>33.6</v>
      </c>
      <c r="E350" s="301" t="n">
        <v>24</v>
      </c>
      <c r="F350" s="301" t="n">
        <v>182</v>
      </c>
      <c r="G350" s="301">
        <f>5+2+24</f>
        <v/>
      </c>
      <c r="H350" s="301">
        <f>F350-G350</f>
        <v/>
      </c>
      <c r="I350" s="161" t="n"/>
      <c r="J350" s="161" t="n"/>
      <c r="K350" s="161" t="n"/>
      <c r="L350" s="161" t="n"/>
      <c r="M350" s="161" t="n"/>
    </row>
    <row r="351">
      <c r="A351" s="427" t="n"/>
      <c r="B351" s="301" t="inlineStr">
        <is>
          <t>Galactic</t>
        </is>
      </c>
      <c r="C351" s="301" t="inlineStr">
        <is>
          <t>7*12</t>
        </is>
      </c>
      <c r="D351" s="105" t="n">
        <v>10.5</v>
      </c>
      <c r="E351" s="301" t="n">
        <v>72</v>
      </c>
      <c r="F351" s="301">
        <f>2592+2016+287+551</f>
        <v/>
      </c>
      <c r="G351" s="301">
        <f>10+2</f>
        <v/>
      </c>
      <c r="H351" s="301">
        <f>F351-G351</f>
        <v/>
      </c>
      <c r="I351" s="161" t="n"/>
      <c r="J351" s="161" t="n"/>
      <c r="K351" s="161" t="n"/>
      <c r="L351" s="161" t="n"/>
      <c r="M351" s="161" t="n"/>
    </row>
    <row r="352">
      <c r="A352" s="427" t="n"/>
      <c r="B352" s="427" t="n"/>
      <c r="C352" s="301" t="inlineStr">
        <is>
          <t>9*14</t>
        </is>
      </c>
      <c r="D352" s="105" t="n">
        <v>14.7</v>
      </c>
      <c r="E352" s="301" t="n">
        <v>48</v>
      </c>
      <c r="F352" s="301">
        <f>651+48</f>
        <v/>
      </c>
      <c r="G352" s="301">
        <f>10+2+48</f>
        <v/>
      </c>
      <c r="H352" s="301">
        <f>F352-G352</f>
        <v/>
      </c>
      <c r="I352" s="161" t="n"/>
      <c r="J352" s="161" t="n"/>
      <c r="K352" s="161" t="n"/>
      <c r="L352" s="161" t="n"/>
      <c r="M352" s="161" t="n"/>
    </row>
    <row r="353">
      <c r="A353" s="427" t="n"/>
      <c r="B353" s="428" t="n"/>
      <c r="C353" s="301" t="inlineStr">
        <is>
          <t>12*19</t>
        </is>
      </c>
      <c r="D353" s="105" t="n">
        <v>33.6</v>
      </c>
      <c r="E353" s="301" t="n">
        <v>24</v>
      </c>
      <c r="F353" s="301" t="n">
        <v>360</v>
      </c>
      <c r="G353" s="301">
        <f>5+2+24</f>
        <v/>
      </c>
      <c r="H353" s="301">
        <f>F353-G353</f>
        <v/>
      </c>
      <c r="I353" s="161" t="n"/>
      <c r="J353" s="161" t="n"/>
      <c r="K353" s="161" t="n"/>
      <c r="L353" s="161" t="n"/>
      <c r="M353" s="161" t="n"/>
    </row>
    <row r="354" ht="30" customHeight="1">
      <c r="A354" s="427" t="n"/>
      <c r="B354" s="312" t="inlineStr">
        <is>
          <t>COSMIC BAGUETTE</t>
        </is>
      </c>
      <c r="C354" s="318" t="inlineStr">
        <is>
          <t>6*18</t>
        </is>
      </c>
      <c r="D354" s="106" t="n">
        <v>30</v>
      </c>
      <c r="E354" s="318" t="n">
        <v>42</v>
      </c>
      <c r="F354" s="318">
        <f>588+672</f>
        <v/>
      </c>
      <c r="G354" s="318" t="n">
        <v>2</v>
      </c>
      <c r="H354" s="301">
        <f>F354-G354</f>
        <v/>
      </c>
      <c r="I354" s="161" t="n"/>
      <c r="J354" s="161" t="n"/>
      <c r="K354" s="161" t="n"/>
      <c r="L354" s="161" t="n"/>
      <c r="M354" s="161" t="n"/>
    </row>
    <row r="355">
      <c r="A355" s="427" t="n"/>
      <c r="B355" s="428" t="n"/>
      <c r="C355" s="318" t="inlineStr">
        <is>
          <t>7*21</t>
        </is>
      </c>
      <c r="D355" s="106" t="n">
        <v>45</v>
      </c>
      <c r="E355" s="318" t="n">
        <v>24</v>
      </c>
      <c r="F355" s="318">
        <f>24+816+24</f>
        <v/>
      </c>
      <c r="G355" s="318" t="n"/>
      <c r="H355" s="301">
        <f>F355-G355</f>
        <v/>
      </c>
      <c r="I355" s="161" t="n"/>
      <c r="J355" s="161" t="n"/>
      <c r="K355" s="161" t="n"/>
      <c r="L355" s="161" t="n"/>
      <c r="M355" s="161" t="n"/>
    </row>
    <row r="356">
      <c r="A356" s="427" t="n"/>
      <c r="B356" s="318" t="inlineStr">
        <is>
          <t>Xirus</t>
        </is>
      </c>
      <c r="C356" s="318" t="inlineStr">
        <is>
          <t>8*8</t>
        </is>
      </c>
      <c r="D356" s="106" t="n">
        <v>10.5</v>
      </c>
      <c r="E356" s="318" t="n">
        <v>84</v>
      </c>
      <c r="F356" s="318">
        <f>2826+168</f>
        <v/>
      </c>
      <c r="G356" s="318" t="n">
        <v>2</v>
      </c>
      <c r="H356" s="301">
        <f>F356-G356</f>
        <v/>
      </c>
      <c r="I356" s="161" t="n"/>
      <c r="J356" s="161" t="n"/>
      <c r="K356" s="161" t="n"/>
      <c r="L356" s="161" t="n"/>
      <c r="M356" s="161" t="n"/>
    </row>
    <row r="357" ht="15.75" customHeight="1" thickBot="1">
      <c r="A357" s="427" t="n"/>
      <c r="B357" s="427" t="n"/>
      <c r="C357" s="318" t="inlineStr">
        <is>
          <t>12*12</t>
        </is>
      </c>
      <c r="D357" s="106" t="n">
        <v>14.7</v>
      </c>
      <c r="E357" s="318" t="n">
        <v>40</v>
      </c>
      <c r="F357" s="318">
        <f>620+80</f>
        <v/>
      </c>
      <c r="G357" s="318" t="n">
        <v>2</v>
      </c>
      <c r="H357" s="318">
        <f>F357-G357</f>
        <v/>
      </c>
      <c r="I357" s="161" t="n"/>
      <c r="J357" s="161" t="n"/>
      <c r="K357" s="161" t="n"/>
      <c r="L357" s="161" t="n"/>
      <c r="M357" s="161" t="n"/>
    </row>
    <row r="358" ht="16.5" customHeight="1" thickBot="1" thickTop="1">
      <c r="A358" s="235" t="inlineStr">
        <is>
          <t>Lt. Peach</t>
        </is>
      </c>
      <c r="B358" s="31" t="inlineStr">
        <is>
          <t>RIVOLI</t>
        </is>
      </c>
      <c r="C358" s="31" t="inlineStr">
        <is>
          <t>12*12</t>
        </is>
      </c>
      <c r="D358" s="110" t="n">
        <v>27</v>
      </c>
      <c r="E358" s="31" t="n">
        <v>40</v>
      </c>
      <c r="F358" s="31" t="n">
        <v>160</v>
      </c>
      <c r="G358" s="31" t="n"/>
      <c r="H358" s="31">
        <f>F358-G358</f>
        <v/>
      </c>
      <c r="I358" s="161" t="n"/>
      <c r="J358" s="161" t="n"/>
      <c r="K358" s="161" t="n"/>
      <c r="L358" s="161" t="n"/>
      <c r="M358" s="161" t="n"/>
    </row>
    <row r="359" ht="16.5" customHeight="1" thickBot="1" thickTop="1">
      <c r="A359" s="235" t="inlineStr">
        <is>
          <t>Lt. Peach AB</t>
        </is>
      </c>
      <c r="B359" s="31" t="inlineStr">
        <is>
          <t>RIVOLI</t>
        </is>
      </c>
      <c r="C359" s="31" t="inlineStr">
        <is>
          <t>12*12</t>
        </is>
      </c>
      <c r="D359" s="110" t="n">
        <v>35</v>
      </c>
      <c r="E359" s="31" t="n">
        <v>40</v>
      </c>
      <c r="F359" s="31" t="n">
        <v>117</v>
      </c>
      <c r="G359" s="31" t="n"/>
      <c r="H359" s="31">
        <f>F359-G359</f>
        <v/>
      </c>
      <c r="I359" s="161" t="n"/>
      <c r="J359" s="161" t="n"/>
      <c r="K359" s="161" t="n"/>
      <c r="L359" s="161" t="n"/>
      <c r="M359" s="161" t="n"/>
    </row>
    <row r="360" ht="15.75" customHeight="1" thickTop="1">
      <c r="A360" s="235" t="inlineStr">
        <is>
          <t>Peridot</t>
        </is>
      </c>
      <c r="B360" s="303" t="inlineStr">
        <is>
          <t>DROP</t>
        </is>
      </c>
      <c r="C360" s="303" t="inlineStr">
        <is>
          <t>11*18</t>
        </is>
      </c>
      <c r="D360" s="108" t="n">
        <v>23</v>
      </c>
      <c r="E360" s="303" t="n">
        <v>24</v>
      </c>
      <c r="F360" s="303" t="n">
        <v>24</v>
      </c>
      <c r="G360" s="303" t="n"/>
      <c r="H360" s="305">
        <f>F360-G360</f>
        <v/>
      </c>
      <c r="I360" s="161" t="n"/>
      <c r="J360" s="161" t="n"/>
      <c r="K360" s="161" t="n"/>
      <c r="L360" s="161" t="n"/>
      <c r="M360" s="161" t="n"/>
    </row>
    <row r="361">
      <c r="A361" s="427" t="n"/>
      <c r="B361" s="301" t="inlineStr">
        <is>
          <t>RIVOLI</t>
        </is>
      </c>
      <c r="C361" s="301" t="inlineStr">
        <is>
          <t>12*12</t>
        </is>
      </c>
      <c r="D361" s="105" t="n">
        <v>20</v>
      </c>
      <c r="E361" s="301" t="n">
        <v>40</v>
      </c>
      <c r="F361" s="301" t="n">
        <v>225</v>
      </c>
      <c r="G361" s="301" t="n"/>
      <c r="H361" s="318">
        <f>F361-G361</f>
        <v/>
      </c>
      <c r="I361" s="161" t="n"/>
      <c r="J361" s="161" t="n"/>
      <c r="K361" s="161" t="n"/>
      <c r="L361" s="161" t="n"/>
      <c r="M361" s="161" t="n"/>
    </row>
    <row r="362">
      <c r="A362" s="427" t="n"/>
      <c r="B362" s="428" t="n"/>
      <c r="C362" s="318" t="inlineStr">
        <is>
          <t>14*14</t>
        </is>
      </c>
      <c r="D362" s="106" t="n">
        <v>23</v>
      </c>
      <c r="E362" s="318" t="n">
        <v>28</v>
      </c>
      <c r="F362" s="318" t="n">
        <v>112</v>
      </c>
      <c r="G362" s="318" t="n"/>
      <c r="H362" s="318">
        <f>F362-G362</f>
        <v/>
      </c>
      <c r="I362" s="161" t="n"/>
      <c r="J362" s="161" t="n"/>
      <c r="K362" s="161" t="n"/>
      <c r="L362" s="161" t="n"/>
      <c r="M362" s="161" t="n"/>
    </row>
    <row r="363" ht="15.75" customHeight="1" thickBot="1">
      <c r="A363" s="429" t="n"/>
      <c r="B363" s="302" t="inlineStr">
        <is>
          <t>Galactic</t>
        </is>
      </c>
      <c r="C363" s="302" t="inlineStr">
        <is>
          <t>7*12</t>
        </is>
      </c>
      <c r="D363" s="107" t="n">
        <v>11</v>
      </c>
      <c r="E363" s="302" t="n">
        <v>72</v>
      </c>
      <c r="F363" s="302">
        <f>2736+72</f>
        <v/>
      </c>
      <c r="G363" s="302" t="n"/>
      <c r="H363" s="318">
        <f>F363-G363</f>
        <v/>
      </c>
      <c r="I363" s="161" t="n"/>
      <c r="J363" s="161" t="n"/>
      <c r="K363" s="161" t="n"/>
      <c r="L363" s="161" t="n"/>
      <c r="M363" s="161" t="n"/>
    </row>
    <row r="364" ht="16.5" customHeight="1" thickBot="1" thickTop="1">
      <c r="A364" s="387" t="inlineStr">
        <is>
          <t>Peridot AB</t>
        </is>
      </c>
      <c r="B364" s="305" t="inlineStr">
        <is>
          <t>RIVOLI</t>
        </is>
      </c>
      <c r="C364" s="305" t="inlineStr">
        <is>
          <t>12*12</t>
        </is>
      </c>
      <c r="D364" s="124" t="n">
        <v>30</v>
      </c>
      <c r="E364" s="305" t="n">
        <v>40</v>
      </c>
      <c r="F364" s="305" t="n">
        <v>56</v>
      </c>
      <c r="G364" s="305" t="n"/>
      <c r="H364" s="31">
        <f>F364-G364</f>
        <v/>
      </c>
      <c r="I364" s="161" t="n"/>
      <c r="J364" s="161" t="n"/>
      <c r="K364" s="161" t="n"/>
      <c r="L364" s="161" t="n"/>
      <c r="M364" s="161" t="n"/>
    </row>
    <row r="365" ht="15.75" customHeight="1" thickTop="1">
      <c r="A365" s="351" t="inlineStr">
        <is>
          <t>EMERALD</t>
        </is>
      </c>
      <c r="B365" s="311" t="inlineStr">
        <is>
          <t>DROP</t>
        </is>
      </c>
      <c r="C365" s="308" t="inlineStr">
        <is>
          <t>7*12</t>
        </is>
      </c>
      <c r="D365" s="120" t="n">
        <v>16.670745</v>
      </c>
      <c r="E365" s="308" t="n">
        <v>72</v>
      </c>
      <c r="F365" s="308" t="n">
        <v>1728</v>
      </c>
      <c r="G365" s="308" t="n"/>
      <c r="H365" s="308">
        <f>F365-G365</f>
        <v/>
      </c>
      <c r="I365" s="161" t="n"/>
      <c r="J365" s="161" t="n"/>
      <c r="K365" s="161" t="n"/>
      <c r="L365" s="161" t="n"/>
      <c r="M365" s="161" t="n"/>
    </row>
    <row r="366">
      <c r="A366" s="427" t="n"/>
      <c r="B366" s="427" t="n"/>
      <c r="C366" s="301" t="inlineStr">
        <is>
          <t>10*14</t>
        </is>
      </c>
      <c r="D366" s="105" t="n">
        <v>12.6</v>
      </c>
      <c r="E366" s="301" t="n">
        <v>36</v>
      </c>
      <c r="F366" s="301" t="n">
        <v>612</v>
      </c>
      <c r="G366" s="301" t="n"/>
      <c r="H366" s="301">
        <f>F366-G366</f>
        <v/>
      </c>
      <c r="I366" s="161" t="n"/>
      <c r="J366" s="161" t="n"/>
      <c r="K366" s="161" t="n"/>
      <c r="L366" s="161" t="n"/>
      <c r="M366" s="161" t="n"/>
    </row>
    <row r="367">
      <c r="A367" s="427" t="n"/>
      <c r="B367" s="428" t="n"/>
      <c r="C367" s="312" t="inlineStr">
        <is>
          <t>17*28</t>
        </is>
      </c>
      <c r="D367" s="113" t="n">
        <v>59</v>
      </c>
      <c r="E367" s="312" t="n">
        <v>12</v>
      </c>
      <c r="F367" s="312" t="n">
        <v>33</v>
      </c>
      <c r="G367" s="312" t="n"/>
      <c r="H367" s="301">
        <f>F367-G367</f>
        <v/>
      </c>
      <c r="I367" s="161" t="n"/>
      <c r="J367" s="161" t="n"/>
      <c r="K367" s="161" t="n"/>
      <c r="L367" s="161" t="n"/>
      <c r="M367" s="161" t="n"/>
    </row>
    <row r="368">
      <c r="A368" s="427" t="n"/>
      <c r="B368" s="312" t="inlineStr">
        <is>
          <t>NAVETTE</t>
        </is>
      </c>
      <c r="C368" s="312" t="inlineStr">
        <is>
          <t>7*15</t>
        </is>
      </c>
      <c r="D368" s="113" t="n">
        <v>20.375355</v>
      </c>
      <c r="E368" s="312" t="n">
        <v>63</v>
      </c>
      <c r="F368" s="312" t="n">
        <v>1134</v>
      </c>
      <c r="G368" s="312" t="n"/>
      <c r="H368" s="301">
        <f>F368-G368</f>
        <v/>
      </c>
      <c r="I368" s="161" t="n"/>
      <c r="J368" s="161" t="n"/>
      <c r="K368" s="161" t="n"/>
      <c r="L368" s="161" t="n"/>
      <c r="M368" s="161" t="n"/>
    </row>
    <row r="369">
      <c r="A369" s="427" t="n"/>
      <c r="B369" s="428" t="n"/>
      <c r="C369" s="301" t="inlineStr">
        <is>
          <t>9*18</t>
        </is>
      </c>
      <c r="D369" s="105" t="n">
        <v>14.7</v>
      </c>
      <c r="E369" s="301" t="n">
        <v>36</v>
      </c>
      <c r="F369" s="301" t="n">
        <v>96</v>
      </c>
      <c r="G369" s="301" t="n"/>
      <c r="H369" s="301">
        <f>F369-G369</f>
        <v/>
      </c>
      <c r="I369" s="161" t="n"/>
      <c r="J369" s="161" t="n"/>
      <c r="K369" s="161" t="n"/>
      <c r="L369" s="161" t="n"/>
      <c r="M369" s="161" t="n"/>
    </row>
    <row r="370">
      <c r="A370" s="427" t="n"/>
      <c r="B370" s="312" t="inlineStr">
        <is>
          <t>RIVOLI</t>
        </is>
      </c>
      <c r="C370" s="312" t="inlineStr">
        <is>
          <t>10*10</t>
        </is>
      </c>
      <c r="D370" s="113" t="n">
        <v>16.670745</v>
      </c>
      <c r="E370" s="312" t="n">
        <v>45</v>
      </c>
      <c r="F370" s="312" t="n">
        <v>890</v>
      </c>
      <c r="G370" s="312" t="n"/>
      <c r="H370" s="301">
        <f>F370-G370</f>
        <v/>
      </c>
      <c r="I370" s="161" t="n"/>
      <c r="J370" s="161" t="n"/>
      <c r="K370" s="161" t="n"/>
      <c r="L370" s="161" t="n"/>
      <c r="M370" s="161" t="n"/>
    </row>
    <row r="371">
      <c r="A371" s="427" t="n"/>
      <c r="B371" s="427" t="n"/>
      <c r="C371" s="312" t="inlineStr">
        <is>
          <t>12*12</t>
        </is>
      </c>
      <c r="D371" s="113" t="n">
        <v>20.375355</v>
      </c>
      <c r="E371" s="312" t="n">
        <v>40</v>
      </c>
      <c r="F371" s="312" t="n">
        <v>680</v>
      </c>
      <c r="G371" s="312" t="n"/>
      <c r="H371" s="301">
        <f>F371-G371</f>
        <v/>
      </c>
      <c r="I371" s="161" t="n"/>
      <c r="J371" s="161" t="n"/>
      <c r="K371" s="161" t="n"/>
      <c r="L371" s="161" t="n"/>
      <c r="M371" s="161" t="n"/>
    </row>
    <row r="372">
      <c r="A372" s="427" t="n"/>
      <c r="B372" s="428" t="n"/>
      <c r="C372" s="312" t="inlineStr">
        <is>
          <t>14*14</t>
        </is>
      </c>
      <c r="D372" s="113" t="n">
        <v>23.46253</v>
      </c>
      <c r="E372" s="312" t="n">
        <v>28</v>
      </c>
      <c r="F372" s="312" t="n">
        <v>420</v>
      </c>
      <c r="G372" s="312" t="n"/>
      <c r="H372" s="301">
        <f>F372-G372</f>
        <v/>
      </c>
      <c r="I372" s="161" t="n"/>
      <c r="J372" s="161" t="n"/>
      <c r="K372" s="161" t="n"/>
      <c r="L372" s="161" t="n"/>
      <c r="M372" s="161" t="n"/>
    </row>
    <row r="373">
      <c r="A373" s="427" t="n"/>
      <c r="B373" s="301" t="inlineStr">
        <is>
          <t>Trilliant</t>
        </is>
      </c>
      <c r="C373" s="301" t="inlineStr">
        <is>
          <t>12*12</t>
        </is>
      </c>
      <c r="D373" s="105" t="n">
        <v>14.7</v>
      </c>
      <c r="E373" s="301" t="n">
        <v>28</v>
      </c>
      <c r="F373" s="301" t="n">
        <v>531</v>
      </c>
      <c r="G373" s="301" t="n"/>
      <c r="H373" s="301">
        <f>F373-G373</f>
        <v/>
      </c>
      <c r="I373" s="161" t="n"/>
      <c r="J373" s="161" t="n"/>
      <c r="K373" s="161" t="n"/>
      <c r="L373" s="161" t="n"/>
      <c r="M373" s="161" t="n"/>
    </row>
    <row r="374">
      <c r="A374" s="427" t="n"/>
      <c r="B374" s="428" t="n"/>
      <c r="C374" s="301" t="inlineStr">
        <is>
          <t>16*16</t>
        </is>
      </c>
      <c r="D374" s="105" t="n">
        <v>47</v>
      </c>
      <c r="E374" s="301" t="n">
        <v>18</v>
      </c>
      <c r="F374" s="301" t="n">
        <v>324</v>
      </c>
      <c r="G374" s="301" t="n"/>
      <c r="H374" s="301">
        <f>F374-G374</f>
        <v/>
      </c>
      <c r="I374" s="161" t="n"/>
      <c r="J374" s="161" t="n"/>
      <c r="K374" s="161" t="n"/>
      <c r="L374" s="161" t="n"/>
      <c r="M374" s="161" t="n"/>
    </row>
    <row r="375">
      <c r="A375" s="427" t="n"/>
      <c r="B375" s="312" t="inlineStr">
        <is>
          <t>COSMIC</t>
        </is>
      </c>
      <c r="C375" s="312" t="inlineStr">
        <is>
          <t>9*12</t>
        </is>
      </c>
      <c r="D375" s="113" t="n">
        <v>18.52305</v>
      </c>
      <c r="E375" s="312" t="n">
        <v>48</v>
      </c>
      <c r="F375" s="312" t="n">
        <v>336</v>
      </c>
      <c r="G375" s="312" t="n"/>
      <c r="H375" s="301">
        <f>F375-G375</f>
        <v/>
      </c>
      <c r="I375" s="161" t="n"/>
      <c r="J375" s="161" t="n"/>
      <c r="K375" s="161" t="n"/>
      <c r="L375" s="161" t="n"/>
      <c r="M375" s="161" t="n"/>
    </row>
    <row r="376">
      <c r="A376" s="427" t="n"/>
      <c r="B376" s="427" t="n"/>
      <c r="C376" s="312" t="inlineStr">
        <is>
          <t>10*14</t>
        </is>
      </c>
      <c r="D376" s="113" t="n">
        <v>28</v>
      </c>
      <c r="E376" s="312" t="n">
        <v>28</v>
      </c>
      <c r="F376" s="312" t="n">
        <v>109</v>
      </c>
      <c r="G376" s="312" t="n"/>
      <c r="H376" s="301">
        <f>F376-G376</f>
        <v/>
      </c>
      <c r="I376" s="161" t="n"/>
      <c r="J376" s="161" t="n"/>
      <c r="K376" s="161" t="n"/>
      <c r="L376" s="161" t="n"/>
      <c r="M376" s="161" t="n"/>
    </row>
    <row r="377">
      <c r="A377" s="427" t="n"/>
      <c r="B377" s="428" t="n"/>
      <c r="C377" s="312" t="inlineStr">
        <is>
          <t>13*17</t>
        </is>
      </c>
      <c r="D377" s="113" t="n">
        <v>46.92506</v>
      </c>
      <c r="E377" s="312" t="n">
        <v>24</v>
      </c>
      <c r="F377" s="312" t="n">
        <v>144</v>
      </c>
      <c r="G377" s="312" t="n"/>
      <c r="H377" s="301">
        <f>F377-G377</f>
        <v/>
      </c>
      <c r="I377" s="161" t="n"/>
      <c r="J377" s="161" t="n"/>
      <c r="K377" s="161" t="n"/>
      <c r="L377" s="161" t="n"/>
      <c r="M377" s="161" t="n"/>
    </row>
    <row r="378">
      <c r="A378" s="427" t="n"/>
      <c r="B378" s="360" t="inlineStr">
        <is>
          <t>GALACTIC</t>
        </is>
      </c>
      <c r="C378" s="318" t="inlineStr">
        <is>
          <t>7*12</t>
        </is>
      </c>
      <c r="D378" s="106" t="n">
        <v>10.5</v>
      </c>
      <c r="E378" s="318" t="n">
        <v>72</v>
      </c>
      <c r="F378" s="318" t="n">
        <v>1296</v>
      </c>
      <c r="G378" s="318" t="n"/>
      <c r="H378" s="301">
        <f>F378-G378</f>
        <v/>
      </c>
      <c r="I378" s="161" t="n"/>
      <c r="J378" s="161" t="n"/>
      <c r="K378" s="161" t="n"/>
      <c r="L378" s="161" t="n"/>
      <c r="M378" s="161" t="n"/>
    </row>
    <row r="379">
      <c r="A379" s="427" t="n"/>
      <c r="B379" s="427" t="n"/>
      <c r="C379" s="312" t="inlineStr">
        <is>
          <t>9*14</t>
        </is>
      </c>
      <c r="D379" s="113" t="n">
        <v>20.375355</v>
      </c>
      <c r="E379" s="312" t="n">
        <v>48</v>
      </c>
      <c r="F379" s="312" t="n">
        <v>816</v>
      </c>
      <c r="G379" s="312" t="n"/>
      <c r="H379" s="301">
        <f>F379-G379</f>
        <v/>
      </c>
      <c r="I379" s="161" t="n"/>
      <c r="J379" s="161" t="n"/>
      <c r="K379" s="161" t="n"/>
      <c r="L379" s="161" t="n"/>
      <c r="M379" s="161" t="n"/>
    </row>
    <row r="380" ht="30" customHeight="1">
      <c r="A380" s="427" t="n"/>
      <c r="B380" s="360" t="inlineStr">
        <is>
          <t>COSMIC BAGUETTE</t>
        </is>
      </c>
      <c r="C380" s="312" t="inlineStr">
        <is>
          <t>6*18</t>
        </is>
      </c>
      <c r="D380" s="113" t="n">
        <v>26.68575</v>
      </c>
      <c r="E380" s="312" t="n">
        <v>42</v>
      </c>
      <c r="F380" s="312" t="n">
        <v>168</v>
      </c>
      <c r="G380" s="312" t="n"/>
      <c r="H380" s="301">
        <f>F380-G380</f>
        <v/>
      </c>
      <c r="I380" s="161" t="n"/>
      <c r="J380" s="161" t="n"/>
      <c r="K380" s="161" t="n"/>
      <c r="L380" s="161" t="n"/>
      <c r="M380" s="161" t="n"/>
    </row>
    <row r="381">
      <c r="A381" s="427" t="n"/>
      <c r="B381" s="312" t="inlineStr">
        <is>
          <t>XIRIUS</t>
        </is>
      </c>
      <c r="C381" s="312" t="inlineStr">
        <is>
          <t>8*8</t>
        </is>
      </c>
      <c r="D381" s="113" t="n">
        <v>16.670745</v>
      </c>
      <c r="E381" s="312" t="n">
        <v>84</v>
      </c>
      <c r="F381" s="312" t="n">
        <v>2010</v>
      </c>
      <c r="G381" s="312" t="n"/>
      <c r="H381" s="301">
        <f>F381-G381</f>
        <v/>
      </c>
      <c r="I381" s="161" t="n"/>
      <c r="J381" s="161" t="n"/>
      <c r="K381" s="161" t="n"/>
      <c r="L381" s="161" t="n"/>
      <c r="M381" s="161" t="n"/>
    </row>
    <row r="382">
      <c r="A382" s="427" t="n"/>
      <c r="B382" s="427" t="n"/>
      <c r="C382" s="312" t="inlineStr">
        <is>
          <t>10*10</t>
        </is>
      </c>
      <c r="D382" s="113" t="n">
        <v>20.375355</v>
      </c>
      <c r="E382" s="312" t="n">
        <v>45</v>
      </c>
      <c r="F382" s="312" t="n">
        <v>855</v>
      </c>
      <c r="G382" s="312" t="n"/>
      <c r="H382" s="301">
        <f>F382-G382</f>
        <v/>
      </c>
      <c r="I382" s="161" t="n"/>
      <c r="J382" s="161" t="n"/>
      <c r="K382" s="161" t="n"/>
      <c r="L382" s="161" t="n"/>
      <c r="M382" s="161" t="n"/>
    </row>
    <row r="383" ht="15.75" customHeight="1" thickBot="1">
      <c r="A383" s="428" t="n"/>
      <c r="B383" s="428" t="n"/>
      <c r="C383" s="313" t="inlineStr">
        <is>
          <t>12*12</t>
        </is>
      </c>
      <c r="D383" s="115" t="n">
        <v>23.46253</v>
      </c>
      <c r="E383" s="313" t="n">
        <v>40</v>
      </c>
      <c r="F383" s="313" t="n">
        <v>440</v>
      </c>
      <c r="G383" s="313" t="n"/>
      <c r="H383" s="318">
        <f>F383-G383</f>
        <v/>
      </c>
      <c r="I383" s="161" t="n"/>
      <c r="J383" s="161" t="n"/>
      <c r="K383" s="161" t="n"/>
      <c r="L383" s="161" t="n"/>
      <c r="M383" s="161" t="n"/>
    </row>
    <row r="384" ht="16.5" customHeight="1" thickBot="1" thickTop="1">
      <c r="A384" s="358" t="inlineStr">
        <is>
          <t>EMERALD AB</t>
        </is>
      </c>
      <c r="B384" s="309" t="inlineStr">
        <is>
          <t>RIVOLI</t>
        </is>
      </c>
      <c r="C384" s="309" t="inlineStr">
        <is>
          <t>12*12</t>
        </is>
      </c>
      <c r="D384" s="128" t="n">
        <v>30</v>
      </c>
      <c r="E384" s="309" t="n">
        <v>40</v>
      </c>
      <c r="F384" s="309" t="n">
        <v>103</v>
      </c>
      <c r="G384" s="309" t="n"/>
      <c r="H384" s="31">
        <f>F384-G384</f>
        <v/>
      </c>
      <c r="I384" s="161" t="n"/>
      <c r="J384" s="161" t="n"/>
      <c r="K384" s="161" t="n"/>
      <c r="L384" s="161" t="n"/>
      <c r="M384" s="161" t="n"/>
    </row>
    <row r="385" ht="15.75" customHeight="1" thickTop="1">
      <c r="A385" s="357" t="inlineStr">
        <is>
          <t>GOLDEN SHADOW</t>
        </is>
      </c>
      <c r="B385" s="311" t="inlineStr">
        <is>
          <t>DROP</t>
        </is>
      </c>
      <c r="C385" s="311" t="inlineStr">
        <is>
          <t>7*12</t>
        </is>
      </c>
      <c r="D385" s="111" t="n">
        <v>16.670745</v>
      </c>
      <c r="E385" s="311" t="n">
        <v>72</v>
      </c>
      <c r="F385" s="311">
        <f>1152+576</f>
        <v/>
      </c>
      <c r="G385" s="311" t="n"/>
      <c r="H385" s="311">
        <f>F385-G385</f>
        <v/>
      </c>
      <c r="I385" s="161" t="n"/>
      <c r="J385" s="161" t="n"/>
      <c r="K385" s="161" t="n"/>
      <c r="L385" s="161" t="n"/>
      <c r="M385" s="161" t="n"/>
    </row>
    <row r="386">
      <c r="A386" s="427" t="n"/>
      <c r="B386" s="428" t="n"/>
      <c r="C386" s="312" t="inlineStr">
        <is>
          <t>11*18</t>
        </is>
      </c>
      <c r="D386" s="113" t="n">
        <v>23.46253</v>
      </c>
      <c r="E386" s="312" t="n">
        <v>24</v>
      </c>
      <c r="F386" s="312">
        <f>96+24</f>
        <v/>
      </c>
      <c r="G386" s="312" t="n"/>
      <c r="H386" s="312">
        <f>F386-G386</f>
        <v/>
      </c>
      <c r="I386" s="161" t="n"/>
      <c r="J386" s="161" t="n"/>
      <c r="K386" s="161" t="n"/>
      <c r="L386" s="161" t="n"/>
      <c r="M386" s="161" t="n"/>
    </row>
    <row r="387">
      <c r="A387" s="427" t="n"/>
      <c r="B387" s="312" t="inlineStr">
        <is>
          <t>NAVETTE</t>
        </is>
      </c>
      <c r="C387" s="312" t="inlineStr">
        <is>
          <t>7*15</t>
        </is>
      </c>
      <c r="D387" s="113" t="n">
        <v>20.375355</v>
      </c>
      <c r="E387" s="312" t="n">
        <v>63</v>
      </c>
      <c r="F387" s="312">
        <f>1323</f>
        <v/>
      </c>
      <c r="G387" s="312" t="n"/>
      <c r="H387" s="312">
        <f>F387-G387</f>
        <v/>
      </c>
      <c r="I387" s="161" t="n"/>
      <c r="J387" s="161" t="n"/>
      <c r="K387" s="161" t="n"/>
      <c r="L387" s="161" t="n"/>
      <c r="M387" s="161" t="n"/>
    </row>
    <row r="388">
      <c r="A388" s="427" t="n"/>
      <c r="B388" s="312" t="inlineStr">
        <is>
          <t>RIVOLI</t>
        </is>
      </c>
      <c r="C388" s="312" t="inlineStr">
        <is>
          <t>10*10</t>
        </is>
      </c>
      <c r="D388" s="113" t="n">
        <v>16.670745</v>
      </c>
      <c r="E388" s="312" t="n">
        <v>45</v>
      </c>
      <c r="F388" s="312">
        <f>315+225</f>
        <v/>
      </c>
      <c r="G388" s="312" t="n">
        <v>45</v>
      </c>
      <c r="H388" s="312">
        <f>F388-G388</f>
        <v/>
      </c>
      <c r="I388" s="161" t="n"/>
      <c r="J388" s="161" t="n"/>
      <c r="K388" s="161" t="n"/>
      <c r="L388" s="161" t="n"/>
      <c r="M388" s="161" t="n"/>
    </row>
    <row r="389">
      <c r="A389" s="427" t="n"/>
      <c r="B389" s="427" t="n"/>
      <c r="C389" s="312" t="inlineStr">
        <is>
          <t>12*12</t>
        </is>
      </c>
      <c r="D389" s="113" t="n">
        <v>27</v>
      </c>
      <c r="E389" s="312" t="n">
        <v>40</v>
      </c>
      <c r="F389" s="312">
        <f>240+160+30+94+200</f>
        <v/>
      </c>
      <c r="G389" s="312" t="n">
        <v>40</v>
      </c>
      <c r="H389" s="312">
        <f>F389-G389</f>
        <v/>
      </c>
      <c r="I389" s="161" t="n"/>
      <c r="J389" s="161" t="n"/>
      <c r="K389" s="161" t="n"/>
      <c r="L389" s="161" t="n"/>
      <c r="M389" s="161" t="n"/>
    </row>
    <row r="390">
      <c r="A390" s="427" t="n"/>
      <c r="B390" s="428" t="n"/>
      <c r="C390" s="312" t="inlineStr">
        <is>
          <t>14*14</t>
        </is>
      </c>
      <c r="D390" s="113" t="n">
        <v>23.46253</v>
      </c>
      <c r="E390" s="312" t="n">
        <v>28</v>
      </c>
      <c r="F390" s="312">
        <f>112+504</f>
        <v/>
      </c>
      <c r="G390" s="312" t="n">
        <v>28</v>
      </c>
      <c r="H390" s="312">
        <f>F390-G390</f>
        <v/>
      </c>
      <c r="I390" s="161" t="n"/>
      <c r="J390" s="161" t="n"/>
      <c r="K390" s="161" t="n"/>
      <c r="L390" s="161" t="n"/>
      <c r="M390" s="161" t="n"/>
    </row>
    <row r="391">
      <c r="A391" s="427" t="n"/>
      <c r="B391" s="301" t="inlineStr">
        <is>
          <t>Trilliant</t>
        </is>
      </c>
      <c r="C391" s="301" t="inlineStr">
        <is>
          <t>12*12</t>
        </is>
      </c>
      <c r="D391" s="105" t="n">
        <v>15</v>
      </c>
      <c r="E391" s="301" t="n">
        <v>28</v>
      </c>
      <c r="F391" s="301">
        <f>504+28+28</f>
        <v/>
      </c>
      <c r="G391" s="301" t="n"/>
      <c r="H391" s="312">
        <f>F391-G391</f>
        <v/>
      </c>
      <c r="I391" s="161" t="n"/>
      <c r="J391" s="161" t="n"/>
      <c r="K391" s="161" t="n"/>
      <c r="L391" s="161" t="n"/>
      <c r="M391" s="161" t="n"/>
    </row>
    <row r="392">
      <c r="A392" s="427" t="n"/>
      <c r="B392" s="428" t="n"/>
      <c r="C392" s="301" t="inlineStr">
        <is>
          <t>16*16</t>
        </is>
      </c>
      <c r="D392" s="105" t="n">
        <v>25</v>
      </c>
      <c r="E392" s="301" t="n">
        <v>18</v>
      </c>
      <c r="F392" s="301" t="n">
        <v>36</v>
      </c>
      <c r="G392" s="301" t="n"/>
      <c r="H392" s="312">
        <f>F392-G392</f>
        <v/>
      </c>
      <c r="I392" s="161" t="n"/>
      <c r="J392" s="161" t="n"/>
      <c r="K392" s="161" t="n"/>
      <c r="L392" s="161" t="n"/>
      <c r="M392" s="161" t="n"/>
    </row>
    <row r="393">
      <c r="A393" s="427" t="n"/>
      <c r="B393" s="312" t="inlineStr">
        <is>
          <t>COSMIC</t>
        </is>
      </c>
      <c r="C393" s="301" t="inlineStr">
        <is>
          <t>9*12</t>
        </is>
      </c>
      <c r="D393" s="105" t="n">
        <v>19</v>
      </c>
      <c r="E393" s="301" t="n">
        <v>48</v>
      </c>
      <c r="F393" s="301">
        <f>618+48+48</f>
        <v/>
      </c>
      <c r="G393" s="301" t="n"/>
      <c r="H393" s="312">
        <f>F393-G393</f>
        <v/>
      </c>
      <c r="I393" s="161" t="n"/>
      <c r="J393" s="161" t="n"/>
      <c r="K393" s="161" t="n"/>
      <c r="L393" s="161" t="n"/>
      <c r="M393" s="161" t="n"/>
    </row>
    <row r="394">
      <c r="A394" s="427" t="n"/>
      <c r="B394" s="428" t="n"/>
      <c r="C394" s="312" t="inlineStr">
        <is>
          <t>10*14</t>
        </is>
      </c>
      <c r="D394" s="113" t="n">
        <v>23.46253</v>
      </c>
      <c r="E394" s="312" t="n">
        <v>28</v>
      </c>
      <c r="F394" s="312" t="n">
        <v>196</v>
      </c>
      <c r="G394" s="312" t="n"/>
      <c r="H394" s="312">
        <f>F394-G394</f>
        <v/>
      </c>
      <c r="I394" s="161" t="n"/>
      <c r="J394" s="161" t="n"/>
      <c r="K394" s="161" t="n"/>
      <c r="L394" s="161" t="n"/>
      <c r="M394" s="161" t="n"/>
    </row>
    <row r="395">
      <c r="A395" s="427" t="n"/>
      <c r="B395" s="312" t="inlineStr">
        <is>
          <t>GALACTIC</t>
        </is>
      </c>
      <c r="C395" s="312" t="inlineStr">
        <is>
          <t>7*12</t>
        </is>
      </c>
      <c r="D395" s="113" t="n">
        <v>16.670745</v>
      </c>
      <c r="E395" s="312" t="n">
        <v>72</v>
      </c>
      <c r="F395" s="312">
        <f>1296+1296</f>
        <v/>
      </c>
      <c r="G395" s="312" t="n"/>
      <c r="H395" s="312">
        <f>F395-G395</f>
        <v/>
      </c>
      <c r="I395" s="161" t="n"/>
      <c r="J395" s="161" t="n"/>
      <c r="K395" s="161" t="n"/>
      <c r="L395" s="161" t="n"/>
      <c r="M395" s="161" t="n"/>
    </row>
    <row r="396">
      <c r="A396" s="427" t="n"/>
      <c r="B396" s="428" t="n"/>
      <c r="C396" s="312" t="inlineStr">
        <is>
          <t>9*14</t>
        </is>
      </c>
      <c r="D396" s="113" t="n">
        <v>20.375355</v>
      </c>
      <c r="E396" s="312" t="n">
        <v>48</v>
      </c>
      <c r="F396" s="312">
        <f>672+210+336</f>
        <v/>
      </c>
      <c r="G396" s="312" t="n"/>
      <c r="H396" s="312">
        <f>F396-G396</f>
        <v/>
      </c>
      <c r="I396" s="161" t="n"/>
      <c r="J396" s="161" t="n"/>
      <c r="K396" s="161" t="n"/>
      <c r="L396" s="161" t="n"/>
      <c r="M396" s="161" t="n"/>
    </row>
    <row r="397">
      <c r="A397" s="427" t="n"/>
      <c r="B397" s="301" t="inlineStr">
        <is>
          <t>Cosmic Baguette</t>
        </is>
      </c>
      <c r="C397" s="301" t="inlineStr">
        <is>
          <t>6*18</t>
        </is>
      </c>
      <c r="D397" s="105" t="n">
        <v>17</v>
      </c>
      <c r="E397" s="301" t="n">
        <v>42</v>
      </c>
      <c r="F397" s="301">
        <f>1596+42+42</f>
        <v/>
      </c>
      <c r="G397" s="301" t="n"/>
      <c r="H397" s="312">
        <f>F397-G397</f>
        <v/>
      </c>
      <c r="I397" s="161" t="n"/>
      <c r="J397" s="161" t="n"/>
      <c r="K397" s="161" t="n"/>
      <c r="L397" s="161" t="n"/>
      <c r="M397" s="161" t="n"/>
    </row>
    <row r="398">
      <c r="A398" s="427" t="n"/>
      <c r="B398" s="428" t="n"/>
      <c r="C398" s="317" t="inlineStr">
        <is>
          <t>7*21</t>
        </is>
      </c>
      <c r="D398" s="109" t="n">
        <v>23</v>
      </c>
      <c r="E398" s="317" t="n">
        <v>24</v>
      </c>
      <c r="F398" s="317" t="n"/>
      <c r="G398" s="317" t="n"/>
      <c r="H398" s="312">
        <f>F398-G398</f>
        <v/>
      </c>
      <c r="I398" s="161" t="n"/>
      <c r="J398" s="161" t="n"/>
      <c r="K398" s="161" t="n"/>
      <c r="L398" s="161" t="n"/>
      <c r="M398" s="161" t="n"/>
    </row>
    <row r="399">
      <c r="A399" s="427" t="n"/>
      <c r="B399" s="361" t="inlineStr">
        <is>
          <t>XIRIUS</t>
        </is>
      </c>
      <c r="C399" s="361" t="inlineStr">
        <is>
          <t>8*8</t>
        </is>
      </c>
      <c r="D399" s="122" t="n">
        <v>16.670745</v>
      </c>
      <c r="E399" s="361" t="n">
        <v>84</v>
      </c>
      <c r="F399" s="361">
        <f>1344+672</f>
        <v/>
      </c>
      <c r="G399" s="361" t="n"/>
      <c r="H399" s="312">
        <f>F399-G399</f>
        <v/>
      </c>
      <c r="I399" s="161" t="n"/>
      <c r="J399" s="161" t="n"/>
      <c r="K399" s="161" t="n"/>
      <c r="L399" s="161" t="n"/>
      <c r="M399" s="161" t="n"/>
    </row>
    <row r="400">
      <c r="A400" s="427" t="n"/>
      <c r="B400" s="427" t="n"/>
      <c r="C400" s="312" t="inlineStr">
        <is>
          <t>10*10</t>
        </is>
      </c>
      <c r="D400" s="113" t="n">
        <v>20.375355</v>
      </c>
      <c r="E400" s="312" t="n">
        <v>45</v>
      </c>
      <c r="F400" s="312" t="n">
        <v>945</v>
      </c>
      <c r="G400" s="312" t="n"/>
      <c r="H400" s="312">
        <f>F400-G400</f>
        <v/>
      </c>
      <c r="I400" s="161" t="n"/>
      <c r="J400" s="161" t="n"/>
      <c r="K400" s="161" t="n"/>
      <c r="L400" s="161" t="n"/>
      <c r="M400" s="161" t="n"/>
    </row>
    <row r="401">
      <c r="A401" s="427" t="n"/>
      <c r="B401" s="428" t="n"/>
      <c r="C401" s="360" t="inlineStr">
        <is>
          <t>12*12</t>
        </is>
      </c>
      <c r="D401" s="117" t="n">
        <v>23.46253</v>
      </c>
      <c r="E401" s="360" t="n">
        <v>40</v>
      </c>
      <c r="F401" s="360">
        <f>720+40</f>
        <v/>
      </c>
      <c r="G401" s="360" t="n"/>
      <c r="H401" s="360">
        <f>F401-G401</f>
        <v/>
      </c>
      <c r="I401" s="161" t="n"/>
      <c r="J401" s="161" t="n"/>
      <c r="K401" s="161" t="n"/>
      <c r="L401" s="161" t="n"/>
      <c r="M401" s="161" t="n"/>
    </row>
    <row r="402" ht="15.75" customHeight="1" thickBot="1">
      <c r="A402" s="427" t="n"/>
      <c r="B402" s="360" t="inlineStr">
        <is>
          <t>DIAMOND LEAF</t>
        </is>
      </c>
      <c r="C402" s="360" t="inlineStr">
        <is>
          <t>10*20</t>
        </is>
      </c>
      <c r="D402" s="117" t="n">
        <v>46.92506</v>
      </c>
      <c r="E402" s="360" t="n">
        <v>24</v>
      </c>
      <c r="F402" s="313">
        <f>408+24+24</f>
        <v/>
      </c>
      <c r="G402" s="313" t="n"/>
      <c r="H402" s="313">
        <f>F402-G402</f>
        <v/>
      </c>
      <c r="I402" s="161" t="n"/>
      <c r="J402" s="161" t="n"/>
      <c r="K402" s="161" t="n"/>
      <c r="L402" s="161" t="n"/>
      <c r="M402" s="161" t="n"/>
    </row>
    <row r="403" ht="16.5" customHeight="1" thickBot="1" thickTop="1">
      <c r="A403" s="237" t="inlineStr">
        <is>
          <t>GOLDEN SHADOW AB</t>
        </is>
      </c>
      <c r="B403" s="36" t="inlineStr">
        <is>
          <t>RIVOLI</t>
        </is>
      </c>
      <c r="C403" s="36" t="inlineStr">
        <is>
          <t>12*12</t>
        </is>
      </c>
      <c r="D403" s="130" t="n">
        <v>30</v>
      </c>
      <c r="E403" s="36" t="n">
        <v>40</v>
      </c>
      <c r="F403" s="309" t="n">
        <v>120</v>
      </c>
      <c r="G403" s="309" t="n"/>
      <c r="H403" s="310">
        <f>F403-G403</f>
        <v/>
      </c>
      <c r="I403" s="161" t="n"/>
      <c r="J403" s="161" t="n"/>
      <c r="K403" s="161" t="n"/>
      <c r="L403" s="161" t="n"/>
      <c r="M403" s="161" t="n"/>
    </row>
    <row r="404" ht="15.75" customHeight="1" thickTop="1">
      <c r="A404" s="351" t="inlineStr">
        <is>
          <t>SUNSHINE</t>
        </is>
      </c>
      <c r="B404" s="311" t="inlineStr">
        <is>
          <t>DROP</t>
        </is>
      </c>
      <c r="C404" s="311" t="inlineStr">
        <is>
          <t>7*12</t>
        </is>
      </c>
      <c r="D404" s="111" t="n">
        <v>16.670745</v>
      </c>
      <c r="E404" s="311" t="n">
        <v>72</v>
      </c>
      <c r="F404" s="311" t="n">
        <v>1152</v>
      </c>
      <c r="G404" s="311" t="n"/>
      <c r="H404" s="311">
        <f>F404-G404</f>
        <v/>
      </c>
      <c r="I404" s="161" t="n"/>
      <c r="J404" s="161" t="n"/>
      <c r="K404" s="161" t="n"/>
      <c r="L404" s="161" t="n"/>
      <c r="M404" s="161" t="n"/>
    </row>
    <row r="405">
      <c r="A405" s="427" t="n"/>
      <c r="B405" s="427" t="n"/>
      <c r="C405" s="312" t="inlineStr">
        <is>
          <t>10*14</t>
        </is>
      </c>
      <c r="D405" s="113" t="n">
        <v>20.375355</v>
      </c>
      <c r="E405" s="312" t="n">
        <v>36</v>
      </c>
      <c r="F405" s="312" t="n">
        <v>1836</v>
      </c>
      <c r="G405" s="312" t="n"/>
      <c r="H405" s="312">
        <f>F405-G405</f>
        <v/>
      </c>
      <c r="I405" s="161" t="n"/>
      <c r="J405" s="161" t="n"/>
      <c r="K405" s="161" t="n"/>
      <c r="L405" s="161" t="n"/>
      <c r="M405" s="161" t="n"/>
    </row>
    <row r="406">
      <c r="A406" s="427" t="n"/>
      <c r="B406" s="427" t="n"/>
      <c r="C406" s="312" t="inlineStr">
        <is>
          <t>11*18</t>
        </is>
      </c>
      <c r="D406" s="113" t="n">
        <v>23.46253</v>
      </c>
      <c r="E406" s="312" t="n">
        <v>24</v>
      </c>
      <c r="F406" s="312" t="n">
        <v>2928</v>
      </c>
      <c r="G406" s="312" t="n">
        <v>45</v>
      </c>
      <c r="H406" s="312">
        <f>F406-G406</f>
        <v/>
      </c>
      <c r="I406" s="161" t="n"/>
      <c r="J406" s="161" t="n"/>
      <c r="K406" s="161" t="n"/>
      <c r="L406" s="161" t="n"/>
      <c r="M406" s="161" t="n"/>
    </row>
    <row r="407">
      <c r="A407" s="427" t="n"/>
      <c r="B407" s="428" t="n"/>
      <c r="C407" s="312" t="inlineStr">
        <is>
          <t>17*28</t>
        </is>
      </c>
      <c r="D407" s="113" t="n">
        <v>58.656325</v>
      </c>
      <c r="E407" s="312" t="n">
        <v>12</v>
      </c>
      <c r="F407" s="312" t="n">
        <v>60</v>
      </c>
      <c r="G407" s="312" t="n">
        <v>12</v>
      </c>
      <c r="H407" s="312">
        <f>F407-G407</f>
        <v/>
      </c>
      <c r="I407" s="161" t="n"/>
      <c r="J407" s="161" t="n"/>
      <c r="K407" s="161" t="n"/>
      <c r="L407" s="161" t="n"/>
      <c r="M407" s="161" t="n"/>
    </row>
    <row r="408">
      <c r="A408" s="427" t="n"/>
      <c r="B408" s="312" t="inlineStr">
        <is>
          <t>NAVETTE</t>
        </is>
      </c>
      <c r="C408" s="312" t="inlineStr">
        <is>
          <t>7*15</t>
        </is>
      </c>
      <c r="D408" s="113" t="n">
        <v>20.375355</v>
      </c>
      <c r="E408" s="312" t="n">
        <v>63</v>
      </c>
      <c r="F408" s="312" t="n">
        <v>1512</v>
      </c>
      <c r="G408" s="312" t="n"/>
      <c r="H408" s="312">
        <f>F408-G408</f>
        <v/>
      </c>
      <c r="I408" s="161" t="n"/>
      <c r="J408" s="161" t="n"/>
      <c r="K408" s="161" t="n"/>
      <c r="L408" s="161" t="n"/>
      <c r="M408" s="161" t="n"/>
    </row>
    <row r="409">
      <c r="A409" s="427" t="n"/>
      <c r="B409" s="427" t="n"/>
      <c r="C409" s="312" t="inlineStr">
        <is>
          <t>9*18</t>
        </is>
      </c>
      <c r="D409" s="113" t="n">
        <v>30</v>
      </c>
      <c r="E409" s="312" t="n">
        <v>36</v>
      </c>
      <c r="F409" s="312" t="n">
        <v>1476</v>
      </c>
      <c r="G409" s="312" t="n"/>
      <c r="H409" s="312">
        <f>F409-G409</f>
        <v/>
      </c>
      <c r="I409" s="161" t="n"/>
      <c r="J409" s="161" t="n"/>
      <c r="K409" s="161" t="n"/>
      <c r="L409" s="161" t="n"/>
      <c r="M409" s="161" t="n"/>
    </row>
    <row r="410">
      <c r="A410" s="427" t="n"/>
      <c r="B410" s="428" t="n"/>
      <c r="C410" s="312" t="inlineStr">
        <is>
          <t>13*22</t>
        </is>
      </c>
      <c r="D410" s="113" t="n">
        <v>46.92506</v>
      </c>
      <c r="E410" s="312" t="n">
        <v>24</v>
      </c>
      <c r="F410" s="312" t="n">
        <v>696</v>
      </c>
      <c r="G410" s="312" t="n"/>
      <c r="H410" s="312">
        <f>F410-G410</f>
        <v/>
      </c>
      <c r="I410" s="161" t="n"/>
      <c r="J410" s="161" t="n"/>
      <c r="K410" s="161" t="n"/>
      <c r="L410" s="161" t="n"/>
      <c r="M410" s="161" t="n"/>
    </row>
    <row r="411">
      <c r="A411" s="427" t="n"/>
      <c r="B411" s="312" t="inlineStr">
        <is>
          <t>RIVOLI</t>
        </is>
      </c>
      <c r="C411" s="312" t="inlineStr">
        <is>
          <t>10*10</t>
        </is>
      </c>
      <c r="D411" s="113" t="n">
        <v>16.670745</v>
      </c>
      <c r="E411" s="312" t="n">
        <v>45</v>
      </c>
      <c r="F411" s="312" t="n">
        <v>1304</v>
      </c>
      <c r="G411" s="312" t="n"/>
      <c r="H411" s="312">
        <f>F411-G411</f>
        <v/>
      </c>
      <c r="I411" s="161" t="n"/>
      <c r="J411" s="161" t="n"/>
      <c r="K411" s="161" t="n"/>
      <c r="L411" s="161" t="n"/>
      <c r="M411" s="161" t="n"/>
    </row>
    <row r="412">
      <c r="A412" s="427" t="n"/>
      <c r="B412" s="427" t="n"/>
      <c r="C412" s="312" t="inlineStr">
        <is>
          <t>12*12</t>
        </is>
      </c>
      <c r="D412" s="113" t="n">
        <v>20.375355</v>
      </c>
      <c r="E412" s="312" t="n">
        <v>40</v>
      </c>
      <c r="F412" s="312" t="n">
        <v>1696</v>
      </c>
      <c r="G412" s="312" t="n"/>
      <c r="H412" s="312">
        <f>F412-G412</f>
        <v/>
      </c>
      <c r="I412" s="161" t="n"/>
      <c r="J412" s="161" t="n"/>
      <c r="K412" s="161" t="n"/>
      <c r="L412" s="161" t="n"/>
      <c r="M412" s="161" t="n"/>
    </row>
    <row r="413">
      <c r="A413" s="427" t="n"/>
      <c r="B413" s="427" t="n"/>
      <c r="C413" s="312" t="inlineStr">
        <is>
          <t>14*14</t>
        </is>
      </c>
      <c r="D413" s="113" t="n">
        <v>23.46253</v>
      </c>
      <c r="E413" s="312" t="n">
        <v>28</v>
      </c>
      <c r="F413" s="312" t="n">
        <v>1260</v>
      </c>
      <c r="G413" s="312" t="n">
        <v>28</v>
      </c>
      <c r="H413" s="312">
        <f>F413-G413</f>
        <v/>
      </c>
      <c r="I413" s="161" t="n"/>
      <c r="J413" s="161" t="n"/>
      <c r="K413" s="161" t="n"/>
      <c r="L413" s="161" t="n"/>
      <c r="M413" s="161" t="n"/>
    </row>
    <row r="414">
      <c r="A414" s="427" t="n"/>
      <c r="B414" s="427" t="n"/>
      <c r="C414" s="312" t="inlineStr">
        <is>
          <t>16*16</t>
        </is>
      </c>
      <c r="D414" s="113" t="n">
        <v>26</v>
      </c>
      <c r="E414" s="312" t="n">
        <v>28</v>
      </c>
      <c r="F414" s="312" t="n">
        <v>1056</v>
      </c>
      <c r="G414" s="312" t="n"/>
      <c r="H414" s="312">
        <f>F414-G414</f>
        <v/>
      </c>
      <c r="I414" s="161" t="n"/>
      <c r="J414" s="161" t="n"/>
      <c r="K414" s="161" t="n"/>
      <c r="L414" s="161" t="n"/>
      <c r="M414" s="161" t="n"/>
    </row>
    <row r="415">
      <c r="A415" s="427" t="n"/>
      <c r="B415" s="428" t="n"/>
      <c r="C415" s="312" t="inlineStr">
        <is>
          <t>18*18</t>
        </is>
      </c>
      <c r="D415" s="113" t="n">
        <v>58.656325</v>
      </c>
      <c r="E415" s="312" t="n">
        <v>18</v>
      </c>
      <c r="F415" s="312" t="n">
        <v>180</v>
      </c>
      <c r="G415" s="312" t="n"/>
      <c r="H415" s="312">
        <f>F415-G415</f>
        <v/>
      </c>
      <c r="I415" s="161" t="n"/>
      <c r="J415" s="161" t="n"/>
      <c r="K415" s="161" t="n"/>
      <c r="L415" s="161" t="n"/>
      <c r="M415" s="161" t="n"/>
    </row>
    <row r="416">
      <c r="A416" s="427" t="n"/>
      <c r="B416" s="312" t="inlineStr">
        <is>
          <t>COSMIC</t>
        </is>
      </c>
      <c r="C416" s="312" t="inlineStr">
        <is>
          <t>9*12</t>
        </is>
      </c>
      <c r="D416" s="113" t="n">
        <v>18.52305</v>
      </c>
      <c r="E416" s="312" t="n">
        <v>48</v>
      </c>
      <c r="F416" s="312" t="n">
        <v>648</v>
      </c>
      <c r="G416" s="312" t="n"/>
      <c r="H416" s="312">
        <f>F416-G416</f>
        <v/>
      </c>
      <c r="I416" s="161" t="n"/>
      <c r="J416" s="161" t="n"/>
      <c r="K416" s="161" t="n"/>
      <c r="L416" s="161" t="n"/>
      <c r="M416" s="161" t="n"/>
    </row>
    <row r="417">
      <c r="A417" s="427" t="n"/>
      <c r="B417" s="427" t="n"/>
      <c r="C417" s="312" t="inlineStr">
        <is>
          <t>10*14</t>
        </is>
      </c>
      <c r="D417" s="113" t="n">
        <v>23.46253</v>
      </c>
      <c r="E417" s="312" t="n">
        <v>28</v>
      </c>
      <c r="F417" s="312" t="n">
        <v>1232</v>
      </c>
      <c r="G417" s="312" t="n"/>
      <c r="H417" s="312">
        <f>F417-G417</f>
        <v/>
      </c>
      <c r="I417" s="161" t="n"/>
      <c r="J417" s="161" t="n"/>
      <c r="K417" s="161" t="n"/>
      <c r="L417" s="161" t="n"/>
      <c r="M417" s="161" t="n"/>
    </row>
    <row r="418">
      <c r="A418" s="427" t="n"/>
      <c r="B418" s="428" t="n"/>
      <c r="C418" s="312" t="inlineStr">
        <is>
          <t>17*21</t>
        </is>
      </c>
      <c r="D418" s="113" t="n">
        <v>59</v>
      </c>
      <c r="E418" s="312" t="n">
        <v>15</v>
      </c>
      <c r="F418" s="312" t="n">
        <v>45</v>
      </c>
      <c r="G418" s="312" t="n"/>
      <c r="H418" s="312">
        <f>F418-G418</f>
        <v/>
      </c>
      <c r="I418" s="161" t="n"/>
      <c r="J418" s="161" t="n"/>
      <c r="K418" s="161" t="n"/>
      <c r="L418" s="161" t="n"/>
      <c r="M418" s="161" t="n"/>
    </row>
    <row r="419">
      <c r="A419" s="427" t="n"/>
      <c r="B419" s="312" t="inlineStr">
        <is>
          <t>GALACTIC</t>
        </is>
      </c>
      <c r="C419" s="312" t="inlineStr">
        <is>
          <t>7*12</t>
        </is>
      </c>
      <c r="D419" s="113" t="n">
        <v>16.670745</v>
      </c>
      <c r="E419" s="312" t="n">
        <v>72</v>
      </c>
      <c r="F419" s="312" t="n">
        <v>3240</v>
      </c>
      <c r="G419" s="312" t="n"/>
      <c r="H419" s="312">
        <f>F419-G419</f>
        <v/>
      </c>
      <c r="I419" s="161" t="n"/>
      <c r="J419" s="161" t="n"/>
      <c r="K419" s="161" t="n"/>
      <c r="L419" s="161" t="n"/>
      <c r="M419" s="161" t="n"/>
    </row>
    <row r="420">
      <c r="A420" s="427" t="n"/>
      <c r="B420" s="427" t="n"/>
      <c r="C420" s="312" t="inlineStr">
        <is>
          <t>9*14</t>
        </is>
      </c>
      <c r="D420" s="113" t="n">
        <v>20.375355</v>
      </c>
      <c r="E420" s="312" t="n">
        <v>48</v>
      </c>
      <c r="F420" s="312" t="n">
        <v>4608</v>
      </c>
      <c r="G420" s="312" t="n"/>
      <c r="H420" s="312">
        <f>F420-G420</f>
        <v/>
      </c>
      <c r="I420" s="161" t="n"/>
      <c r="J420" s="161" t="n"/>
      <c r="K420" s="161" t="n"/>
      <c r="L420" s="161" t="n"/>
      <c r="M420" s="161" t="n"/>
    </row>
    <row r="421">
      <c r="A421" s="427" t="n"/>
      <c r="B421" s="428" t="n"/>
      <c r="C421" s="312" t="inlineStr">
        <is>
          <t>12*19</t>
        </is>
      </c>
      <c r="D421" s="113" t="n">
        <v>46.92506</v>
      </c>
      <c r="E421" s="312" t="n">
        <v>24</v>
      </c>
      <c r="F421" s="312" t="n">
        <v>456</v>
      </c>
      <c r="G421" s="312" t="n">
        <v>96</v>
      </c>
      <c r="H421" s="312">
        <f>F421-G421</f>
        <v/>
      </c>
      <c r="I421" s="161" t="n"/>
      <c r="J421" s="161" t="n"/>
      <c r="K421" s="161" t="n"/>
      <c r="L421" s="161" t="n"/>
      <c r="M421" s="161" t="n"/>
    </row>
    <row r="422">
      <c r="A422" s="427" t="n"/>
      <c r="B422" s="312" t="inlineStr">
        <is>
          <t>Trilliant</t>
        </is>
      </c>
      <c r="C422" s="312" t="inlineStr">
        <is>
          <t>12*12</t>
        </is>
      </c>
      <c r="D422" s="113" t="n">
        <v>15</v>
      </c>
      <c r="E422" s="312" t="n">
        <v>28</v>
      </c>
      <c r="F422" s="312" t="n">
        <v>1484</v>
      </c>
      <c r="G422" s="312" t="n"/>
      <c r="H422" s="312">
        <f>F422-G422</f>
        <v/>
      </c>
      <c r="I422" s="161" t="n"/>
      <c r="J422" s="161" t="n"/>
      <c r="K422" s="161" t="n"/>
      <c r="L422" s="161" t="n"/>
      <c r="M422" s="161" t="n"/>
    </row>
    <row r="423">
      <c r="A423" s="427" t="n"/>
      <c r="B423" s="428" t="n"/>
      <c r="C423" s="312" t="inlineStr">
        <is>
          <t>16*16</t>
        </is>
      </c>
      <c r="D423" s="113" t="n">
        <v>47</v>
      </c>
      <c r="E423" s="312" t="n">
        <v>18</v>
      </c>
      <c r="F423" s="312" t="n">
        <v>864</v>
      </c>
      <c r="G423" s="312" t="n"/>
      <c r="H423" s="312">
        <f>F423-G423</f>
        <v/>
      </c>
      <c r="I423" s="161" t="n"/>
      <c r="J423" s="161" t="n"/>
      <c r="K423" s="161" t="n"/>
      <c r="L423" s="161" t="n"/>
      <c r="M423" s="161" t="n"/>
    </row>
    <row r="424">
      <c r="A424" s="427" t="n"/>
      <c r="B424" s="301" t="inlineStr">
        <is>
          <t>Cosmic Baguette</t>
        </is>
      </c>
      <c r="C424" s="301" t="inlineStr">
        <is>
          <t>6*18</t>
        </is>
      </c>
      <c r="D424" s="105" t="n">
        <v>16.8</v>
      </c>
      <c r="E424" s="301" t="n">
        <v>42</v>
      </c>
      <c r="F424" s="301" t="n">
        <v>840</v>
      </c>
      <c r="G424" s="301" t="n"/>
      <c r="H424" s="312">
        <f>F424-G424</f>
        <v/>
      </c>
      <c r="I424" s="161" t="n"/>
      <c r="J424" s="161" t="n"/>
      <c r="K424" s="161" t="n"/>
      <c r="L424" s="161" t="n"/>
      <c r="M424" s="161" t="n"/>
    </row>
    <row r="425">
      <c r="A425" s="427" t="n"/>
      <c r="B425" s="428" t="n"/>
      <c r="C425" s="301" t="inlineStr">
        <is>
          <t>7*21</t>
        </is>
      </c>
      <c r="D425" s="105" t="n">
        <v>28.35</v>
      </c>
      <c r="E425" s="301" t="n">
        <v>24</v>
      </c>
      <c r="F425" s="301" t="n">
        <v>144</v>
      </c>
      <c r="G425" s="301" t="n"/>
      <c r="H425" s="312">
        <f>F425-G425</f>
        <v/>
      </c>
      <c r="I425" s="161" t="n"/>
      <c r="J425" s="161" t="n"/>
      <c r="K425" s="161" t="n"/>
      <c r="L425" s="161" t="n"/>
      <c r="M425" s="161" t="n"/>
    </row>
    <row r="426">
      <c r="A426" s="427" t="n"/>
      <c r="B426" s="361" t="inlineStr">
        <is>
          <t>XIRIUS</t>
        </is>
      </c>
      <c r="C426" s="361" t="inlineStr">
        <is>
          <t>8*8</t>
        </is>
      </c>
      <c r="D426" s="122" t="n">
        <v>16.670745</v>
      </c>
      <c r="E426" s="361" t="n">
        <v>84</v>
      </c>
      <c r="F426" s="361" t="n">
        <v>4872</v>
      </c>
      <c r="G426" s="361" t="n"/>
      <c r="H426" s="312">
        <f>F426-G426</f>
        <v/>
      </c>
      <c r="I426" s="161" t="n"/>
      <c r="J426" s="161" t="n"/>
      <c r="K426" s="161" t="n"/>
      <c r="L426" s="161" t="n"/>
      <c r="M426" s="161" t="n"/>
    </row>
    <row r="427">
      <c r="A427" s="427" t="n"/>
      <c r="B427" s="427" t="n"/>
      <c r="C427" s="312" t="inlineStr">
        <is>
          <t>10*10</t>
        </is>
      </c>
      <c r="D427" s="113" t="n">
        <v>20.375355</v>
      </c>
      <c r="E427" s="312" t="n">
        <v>45</v>
      </c>
      <c r="F427" s="312" t="n">
        <v>2160</v>
      </c>
      <c r="G427" s="312" t="n"/>
      <c r="H427" s="312">
        <f>F427-G427</f>
        <v/>
      </c>
      <c r="I427" s="161" t="n"/>
      <c r="J427" s="161" t="n"/>
      <c r="K427" s="161" t="n"/>
      <c r="L427" s="161" t="n"/>
      <c r="M427" s="161" t="n"/>
    </row>
    <row r="428">
      <c r="A428" s="427" t="n"/>
      <c r="B428" s="428" t="n"/>
      <c r="C428" s="312" t="inlineStr">
        <is>
          <t>12*12</t>
        </is>
      </c>
      <c r="D428" s="113" t="n">
        <v>23.46253</v>
      </c>
      <c r="E428" s="312" t="n">
        <v>40</v>
      </c>
      <c r="F428" s="312" t="n">
        <v>1920</v>
      </c>
      <c r="G428" s="312" t="n"/>
      <c r="H428" s="312">
        <f>F428-G428</f>
        <v/>
      </c>
      <c r="I428" s="161" t="n"/>
      <c r="J428" s="161" t="n"/>
      <c r="K428" s="161" t="n"/>
      <c r="L428" s="161" t="n"/>
      <c r="M428" s="161" t="n"/>
    </row>
    <row r="429">
      <c r="A429" s="427" t="n"/>
      <c r="B429" s="312" t="inlineStr">
        <is>
          <t>DIAMOND LEAF</t>
        </is>
      </c>
      <c r="C429" s="312" t="inlineStr">
        <is>
          <t>10*20</t>
        </is>
      </c>
      <c r="D429" s="113" t="n">
        <v>46.92506</v>
      </c>
      <c r="E429" s="312" t="n">
        <v>24</v>
      </c>
      <c r="F429" s="312" t="n">
        <v>1248</v>
      </c>
      <c r="G429" s="312" t="n"/>
      <c r="H429" s="312">
        <f>F429-G429</f>
        <v/>
      </c>
      <c r="I429" s="161" t="n"/>
      <c r="J429" s="161" t="n"/>
      <c r="K429" s="161" t="n"/>
      <c r="L429" s="161" t="n"/>
      <c r="M429" s="161" t="n"/>
    </row>
    <row r="430" ht="15.75" customHeight="1" thickBot="1">
      <c r="A430" s="428" t="n"/>
      <c r="B430" s="312" t="inlineStr">
        <is>
          <t>S</t>
        </is>
      </c>
      <c r="C430" s="360" t="inlineStr">
        <is>
          <t>10*20</t>
        </is>
      </c>
      <c r="D430" s="117" t="n">
        <v>46.92506</v>
      </c>
      <c r="E430" s="360" t="n">
        <v>24</v>
      </c>
      <c r="F430" s="360" t="n">
        <v>672</v>
      </c>
      <c r="G430" s="312" t="n"/>
      <c r="H430" s="312">
        <f>F430-G430</f>
        <v/>
      </c>
      <c r="I430" s="161" t="n"/>
      <c r="J430" s="161" t="n"/>
      <c r="K430" s="161" t="n"/>
      <c r="L430" s="161" t="n"/>
      <c r="M430" s="161" t="n"/>
    </row>
    <row r="431" ht="15.75" customHeight="1" thickTop="1">
      <c r="A431" s="235" t="inlineStr">
        <is>
          <t>PURPLE VЕLET</t>
        </is>
      </c>
      <c r="B431" s="31" t="inlineStr">
        <is>
          <t>Rivoli</t>
        </is>
      </c>
      <c r="C431" s="303" t="inlineStr">
        <is>
          <t>10*10</t>
        </is>
      </c>
      <c r="D431" s="108" t="n">
        <v>17</v>
      </c>
      <c r="E431" s="303" t="n">
        <v>45</v>
      </c>
      <c r="F431" s="303" t="n">
        <v>585</v>
      </c>
      <c r="G431" s="311" t="n"/>
      <c r="H431" s="311">
        <f>F431-G431</f>
        <v/>
      </c>
      <c r="I431" s="161" t="n"/>
      <c r="J431" s="161" t="n"/>
      <c r="K431" s="385" t="n"/>
      <c r="L431" s="385" t="n"/>
      <c r="M431" s="137" t="n"/>
      <c r="N431" s="1" t="n"/>
    </row>
    <row r="432" ht="15.75" customHeight="1" thickBot="1">
      <c r="A432" s="429" t="n"/>
      <c r="B432" s="429" t="n"/>
      <c r="C432" s="305" t="inlineStr">
        <is>
          <t>12*12</t>
        </is>
      </c>
      <c r="D432" s="124" t="n">
        <v>20</v>
      </c>
      <c r="E432" s="305" t="n">
        <v>40</v>
      </c>
      <c r="F432" s="305" t="n">
        <v>75</v>
      </c>
      <c r="G432" s="361" t="n"/>
      <c r="H432" s="361">
        <f>F432-G432</f>
        <v/>
      </c>
      <c r="I432" s="161" t="n"/>
      <c r="J432" s="161" t="n"/>
      <c r="L432" s="385" t="n"/>
      <c r="M432" s="137" t="n"/>
      <c r="N432" s="1" t="n"/>
    </row>
    <row r="433" ht="15.75" customHeight="1" thickTop="1">
      <c r="A433" s="235" t="inlineStr">
        <is>
          <t>Lt. VIOLET</t>
        </is>
      </c>
      <c r="B433" s="31" t="inlineStr">
        <is>
          <t>Rivoli</t>
        </is>
      </c>
      <c r="C433" s="303" t="inlineStr">
        <is>
          <t>10*10</t>
        </is>
      </c>
      <c r="D433" s="108" t="n">
        <v>17</v>
      </c>
      <c r="E433" s="303" t="n">
        <v>45</v>
      </c>
      <c r="F433" s="303" t="n">
        <v>522</v>
      </c>
      <c r="G433" s="311" t="n"/>
      <c r="H433" s="311">
        <f>F433-G433</f>
        <v/>
      </c>
      <c r="I433" s="161" t="n"/>
      <c r="J433" s="161" t="n"/>
      <c r="L433" s="385" t="n"/>
      <c r="M433" s="137" t="n"/>
      <c r="N433" s="1" t="n"/>
    </row>
    <row r="434" ht="15.75" customHeight="1" thickBot="1">
      <c r="A434" s="429" t="n"/>
      <c r="B434" s="429" t="n"/>
      <c r="C434" s="302" t="inlineStr">
        <is>
          <t>12*12</t>
        </is>
      </c>
      <c r="D434" s="107" t="n">
        <v>20</v>
      </c>
      <c r="E434" s="302" t="n">
        <v>40</v>
      </c>
      <c r="F434" s="302">
        <f>40+76</f>
        <v/>
      </c>
      <c r="G434" s="313" t="n"/>
      <c r="H434" s="313">
        <f>F434-G434</f>
        <v/>
      </c>
      <c r="I434" s="161" t="n"/>
      <c r="J434" s="161" t="n"/>
      <c r="M434" s="137" t="n"/>
      <c r="N434" s="1" t="n"/>
    </row>
    <row r="435" ht="16.5" customHeight="1" thickBot="1" thickTop="1">
      <c r="A435" s="384" t="inlineStr">
        <is>
          <t>VM</t>
        </is>
      </c>
      <c r="B435" s="306" t="inlineStr">
        <is>
          <t>Rivoli</t>
        </is>
      </c>
      <c r="C435" s="306" t="inlineStr">
        <is>
          <t>12*12</t>
        </is>
      </c>
      <c r="D435" s="131" t="n">
        <v>20</v>
      </c>
      <c r="E435" s="306" t="n">
        <v>40</v>
      </c>
      <c r="F435" s="306" t="n">
        <v>148</v>
      </c>
      <c r="G435" s="310" t="n"/>
      <c r="H435" s="313">
        <f>F435-G435</f>
        <v/>
      </c>
      <c r="I435" s="161" t="n"/>
      <c r="J435" s="161" t="n"/>
      <c r="L435" s="385" t="n"/>
      <c r="M435" s="137" t="n"/>
      <c r="N435" s="1" t="n"/>
    </row>
    <row r="436" ht="16.5" customHeight="1" thickBot="1" thickTop="1">
      <c r="A436" s="384" t="inlineStr">
        <is>
          <t>ELECTRIC PINK</t>
        </is>
      </c>
      <c r="B436" s="306" t="inlineStr">
        <is>
          <t>GALACTIC</t>
        </is>
      </c>
      <c r="C436" s="306" t="inlineStr">
        <is>
          <t>9*14</t>
        </is>
      </c>
      <c r="D436" s="131" t="n">
        <v>20</v>
      </c>
      <c r="E436" s="306" t="n">
        <v>48</v>
      </c>
      <c r="F436" s="306" t="n">
        <v>384</v>
      </c>
      <c r="G436" s="310" t="n"/>
      <c r="H436" s="313">
        <f>F436-G436</f>
        <v/>
      </c>
      <c r="I436" s="161" t="n"/>
      <c r="J436" s="161" t="n"/>
      <c r="M436" s="137" t="n"/>
      <c r="N436" s="1" t="n"/>
    </row>
    <row r="437" ht="16.5" customHeight="1" thickBot="1" thickTop="1">
      <c r="A437" s="235" t="inlineStr">
        <is>
          <t>AMETHYST</t>
        </is>
      </c>
      <c r="B437" s="31" t="inlineStr">
        <is>
          <t>Rivoli</t>
        </is>
      </c>
      <c r="C437" s="31" t="inlineStr">
        <is>
          <t>12*12</t>
        </is>
      </c>
      <c r="D437" s="110" t="n">
        <v>20</v>
      </c>
      <c r="E437" s="31" t="n">
        <v>40</v>
      </c>
      <c r="F437" s="31" t="n">
        <v>640</v>
      </c>
      <c r="G437" s="36" t="n"/>
      <c r="H437" s="313">
        <f>F437-G437</f>
        <v/>
      </c>
      <c r="I437" s="161" t="n"/>
      <c r="J437" s="161" t="n"/>
      <c r="M437" s="137" t="n"/>
      <c r="N437" s="1" t="n"/>
    </row>
    <row r="438" ht="16.5" customHeight="1" thickBot="1" thickTop="1">
      <c r="A438" s="235" t="inlineStr">
        <is>
          <t>AMETHYST AB</t>
        </is>
      </c>
      <c r="B438" s="31" t="inlineStr">
        <is>
          <t>Rivoli</t>
        </is>
      </c>
      <c r="C438" s="31" t="inlineStr">
        <is>
          <t>12*12</t>
        </is>
      </c>
      <c r="D438" s="129" t="n">
        <v>30</v>
      </c>
      <c r="E438" s="304" t="n">
        <v>40</v>
      </c>
      <c r="F438" s="304" t="n">
        <v>131</v>
      </c>
      <c r="G438" s="308" t="n"/>
      <c r="H438" s="309">
        <f>F438-G438</f>
        <v/>
      </c>
      <c r="I438" s="161" t="n"/>
      <c r="J438" s="161" t="n"/>
      <c r="L438" s="385" t="n"/>
      <c r="M438" s="137" t="n"/>
      <c r="N438" s="1" t="n"/>
    </row>
    <row r="439" ht="15.75" customHeight="1" thickTop="1">
      <c r="A439" s="338" t="inlineStr">
        <is>
          <t>NEON ORANGE</t>
        </is>
      </c>
      <c r="B439" s="303" t="inlineStr">
        <is>
          <t>DROP</t>
        </is>
      </c>
      <c r="C439" s="311" t="inlineStr">
        <is>
          <t>7*12</t>
        </is>
      </c>
      <c r="D439" s="108" t="n">
        <v>16.670745</v>
      </c>
      <c r="E439" s="303" t="n">
        <v>72</v>
      </c>
      <c r="F439" s="303" t="n">
        <v>4176</v>
      </c>
      <c r="G439" s="303" t="n"/>
      <c r="H439" s="303">
        <f>F439-G439</f>
        <v/>
      </c>
      <c r="I439" s="161" t="n"/>
      <c r="J439" s="161" t="n"/>
      <c r="L439" s="385" t="n"/>
      <c r="M439" s="137" t="n"/>
      <c r="N439" s="1" t="n"/>
    </row>
    <row r="440">
      <c r="A440" s="427" t="n"/>
      <c r="B440" s="427" t="n"/>
      <c r="C440" s="312" t="inlineStr">
        <is>
          <t>10*14</t>
        </is>
      </c>
      <c r="D440" s="105" t="n">
        <v>20.375355</v>
      </c>
      <c r="E440" s="301" t="n">
        <v>36</v>
      </c>
      <c r="F440" s="301" t="n">
        <v>1872</v>
      </c>
      <c r="G440" s="301" t="n"/>
      <c r="H440" s="301">
        <f>F440-G440</f>
        <v/>
      </c>
      <c r="I440" s="161" t="n"/>
      <c r="J440" s="161" t="n"/>
      <c r="M440" s="385" t="n"/>
      <c r="N440" s="1" t="n"/>
    </row>
    <row r="441">
      <c r="A441" s="427" t="n"/>
      <c r="B441" s="427" t="n"/>
      <c r="C441" s="312" t="inlineStr">
        <is>
          <t>11*18</t>
        </is>
      </c>
      <c r="D441" s="105" t="n">
        <v>23.46253</v>
      </c>
      <c r="E441" s="301" t="n">
        <v>24</v>
      </c>
      <c r="F441" s="301" t="n">
        <v>1248</v>
      </c>
      <c r="G441" s="301" t="n"/>
      <c r="H441" s="301">
        <f>F441-G441</f>
        <v/>
      </c>
      <c r="I441" s="161" t="n"/>
      <c r="J441" s="161" t="n"/>
      <c r="L441" s="385" t="n"/>
      <c r="M441" s="137" t="n"/>
      <c r="N441" s="1" t="n"/>
    </row>
    <row r="442">
      <c r="A442" s="427" t="n"/>
      <c r="B442" s="427" t="n"/>
      <c r="C442" s="312" t="inlineStr">
        <is>
          <t>13*22</t>
        </is>
      </c>
      <c r="D442" s="105" t="n">
        <v>46.92506</v>
      </c>
      <c r="E442" s="301" t="n">
        <v>24</v>
      </c>
      <c r="F442" s="301" t="n">
        <v>1104</v>
      </c>
      <c r="G442" s="301" t="n"/>
      <c r="H442" s="301">
        <f>F442-G442</f>
        <v/>
      </c>
      <c r="I442" s="161" t="n"/>
      <c r="J442" s="161" t="n"/>
      <c r="M442" s="137" t="n"/>
      <c r="N442" s="1" t="n"/>
    </row>
    <row r="443">
      <c r="A443" s="427" t="n"/>
      <c r="B443" s="428" t="n"/>
      <c r="C443" s="312" t="inlineStr">
        <is>
          <t>17*28</t>
        </is>
      </c>
      <c r="D443" s="105" t="n">
        <v>58.656325</v>
      </c>
      <c r="E443" s="301" t="n">
        <v>12</v>
      </c>
      <c r="F443" s="301" t="n">
        <v>516</v>
      </c>
      <c r="G443" s="301" t="n"/>
      <c r="H443" s="301">
        <f>F443-G443</f>
        <v/>
      </c>
      <c r="I443" s="161" t="n"/>
      <c r="J443" s="161" t="n"/>
      <c r="M443" s="137" t="n"/>
      <c r="N443" s="1" t="n"/>
    </row>
    <row r="444">
      <c r="A444" s="427" t="n"/>
      <c r="B444" s="301" t="inlineStr">
        <is>
          <t>NAVETTE</t>
        </is>
      </c>
      <c r="C444" s="312" t="inlineStr">
        <is>
          <t>7*15</t>
        </is>
      </c>
      <c r="D444" s="105" t="n">
        <v>20.375355</v>
      </c>
      <c r="E444" s="301" t="n">
        <v>63</v>
      </c>
      <c r="F444" s="301" t="n">
        <v>3654</v>
      </c>
      <c r="G444" s="301" t="n">
        <v>63</v>
      </c>
      <c r="H444" s="301">
        <f>F444-G444</f>
        <v/>
      </c>
      <c r="I444" s="161" t="n"/>
      <c r="J444" s="161" t="n"/>
      <c r="L444" s="385" t="n"/>
      <c r="M444" s="137" t="n"/>
      <c r="N444" s="1" t="n"/>
    </row>
    <row r="445">
      <c r="A445" s="427" t="n"/>
      <c r="B445" s="427" t="n"/>
      <c r="C445" s="312" t="inlineStr">
        <is>
          <t>9*18</t>
        </is>
      </c>
      <c r="D445" s="105" t="n">
        <v>23.46253</v>
      </c>
      <c r="E445" s="301" t="n">
        <v>36</v>
      </c>
      <c r="F445" s="301" t="n">
        <v>1908</v>
      </c>
      <c r="G445" s="301" t="n"/>
      <c r="H445" s="301">
        <f>F445-G445</f>
        <v/>
      </c>
      <c r="I445" s="161" t="n"/>
      <c r="J445" s="161" t="n"/>
      <c r="L445" s="385" t="n"/>
      <c r="M445" s="137" t="n"/>
      <c r="N445" s="1" t="n"/>
    </row>
    <row r="446">
      <c r="A446" s="427" t="n"/>
      <c r="B446" s="427" t="n"/>
      <c r="C446" s="312" t="inlineStr">
        <is>
          <t>13*22</t>
        </is>
      </c>
      <c r="D446" s="105" t="n">
        <v>46.92506</v>
      </c>
      <c r="E446" s="301" t="n">
        <v>24</v>
      </c>
      <c r="F446" s="301" t="n">
        <v>1152</v>
      </c>
      <c r="G446" s="301" t="n"/>
      <c r="H446" s="301">
        <f>F446-G446</f>
        <v/>
      </c>
      <c r="I446" s="161" t="n"/>
      <c r="J446" s="161" t="n"/>
      <c r="M446" s="137" t="n"/>
      <c r="N446" s="1" t="n"/>
    </row>
    <row r="447">
      <c r="A447" s="427" t="n"/>
      <c r="B447" s="428" t="n"/>
      <c r="C447" s="312" t="inlineStr">
        <is>
          <t>15*32</t>
        </is>
      </c>
      <c r="D447" s="105" t="n">
        <v>58.656325</v>
      </c>
      <c r="E447" s="301" t="n">
        <v>12</v>
      </c>
      <c r="F447" s="301" t="n">
        <v>516</v>
      </c>
      <c r="G447" s="301" t="n"/>
      <c r="H447" s="301">
        <f>F447-G447</f>
        <v/>
      </c>
      <c r="I447" s="161" t="n"/>
      <c r="J447" s="161" t="n"/>
      <c r="M447" s="137" t="n"/>
      <c r="N447" s="1" t="n"/>
    </row>
    <row r="448">
      <c r="A448" s="427" t="n"/>
      <c r="B448" s="301" t="inlineStr">
        <is>
          <t>RIVOLI</t>
        </is>
      </c>
      <c r="C448" s="312" t="inlineStr">
        <is>
          <t>10*10</t>
        </is>
      </c>
      <c r="D448" s="105" t="n">
        <v>16.670745</v>
      </c>
      <c r="E448" s="301" t="n">
        <v>45</v>
      </c>
      <c r="F448" s="301" t="n">
        <v>2295</v>
      </c>
      <c r="G448" s="301">
        <f>45+22</f>
        <v/>
      </c>
      <c r="H448" s="301">
        <f>F448-G448</f>
        <v/>
      </c>
      <c r="I448" s="161" t="n"/>
      <c r="J448" s="161" t="n"/>
      <c r="L448" s="385" t="n"/>
      <c r="M448" s="137" t="n"/>
      <c r="N448" s="1" t="n"/>
    </row>
    <row r="449">
      <c r="A449" s="427" t="n"/>
      <c r="B449" s="427" t="n"/>
      <c r="C449" s="312" t="inlineStr">
        <is>
          <t>12*12</t>
        </is>
      </c>
      <c r="D449" s="105" t="n">
        <v>20.375355</v>
      </c>
      <c r="E449" s="301" t="n">
        <v>40</v>
      </c>
      <c r="F449" s="301">
        <f>1920+11</f>
        <v/>
      </c>
      <c r="G449" s="301" t="n"/>
      <c r="H449" s="301">
        <f>F449-G449</f>
        <v/>
      </c>
      <c r="I449" s="161" t="n"/>
      <c r="J449" s="161" t="n"/>
      <c r="M449" s="137" t="n"/>
      <c r="N449" s="1" t="n"/>
    </row>
    <row r="450">
      <c r="A450" s="427" t="n"/>
      <c r="B450" s="427" t="n"/>
      <c r="C450" s="312" t="inlineStr">
        <is>
          <t>14*14</t>
        </is>
      </c>
      <c r="D450" s="105" t="n">
        <v>23.46253</v>
      </c>
      <c r="E450" s="301" t="n">
        <v>28</v>
      </c>
      <c r="F450" s="301" t="n">
        <v>1400</v>
      </c>
      <c r="G450" s="301" t="n">
        <v>28</v>
      </c>
      <c r="H450" s="301">
        <f>F450-G450</f>
        <v/>
      </c>
      <c r="I450" s="161" t="n"/>
      <c r="J450" s="161" t="n"/>
      <c r="M450" s="137" t="n"/>
      <c r="N450" s="1" t="n"/>
    </row>
    <row r="451">
      <c r="A451" s="427" t="n"/>
      <c r="B451" s="427" t="n"/>
      <c r="C451" s="312" t="inlineStr">
        <is>
          <t>16*16</t>
        </is>
      </c>
      <c r="D451" s="105" t="n">
        <v>43.22045</v>
      </c>
      <c r="E451" s="301" t="n">
        <v>24</v>
      </c>
      <c r="F451" s="301" t="n">
        <v>1032</v>
      </c>
      <c r="G451" s="301" t="n"/>
      <c r="H451" s="301">
        <f>F451-G451</f>
        <v/>
      </c>
      <c r="I451" s="161" t="n"/>
      <c r="J451" s="161" t="n"/>
      <c r="K451" s="161" t="n"/>
      <c r="L451" s="161" t="n"/>
      <c r="M451" s="161" t="n"/>
    </row>
    <row r="452">
      <c r="A452" s="427" t="n"/>
      <c r="B452" s="428" t="n"/>
      <c r="C452" s="312" t="inlineStr">
        <is>
          <t>18*18</t>
        </is>
      </c>
      <c r="D452" s="105" t="n">
        <v>58.656325</v>
      </c>
      <c r="E452" s="301" t="n">
        <v>18</v>
      </c>
      <c r="F452" s="301" t="n">
        <v>774</v>
      </c>
      <c r="G452" s="301" t="n"/>
      <c r="H452" s="301">
        <f>F452-G452</f>
        <v/>
      </c>
      <c r="I452" s="161" t="n"/>
      <c r="J452" s="161" t="n"/>
      <c r="K452" s="161" t="n"/>
      <c r="L452" s="161" t="n"/>
      <c r="M452" s="161" t="n"/>
    </row>
    <row r="453">
      <c r="A453" s="427" t="n"/>
      <c r="B453" s="301" t="inlineStr">
        <is>
          <t>Trilliant</t>
        </is>
      </c>
      <c r="C453" s="312" t="inlineStr">
        <is>
          <t>12*12</t>
        </is>
      </c>
      <c r="D453" s="105" t="n">
        <v>23.46253</v>
      </c>
      <c r="E453" s="301" t="n">
        <v>28</v>
      </c>
      <c r="F453" s="301" t="n">
        <v>1540</v>
      </c>
      <c r="G453" s="301" t="n">
        <v>28</v>
      </c>
      <c r="H453" s="301">
        <f>F453-G453</f>
        <v/>
      </c>
      <c r="I453" s="161" t="n"/>
      <c r="J453" s="161" t="n"/>
      <c r="K453" s="161" t="n"/>
      <c r="L453" s="161" t="n"/>
      <c r="M453" s="161" t="n"/>
    </row>
    <row r="454">
      <c r="A454" s="427" t="n"/>
      <c r="B454" s="428" t="n"/>
      <c r="C454" s="312" t="inlineStr">
        <is>
          <t>16*16</t>
        </is>
      </c>
      <c r="D454" s="105" t="n">
        <v>46.92506</v>
      </c>
      <c r="E454" s="301" t="n">
        <v>18</v>
      </c>
      <c r="F454" s="301" t="n">
        <v>900</v>
      </c>
      <c r="G454" s="301" t="n"/>
      <c r="H454" s="301">
        <f>F454-G454</f>
        <v/>
      </c>
      <c r="I454" s="161" t="n"/>
      <c r="J454" s="161" t="n"/>
      <c r="K454" s="161" t="n"/>
      <c r="L454" s="161" t="n"/>
      <c r="M454" s="161" t="n"/>
    </row>
    <row r="455">
      <c r="A455" s="427" t="n"/>
      <c r="B455" s="312" t="inlineStr">
        <is>
          <t>COSMIC</t>
        </is>
      </c>
      <c r="C455" s="312" t="inlineStr">
        <is>
          <t>9*12</t>
        </is>
      </c>
      <c r="D455" s="105" t="n">
        <v>18.52305</v>
      </c>
      <c r="E455" s="301" t="n">
        <v>48</v>
      </c>
      <c r="F455" s="301" t="n">
        <v>2544</v>
      </c>
      <c r="G455" s="301" t="n">
        <v>24</v>
      </c>
      <c r="H455" s="301">
        <f>F455-G455</f>
        <v/>
      </c>
      <c r="I455" s="161" t="n"/>
      <c r="J455" s="161" t="n"/>
      <c r="K455" s="161" t="n"/>
      <c r="L455" s="161" t="n"/>
      <c r="M455" s="161" t="n"/>
    </row>
    <row r="456">
      <c r="A456" s="427" t="n"/>
      <c r="B456" s="427" t="n"/>
      <c r="C456" s="312" t="inlineStr">
        <is>
          <t>10*14</t>
        </is>
      </c>
      <c r="D456" s="105" t="n">
        <v>23.46253</v>
      </c>
      <c r="E456" s="301" t="n">
        <v>28</v>
      </c>
      <c r="F456" s="301" t="n">
        <v>1316</v>
      </c>
      <c r="G456" s="301" t="n">
        <v>14</v>
      </c>
      <c r="H456" s="301">
        <f>F456-G456</f>
        <v/>
      </c>
      <c r="I456" s="161" t="n"/>
      <c r="J456" s="161" t="n"/>
      <c r="K456" s="161" t="n"/>
      <c r="L456" s="161" t="n"/>
      <c r="M456" s="161" t="n"/>
    </row>
    <row r="457">
      <c r="A457" s="427" t="n"/>
      <c r="B457" s="427" t="n"/>
      <c r="C457" s="312" t="inlineStr">
        <is>
          <t>13*17</t>
        </is>
      </c>
      <c r="D457" s="105" t="n">
        <v>46.92506</v>
      </c>
      <c r="E457" s="301" t="n">
        <v>24</v>
      </c>
      <c r="F457" s="301" t="n">
        <v>432</v>
      </c>
      <c r="G457" s="301" t="n">
        <v>24</v>
      </c>
      <c r="H457" s="301">
        <f>F457-G457</f>
        <v/>
      </c>
      <c r="I457" s="161" t="n"/>
      <c r="J457" s="161" t="n"/>
      <c r="K457" s="161" t="n"/>
      <c r="L457" s="161" t="n"/>
      <c r="M457" s="161" t="n"/>
    </row>
    <row r="458">
      <c r="A458" s="427" t="n"/>
      <c r="B458" s="428" t="n"/>
      <c r="C458" s="312" t="inlineStr">
        <is>
          <t>17*21</t>
        </is>
      </c>
      <c r="D458" s="105" t="n">
        <v>58.656325</v>
      </c>
      <c r="E458" s="301" t="n">
        <v>15</v>
      </c>
      <c r="F458" s="301" t="n">
        <v>675</v>
      </c>
      <c r="G458" s="301" t="n">
        <v>15</v>
      </c>
      <c r="H458" s="301">
        <f>F458-G458</f>
        <v/>
      </c>
      <c r="I458" s="161" t="n"/>
      <c r="J458" s="161" t="n"/>
      <c r="K458" s="161" t="n"/>
      <c r="L458" s="161" t="n"/>
      <c r="M458" s="161" t="n"/>
    </row>
    <row r="459">
      <c r="A459" s="427" t="n"/>
      <c r="B459" s="301" t="inlineStr">
        <is>
          <t>GALACTIC</t>
        </is>
      </c>
      <c r="C459" s="312" t="inlineStr">
        <is>
          <t>7*12</t>
        </is>
      </c>
      <c r="D459" s="105" t="n">
        <v>16.670745</v>
      </c>
      <c r="E459" s="301" t="n">
        <v>72</v>
      </c>
      <c r="F459" s="301" t="n">
        <v>4680</v>
      </c>
      <c r="G459" s="301" t="n">
        <v>36</v>
      </c>
      <c r="H459" s="301">
        <f>F459-G459</f>
        <v/>
      </c>
      <c r="I459" s="161" t="n"/>
      <c r="J459" s="161" t="n"/>
      <c r="K459" s="161" t="n"/>
      <c r="L459" s="161" t="n"/>
      <c r="M459" s="161" t="n"/>
    </row>
    <row r="460">
      <c r="A460" s="427" t="n"/>
      <c r="B460" s="427" t="n"/>
      <c r="C460" s="312" t="inlineStr">
        <is>
          <t>9*14</t>
        </is>
      </c>
      <c r="D460" s="105" t="n">
        <v>20.375355</v>
      </c>
      <c r="E460" s="301" t="n">
        <v>48</v>
      </c>
      <c r="F460" s="301" t="n">
        <v>2544</v>
      </c>
      <c r="G460" s="301" t="n">
        <v>24</v>
      </c>
      <c r="H460" s="301">
        <f>F460-G460</f>
        <v/>
      </c>
      <c r="I460" s="161" t="n"/>
      <c r="J460" s="161" t="n"/>
      <c r="K460" s="161" t="n"/>
      <c r="L460" s="161" t="n"/>
      <c r="M460" s="161" t="n"/>
    </row>
    <row r="461">
      <c r="A461" s="427" t="n"/>
      <c r="B461" s="427" t="n"/>
      <c r="C461" s="301" t="inlineStr">
        <is>
          <t>12*19</t>
        </is>
      </c>
      <c r="D461" s="105" t="n">
        <v>46.92506</v>
      </c>
      <c r="E461" s="301" t="n">
        <v>24</v>
      </c>
      <c r="F461" s="301" t="n">
        <v>1200</v>
      </c>
      <c r="G461" s="301" t="n">
        <v>24</v>
      </c>
      <c r="H461" s="301">
        <f>F461-G461</f>
        <v/>
      </c>
      <c r="I461" s="161" t="n"/>
      <c r="J461" s="161" t="n"/>
      <c r="K461" s="161" t="n"/>
      <c r="L461" s="161" t="n"/>
      <c r="M461" s="161" t="n"/>
    </row>
    <row r="462">
      <c r="A462" s="427" t="n"/>
      <c r="B462" s="428" t="n"/>
      <c r="C462" s="312" t="inlineStr">
        <is>
          <t>17*27</t>
        </is>
      </c>
      <c r="D462" s="105" t="n">
        <v>58.656325</v>
      </c>
      <c r="E462" s="301" t="n">
        <v>12</v>
      </c>
      <c r="F462" s="301" t="n">
        <v>576</v>
      </c>
      <c r="G462" s="301" t="n"/>
      <c r="H462" s="301">
        <f>F462-G462</f>
        <v/>
      </c>
      <c r="I462" s="161" t="n"/>
      <c r="J462" s="161" t="n"/>
      <c r="K462" s="161" t="n"/>
      <c r="L462" s="161" t="n"/>
      <c r="M462" s="161" t="n"/>
    </row>
    <row r="463">
      <c r="A463" s="427" t="n"/>
      <c r="B463" s="301" t="inlineStr">
        <is>
          <t>Cosmic Baguette</t>
        </is>
      </c>
      <c r="C463" s="301" t="inlineStr">
        <is>
          <t>6*18</t>
        </is>
      </c>
      <c r="D463" s="105" t="n">
        <v>16.8</v>
      </c>
      <c r="E463" s="301" t="n">
        <v>42</v>
      </c>
      <c r="F463" s="301" t="n">
        <v>1932</v>
      </c>
      <c r="G463" s="301" t="n"/>
      <c r="H463" s="301">
        <f>F463-G463</f>
        <v/>
      </c>
      <c r="I463" s="161" t="n"/>
      <c r="J463" s="161" t="n"/>
      <c r="K463" s="161" t="n"/>
      <c r="L463" s="161" t="n"/>
      <c r="M463" s="161" t="n"/>
    </row>
    <row r="464">
      <c r="A464" s="427" t="n"/>
      <c r="B464" s="428" t="n"/>
      <c r="C464" s="301" t="inlineStr">
        <is>
          <t>7*21</t>
        </is>
      </c>
      <c r="D464" s="105" t="n">
        <v>28.35</v>
      </c>
      <c r="E464" s="301" t="n">
        <v>24</v>
      </c>
      <c r="F464" s="301" t="n">
        <v>1104</v>
      </c>
      <c r="G464" s="301" t="n"/>
      <c r="H464" s="301">
        <f>F464-G464</f>
        <v/>
      </c>
      <c r="I464" s="161" t="n"/>
      <c r="J464" s="161" t="n"/>
      <c r="K464" s="161" t="n"/>
      <c r="L464" s="161" t="n"/>
      <c r="M464" s="161" t="n"/>
    </row>
    <row r="465">
      <c r="A465" s="427" t="n"/>
      <c r="B465" s="301" t="inlineStr">
        <is>
          <t>XIRIUS</t>
        </is>
      </c>
      <c r="C465" s="301" t="inlineStr">
        <is>
          <t>8*8</t>
        </is>
      </c>
      <c r="D465" s="105" t="n">
        <v>10.5</v>
      </c>
      <c r="E465" s="301" t="n">
        <v>84</v>
      </c>
      <c r="F465" s="301" t="n">
        <v>3864</v>
      </c>
      <c r="G465" s="301" t="n">
        <v>40</v>
      </c>
      <c r="H465" s="301">
        <f>F465-G465</f>
        <v/>
      </c>
      <c r="I465" s="161" t="n"/>
      <c r="J465" s="161" t="n"/>
      <c r="K465" s="161" t="n"/>
      <c r="L465" s="161" t="n"/>
      <c r="M465" s="161" t="n"/>
    </row>
    <row r="466">
      <c r="A466" s="427" t="n"/>
      <c r="B466" s="427" t="n"/>
      <c r="C466" s="312" t="inlineStr">
        <is>
          <t>10*10</t>
        </is>
      </c>
      <c r="D466" s="105" t="n">
        <v>20.375355</v>
      </c>
      <c r="E466" s="301" t="n">
        <v>45</v>
      </c>
      <c r="F466" s="301" t="n">
        <v>2385</v>
      </c>
      <c r="G466" s="301" t="n"/>
      <c r="H466" s="301">
        <f>F466-G466</f>
        <v/>
      </c>
      <c r="I466" s="161" t="n"/>
      <c r="J466" s="161" t="n"/>
      <c r="K466" s="161" t="n"/>
      <c r="L466" s="161" t="n"/>
      <c r="M466" s="161" t="n"/>
    </row>
    <row r="467">
      <c r="A467" s="427" t="n"/>
      <c r="B467" s="428" t="n"/>
      <c r="C467" s="312" t="inlineStr">
        <is>
          <t>12*12</t>
        </is>
      </c>
      <c r="D467" s="105" t="n">
        <v>23.46253</v>
      </c>
      <c r="E467" s="301" t="n">
        <v>40</v>
      </c>
      <c r="F467" s="301" t="n">
        <v>1840</v>
      </c>
      <c r="G467" s="301" t="n"/>
      <c r="H467" s="301">
        <f>F467-G467</f>
        <v/>
      </c>
      <c r="I467" s="161" t="n"/>
      <c r="J467" s="161" t="n"/>
      <c r="K467" s="161" t="n"/>
      <c r="L467" s="161" t="n"/>
      <c r="M467" s="161" t="n"/>
    </row>
    <row r="468">
      <c r="A468" s="427" t="n"/>
      <c r="B468" s="301" t="inlineStr">
        <is>
          <t>S</t>
        </is>
      </c>
      <c r="C468" s="312" t="inlineStr">
        <is>
          <t>10*20</t>
        </is>
      </c>
      <c r="D468" s="105" t="n">
        <v>46.92506</v>
      </c>
      <c r="E468" s="301" t="n">
        <v>24</v>
      </c>
      <c r="F468" s="301" t="n">
        <v>1272</v>
      </c>
      <c r="G468" s="301" t="n"/>
      <c r="H468" s="301">
        <f>F468-G468</f>
        <v/>
      </c>
      <c r="I468" s="161" t="n"/>
      <c r="J468" s="161" t="n"/>
      <c r="K468" s="161" t="n"/>
      <c r="L468" s="161" t="n"/>
      <c r="M468" s="161" t="n"/>
    </row>
    <row r="469">
      <c r="A469" s="427" t="n"/>
      <c r="B469" s="428" t="n"/>
      <c r="C469" s="312" t="inlineStr">
        <is>
          <t>15*30</t>
        </is>
      </c>
      <c r="D469" s="105" t="n">
        <v>58.656325</v>
      </c>
      <c r="E469" s="301" t="n">
        <v>12</v>
      </c>
      <c r="F469" s="301" t="n">
        <v>504</v>
      </c>
      <c r="G469" s="301" t="n"/>
      <c r="H469" s="301">
        <f>F469-G469</f>
        <v/>
      </c>
      <c r="I469" s="161" t="n"/>
      <c r="J469" s="161" t="n"/>
      <c r="K469" s="161" t="n"/>
      <c r="L469" s="161" t="n"/>
      <c r="M469" s="161" t="n"/>
    </row>
    <row r="470" ht="15.75" customHeight="1" thickBot="1">
      <c r="A470" s="428" t="n"/>
      <c r="B470" s="302" t="inlineStr">
        <is>
          <t>DIAMOND LEAF</t>
        </is>
      </c>
      <c r="C470" s="313" t="inlineStr">
        <is>
          <t>10*20</t>
        </is>
      </c>
      <c r="D470" s="107" t="n">
        <v>46.92506</v>
      </c>
      <c r="E470" s="302" t="n">
        <v>24</v>
      </c>
      <c r="F470" s="302" t="n">
        <v>1272</v>
      </c>
      <c r="G470" s="302" t="n"/>
      <c r="H470" s="301">
        <f>F470-G470</f>
        <v/>
      </c>
      <c r="I470" s="161" t="n"/>
      <c r="J470" s="161" t="n"/>
      <c r="K470" s="161" t="n"/>
      <c r="L470" s="161" t="n"/>
      <c r="M470" s="161" t="n"/>
    </row>
    <row r="471" ht="15.75" customHeight="1" thickTop="1">
      <c r="A471" s="338" t="inlineStr">
        <is>
          <t>NEON PINK</t>
        </is>
      </c>
      <c r="B471" s="303" t="inlineStr">
        <is>
          <t>DROP</t>
        </is>
      </c>
      <c r="C471" s="311" t="inlineStr">
        <is>
          <t>7*12</t>
        </is>
      </c>
      <c r="D471" s="108" t="n">
        <v>16.670745</v>
      </c>
      <c r="E471" s="303" t="n">
        <v>72</v>
      </c>
      <c r="F471" s="303" t="n">
        <v>2880</v>
      </c>
      <c r="G471" s="303" t="n">
        <v>10</v>
      </c>
      <c r="H471" s="303">
        <f>F471-G471</f>
        <v/>
      </c>
      <c r="I471" s="161" t="n"/>
      <c r="J471" s="161" t="n"/>
      <c r="K471" s="161" t="n"/>
      <c r="L471" s="161" t="n"/>
      <c r="M471" s="161" t="n"/>
    </row>
    <row r="472">
      <c r="A472" s="427" t="n"/>
      <c r="B472" s="427" t="n"/>
      <c r="C472" s="312" t="inlineStr">
        <is>
          <t>10*14</t>
        </is>
      </c>
      <c r="D472" s="105" t="n">
        <v>20.375355</v>
      </c>
      <c r="E472" s="301" t="n">
        <v>36</v>
      </c>
      <c r="F472" s="301" t="n">
        <v>1152</v>
      </c>
      <c r="G472" s="301" t="n"/>
      <c r="H472" s="301">
        <f>F472-G472</f>
        <v/>
      </c>
      <c r="I472" s="161" t="n"/>
      <c r="J472" s="161" t="n"/>
      <c r="K472" s="161" t="n"/>
      <c r="L472" s="161" t="n"/>
      <c r="M472" s="161" t="n"/>
    </row>
    <row r="473">
      <c r="A473" s="427" t="n"/>
      <c r="B473" s="427" t="n"/>
      <c r="C473" s="312" t="inlineStr">
        <is>
          <t>11*18</t>
        </is>
      </c>
      <c r="D473" s="105" t="n">
        <v>23.46253</v>
      </c>
      <c r="E473" s="301" t="n">
        <v>24</v>
      </c>
      <c r="F473" s="301" t="n">
        <v>1296</v>
      </c>
      <c r="G473" s="301">
        <f>6+10+10</f>
        <v/>
      </c>
      <c r="H473" s="301">
        <f>F473-G473</f>
        <v/>
      </c>
      <c r="I473" s="161" t="n"/>
      <c r="J473" s="161" t="n"/>
      <c r="K473" s="161" t="n"/>
      <c r="L473" s="161" t="n"/>
      <c r="M473" s="161" t="n"/>
    </row>
    <row r="474">
      <c r="A474" s="427" t="n"/>
      <c r="B474" s="427" t="n"/>
      <c r="C474" s="312" t="inlineStr">
        <is>
          <t>13*22</t>
        </is>
      </c>
      <c r="D474" s="105" t="n">
        <v>46.92506</v>
      </c>
      <c r="E474" s="301" t="n">
        <v>24</v>
      </c>
      <c r="F474" s="301" t="n">
        <v>864</v>
      </c>
      <c r="G474" s="301" t="n">
        <v>10</v>
      </c>
      <c r="H474" s="301">
        <f>F474-G474</f>
        <v/>
      </c>
      <c r="I474" s="161" t="n"/>
      <c r="J474" s="161" t="n"/>
      <c r="K474" s="161" t="n"/>
      <c r="L474" s="161" t="n"/>
      <c r="M474" s="161" t="n"/>
    </row>
    <row r="475">
      <c r="A475" s="427" t="n"/>
      <c r="B475" s="428" t="n"/>
      <c r="C475" s="312" t="inlineStr">
        <is>
          <t>17*28</t>
        </is>
      </c>
      <c r="D475" s="105" t="n">
        <v>58.656325</v>
      </c>
      <c r="E475" s="301" t="n">
        <v>12</v>
      </c>
      <c r="F475" s="301">
        <f>180+180</f>
        <v/>
      </c>
      <c r="G475" s="301" t="n">
        <v>12</v>
      </c>
      <c r="H475" s="301">
        <f>F475-G475</f>
        <v/>
      </c>
      <c r="I475" s="161" t="n"/>
      <c r="J475" s="161" t="n"/>
      <c r="K475" s="161" t="n"/>
      <c r="L475" s="161" t="n"/>
      <c r="M475" s="161" t="n"/>
    </row>
    <row r="476">
      <c r="A476" s="427" t="n"/>
      <c r="B476" s="301" t="inlineStr">
        <is>
          <t>NAVETTE</t>
        </is>
      </c>
      <c r="C476" s="312" t="inlineStr">
        <is>
          <t>7*15</t>
        </is>
      </c>
      <c r="D476" s="105" t="n">
        <v>20.375355</v>
      </c>
      <c r="E476" s="301" t="n">
        <v>63</v>
      </c>
      <c r="F476" s="301" t="n">
        <v>3654</v>
      </c>
      <c r="G476" s="301" t="n"/>
      <c r="H476" s="301">
        <f>F476-G476</f>
        <v/>
      </c>
      <c r="I476" s="161" t="n"/>
      <c r="J476" s="161" t="n"/>
      <c r="K476" s="161" t="n"/>
      <c r="L476" s="161" t="n"/>
      <c r="M476" s="161" t="n"/>
    </row>
    <row r="477">
      <c r="A477" s="427" t="n"/>
      <c r="B477" s="427" t="n"/>
      <c r="C477" s="312" t="inlineStr">
        <is>
          <t>9*18</t>
        </is>
      </c>
      <c r="D477" s="105" t="n">
        <v>23.46253</v>
      </c>
      <c r="E477" s="301" t="n">
        <v>36</v>
      </c>
      <c r="F477" s="301" t="n">
        <v>1908</v>
      </c>
      <c r="G477" s="301" t="n">
        <v>10</v>
      </c>
      <c r="H477" s="301">
        <f>F477-G477</f>
        <v/>
      </c>
      <c r="I477" s="161" t="n"/>
      <c r="J477" s="161" t="n"/>
      <c r="K477" s="161" t="n"/>
      <c r="L477" s="161" t="n"/>
      <c r="M477" s="161" t="n"/>
    </row>
    <row r="478">
      <c r="A478" s="427" t="n"/>
      <c r="B478" s="427" t="n"/>
      <c r="C478" s="312" t="inlineStr">
        <is>
          <t>13*22</t>
        </is>
      </c>
      <c r="D478" s="105" t="n">
        <v>46.92506</v>
      </c>
      <c r="E478" s="301" t="n">
        <v>24</v>
      </c>
      <c r="F478" s="301" t="n">
        <v>1152</v>
      </c>
      <c r="G478" s="301" t="n">
        <v>24</v>
      </c>
      <c r="H478" s="301">
        <f>F478-G478</f>
        <v/>
      </c>
      <c r="I478" s="161" t="n"/>
      <c r="J478" s="161" t="n"/>
      <c r="K478" s="161" t="n"/>
      <c r="L478" s="161" t="n"/>
      <c r="M478" s="161" t="n"/>
    </row>
    <row r="479">
      <c r="A479" s="427" t="n"/>
      <c r="B479" s="428" t="n"/>
      <c r="C479" s="312" t="inlineStr">
        <is>
          <t>15*32</t>
        </is>
      </c>
      <c r="D479" s="105" t="n">
        <v>58.656325</v>
      </c>
      <c r="E479" s="301" t="n">
        <v>12</v>
      </c>
      <c r="F479" s="301" t="n">
        <v>516</v>
      </c>
      <c r="G479" s="301" t="n"/>
      <c r="H479" s="301">
        <f>F479-G479</f>
        <v/>
      </c>
      <c r="I479" s="161" t="n"/>
      <c r="J479" s="161" t="n"/>
      <c r="K479" s="161" t="n"/>
      <c r="L479" s="161" t="n"/>
      <c r="M479" s="161" t="n"/>
    </row>
    <row r="480">
      <c r="A480" s="427" t="n"/>
      <c r="B480" s="301" t="inlineStr">
        <is>
          <t>RIVOLI</t>
        </is>
      </c>
      <c r="C480" s="312" t="inlineStr">
        <is>
          <t>10*10</t>
        </is>
      </c>
      <c r="D480" s="105" t="n">
        <v>16.670745</v>
      </c>
      <c r="E480" s="301" t="n">
        <v>45</v>
      </c>
      <c r="F480" s="301" t="n">
        <v>2295</v>
      </c>
      <c r="G480" s="301">
        <f>90+45+12+45+20</f>
        <v/>
      </c>
      <c r="H480" s="301">
        <f>F480-G480</f>
        <v/>
      </c>
      <c r="I480" s="161" t="n"/>
      <c r="J480" s="161" t="n"/>
      <c r="K480" s="161" t="n"/>
      <c r="L480" s="161" t="n"/>
      <c r="M480" s="161" t="n"/>
    </row>
    <row r="481">
      <c r="A481" s="427" t="n"/>
      <c r="B481" s="427" t="n"/>
      <c r="C481" s="312" t="inlineStr">
        <is>
          <t>12*12</t>
        </is>
      </c>
      <c r="D481" s="105" t="n">
        <v>20.375355</v>
      </c>
      <c r="E481" s="301" t="n">
        <v>40</v>
      </c>
      <c r="F481" s="301" t="n">
        <v>2000</v>
      </c>
      <c r="G481" s="301">
        <f>10+40+80+40+40+20</f>
        <v/>
      </c>
      <c r="H481" s="301">
        <f>F481-G481</f>
        <v/>
      </c>
      <c r="I481" s="161" t="n"/>
      <c r="J481" s="161" t="n"/>
      <c r="K481" s="161" t="n"/>
      <c r="L481" s="161" t="n"/>
      <c r="M481" s="161" t="n"/>
    </row>
    <row r="482">
      <c r="A482" s="427" t="n"/>
      <c r="B482" s="427" t="n"/>
      <c r="C482" s="312" t="inlineStr">
        <is>
          <t>14*14</t>
        </is>
      </c>
      <c r="D482" s="105" t="n">
        <v>23.46253</v>
      </c>
      <c r="E482" s="301" t="n">
        <v>28</v>
      </c>
      <c r="F482" s="301" t="n">
        <v>1344</v>
      </c>
      <c r="G482" s="301">
        <f>10+28</f>
        <v/>
      </c>
      <c r="H482" s="301">
        <f>F482-G482</f>
        <v/>
      </c>
      <c r="I482" s="161" t="n"/>
      <c r="J482" s="161" t="n"/>
      <c r="K482" s="161" t="n"/>
      <c r="L482" s="161" t="n"/>
      <c r="M482" s="161" t="n"/>
    </row>
    <row r="483">
      <c r="A483" s="427" t="n"/>
      <c r="B483" s="427" t="n"/>
      <c r="C483" s="312" t="inlineStr">
        <is>
          <t>16*16</t>
        </is>
      </c>
      <c r="D483" s="105" t="n">
        <v>43.22045</v>
      </c>
      <c r="E483" s="301" t="n">
        <v>24</v>
      </c>
      <c r="F483" s="301" t="n">
        <v>1032</v>
      </c>
      <c r="G483" s="301" t="n">
        <v>24</v>
      </c>
      <c r="H483" s="301">
        <f>F483-G483</f>
        <v/>
      </c>
      <c r="I483" s="161" t="n"/>
      <c r="J483" s="161" t="n"/>
      <c r="K483" s="161" t="n"/>
      <c r="L483" s="161" t="n"/>
      <c r="M483" s="161" t="n"/>
    </row>
    <row r="484">
      <c r="A484" s="427" t="n"/>
      <c r="B484" s="428" t="n"/>
      <c r="C484" s="312" t="inlineStr">
        <is>
          <t>18*18</t>
        </is>
      </c>
      <c r="D484" s="105" t="n">
        <v>58.656325</v>
      </c>
      <c r="E484" s="301" t="n">
        <v>18</v>
      </c>
      <c r="F484" s="301" t="n">
        <v>774</v>
      </c>
      <c r="G484" s="301" t="n"/>
      <c r="H484" s="301">
        <f>F484-G484</f>
        <v/>
      </c>
      <c r="I484" s="161" t="n"/>
      <c r="J484" s="161" t="n"/>
      <c r="K484" s="161" t="n"/>
      <c r="L484" s="161" t="n"/>
      <c r="M484" s="161" t="n"/>
    </row>
    <row r="485">
      <c r="A485" s="427" t="n"/>
      <c r="B485" s="301" t="inlineStr">
        <is>
          <t>Trilliant</t>
        </is>
      </c>
      <c r="C485" s="312" t="inlineStr">
        <is>
          <t>12*12</t>
        </is>
      </c>
      <c r="D485" s="105" t="n">
        <v>23.46253</v>
      </c>
      <c r="E485" s="301" t="n">
        <v>28</v>
      </c>
      <c r="F485" s="301" t="n">
        <v>1540</v>
      </c>
      <c r="G485" s="301">
        <f>10+28</f>
        <v/>
      </c>
      <c r="H485" s="301">
        <f>F485-G485</f>
        <v/>
      </c>
      <c r="I485" s="161" t="n"/>
      <c r="J485" s="161" t="n"/>
      <c r="K485" s="161" t="n"/>
      <c r="L485" s="161" t="n"/>
      <c r="M485" s="161" t="n"/>
    </row>
    <row r="486">
      <c r="A486" s="427" t="n"/>
      <c r="B486" s="428" t="n"/>
      <c r="C486" s="312" t="inlineStr">
        <is>
          <t>16*16</t>
        </is>
      </c>
      <c r="D486" s="105" t="n">
        <v>46.92506</v>
      </c>
      <c r="E486" s="301" t="n">
        <v>18</v>
      </c>
      <c r="F486" s="301" t="n">
        <v>900</v>
      </c>
      <c r="G486" s="301" t="n"/>
      <c r="H486" s="301">
        <f>F486-G486</f>
        <v/>
      </c>
      <c r="I486" s="161" t="n"/>
      <c r="J486" s="161" t="n"/>
      <c r="K486" s="161" t="n"/>
      <c r="L486" s="161" t="n"/>
      <c r="M486" s="161" t="n"/>
    </row>
    <row r="487">
      <c r="A487" s="427" t="n"/>
      <c r="B487" s="301" t="inlineStr">
        <is>
          <t>COSMIC</t>
        </is>
      </c>
      <c r="C487" s="312" t="inlineStr">
        <is>
          <t>9*12</t>
        </is>
      </c>
      <c r="D487" s="105" t="n">
        <v>18.52305</v>
      </c>
      <c r="E487" s="301" t="n">
        <v>48</v>
      </c>
      <c r="F487" s="301" t="n">
        <v>2640</v>
      </c>
      <c r="G487" s="301" t="n">
        <v>96</v>
      </c>
      <c r="H487" s="301">
        <f>F487-G487</f>
        <v/>
      </c>
      <c r="I487" s="161" t="n"/>
      <c r="J487" s="161" t="n"/>
      <c r="K487" s="161" t="n"/>
      <c r="L487" s="161" t="n"/>
      <c r="M487" s="161" t="n"/>
    </row>
    <row r="488">
      <c r="A488" s="427" t="n"/>
      <c r="B488" s="427" t="n"/>
      <c r="C488" s="312" t="inlineStr">
        <is>
          <t>10*14</t>
        </is>
      </c>
      <c r="D488" s="105" t="n">
        <v>23.46253</v>
      </c>
      <c r="E488" s="301" t="n">
        <v>28</v>
      </c>
      <c r="F488" s="301">
        <f>1400+140</f>
        <v/>
      </c>
      <c r="G488" s="301">
        <f>28+56+10</f>
        <v/>
      </c>
      <c r="H488" s="301">
        <f>F488-G488</f>
        <v/>
      </c>
      <c r="I488" s="161" t="n"/>
      <c r="J488" s="161" t="n"/>
      <c r="K488" s="161" t="n"/>
      <c r="L488" s="161" t="n"/>
      <c r="M488" s="161" t="n"/>
    </row>
    <row r="489">
      <c r="A489" s="427" t="n"/>
      <c r="B489" s="427" t="n"/>
      <c r="C489" s="312" t="inlineStr">
        <is>
          <t>13*17</t>
        </is>
      </c>
      <c r="D489" s="105" t="n">
        <v>46.92506</v>
      </c>
      <c r="E489" s="301" t="n">
        <v>24</v>
      </c>
      <c r="F489" s="301" t="n">
        <v>1152</v>
      </c>
      <c r="G489" s="301">
        <f>10+48</f>
        <v/>
      </c>
      <c r="H489" s="301">
        <f>F489-G489</f>
        <v/>
      </c>
      <c r="I489" s="161" t="n"/>
      <c r="J489" s="161" t="n"/>
      <c r="K489" s="161" t="n"/>
      <c r="L489" s="161" t="n"/>
      <c r="M489" s="161" t="n"/>
    </row>
    <row r="490">
      <c r="A490" s="427" t="n"/>
      <c r="B490" s="428" t="n"/>
      <c r="C490" s="312" t="inlineStr">
        <is>
          <t>17*21</t>
        </is>
      </c>
      <c r="D490" s="105" t="n">
        <v>58.656325</v>
      </c>
      <c r="E490" s="301" t="n">
        <v>15</v>
      </c>
      <c r="F490" s="301" t="n">
        <v>330</v>
      </c>
      <c r="G490" s="301" t="n"/>
      <c r="H490" s="301">
        <f>F490-G490</f>
        <v/>
      </c>
      <c r="I490" s="161" t="n"/>
      <c r="J490" s="161" t="n"/>
      <c r="K490" s="161" t="n"/>
      <c r="L490" s="161" t="n"/>
      <c r="M490" s="161" t="n"/>
    </row>
    <row r="491">
      <c r="A491" s="427" t="n"/>
      <c r="B491" s="301" t="inlineStr">
        <is>
          <t>GALACTIC</t>
        </is>
      </c>
      <c r="C491" s="312" t="inlineStr">
        <is>
          <t>7*12</t>
        </is>
      </c>
      <c r="D491" s="105" t="n">
        <v>16.670745</v>
      </c>
      <c r="E491" s="301" t="n">
        <v>72</v>
      </c>
      <c r="F491" s="301" t="n">
        <v>4680</v>
      </c>
      <c r="G491" s="301">
        <f>72+72+8</f>
        <v/>
      </c>
      <c r="H491" s="301">
        <f>F491-G491</f>
        <v/>
      </c>
      <c r="I491" s="161" t="n"/>
      <c r="J491" s="161" t="n"/>
      <c r="K491" s="161" t="n"/>
      <c r="L491" s="161" t="n"/>
      <c r="M491" s="161" t="n"/>
    </row>
    <row r="492">
      <c r="A492" s="427" t="n"/>
      <c r="B492" s="427" t="n"/>
      <c r="C492" s="312" t="inlineStr">
        <is>
          <t>9*14</t>
        </is>
      </c>
      <c r="D492" s="105" t="n">
        <v>20.375355</v>
      </c>
      <c r="E492" s="301" t="n">
        <v>48</v>
      </c>
      <c r="F492" s="301" t="n">
        <v>2832</v>
      </c>
      <c r="G492" s="301">
        <f>48+48</f>
        <v/>
      </c>
      <c r="H492" s="301">
        <f>F492-G492</f>
        <v/>
      </c>
      <c r="I492" s="161" t="n"/>
      <c r="J492" s="161" t="n"/>
      <c r="K492" s="161" t="n"/>
      <c r="L492" s="161" t="n"/>
      <c r="M492" s="161" t="n"/>
    </row>
    <row r="493">
      <c r="A493" s="427" t="n"/>
      <c r="B493" s="427" t="n"/>
      <c r="C493" s="301" t="inlineStr">
        <is>
          <t>12*19</t>
        </is>
      </c>
      <c r="D493" s="105" t="n">
        <v>46.92506</v>
      </c>
      <c r="E493" s="301" t="n">
        <v>24</v>
      </c>
      <c r="F493" s="301" t="n">
        <v>1272</v>
      </c>
      <c r="G493" s="301" t="n">
        <v>6</v>
      </c>
      <c r="H493" s="301">
        <f>F493-G493</f>
        <v/>
      </c>
      <c r="I493" s="161" t="n"/>
      <c r="J493" s="161" t="n"/>
      <c r="K493" s="161" t="n"/>
      <c r="L493" s="161" t="n"/>
      <c r="M493" s="161" t="n"/>
    </row>
    <row r="494">
      <c r="A494" s="427" t="n"/>
      <c r="B494" s="428" t="n"/>
      <c r="C494" s="312" t="inlineStr">
        <is>
          <t>17*27</t>
        </is>
      </c>
      <c r="D494" s="105" t="n">
        <v>58.656325</v>
      </c>
      <c r="E494" s="301" t="n">
        <v>12</v>
      </c>
      <c r="F494" s="301" t="n">
        <v>576</v>
      </c>
      <c r="G494" s="301" t="n"/>
      <c r="H494" s="301">
        <f>F494-G494</f>
        <v/>
      </c>
      <c r="I494" s="161" t="n"/>
      <c r="J494" s="161" t="n"/>
      <c r="K494" s="161" t="n"/>
      <c r="L494" s="161" t="n"/>
      <c r="M494" s="161" t="n"/>
    </row>
    <row r="495">
      <c r="A495" s="427" t="n"/>
      <c r="B495" s="301" t="inlineStr">
        <is>
          <t>Cosmic Baguette</t>
        </is>
      </c>
      <c r="C495" s="301" t="inlineStr">
        <is>
          <t>6*18</t>
        </is>
      </c>
      <c r="D495" s="105" t="n">
        <v>16.8</v>
      </c>
      <c r="E495" s="301" t="n">
        <v>42</v>
      </c>
      <c r="F495" s="301" t="n">
        <v>1932</v>
      </c>
      <c r="G495" s="301" t="n"/>
      <c r="H495" s="301">
        <f>F495-G495</f>
        <v/>
      </c>
      <c r="I495" s="161" t="n"/>
      <c r="J495" s="161" t="n"/>
      <c r="K495" s="161" t="n"/>
      <c r="L495" s="161" t="n"/>
      <c r="M495" s="161" t="n"/>
    </row>
    <row r="496">
      <c r="A496" s="427" t="n"/>
      <c r="B496" s="428" t="n"/>
      <c r="C496" s="301" t="inlineStr">
        <is>
          <t>7*21</t>
        </is>
      </c>
      <c r="D496" s="105" t="n">
        <v>28.35</v>
      </c>
      <c r="E496" s="301" t="n">
        <v>24</v>
      </c>
      <c r="F496" s="301" t="n">
        <v>1104</v>
      </c>
      <c r="G496" s="301" t="n"/>
      <c r="H496" s="301">
        <f>F496-G496</f>
        <v/>
      </c>
      <c r="I496" s="161" t="n"/>
      <c r="J496" s="161" t="n"/>
      <c r="K496" s="161" t="n"/>
      <c r="L496" s="161" t="n"/>
      <c r="M496" s="161" t="n"/>
    </row>
    <row r="497">
      <c r="A497" s="427" t="n"/>
      <c r="B497" s="301" t="inlineStr">
        <is>
          <t>XIRIUS</t>
        </is>
      </c>
      <c r="C497" s="301" t="inlineStr">
        <is>
          <t>8*8</t>
        </is>
      </c>
      <c r="D497" s="105" t="n">
        <v>10.5</v>
      </c>
      <c r="E497" s="301" t="n">
        <v>84</v>
      </c>
      <c r="F497" s="301" t="n">
        <v>4032</v>
      </c>
      <c r="G497" s="301" t="n">
        <v>40</v>
      </c>
      <c r="H497" s="301">
        <f>F497-G497</f>
        <v/>
      </c>
      <c r="I497" s="161" t="n"/>
      <c r="J497" s="161" t="n"/>
      <c r="K497" s="161" t="n"/>
      <c r="L497" s="161" t="n"/>
      <c r="M497" s="161" t="n"/>
    </row>
    <row r="498">
      <c r="A498" s="427" t="n"/>
      <c r="B498" s="427" t="n"/>
      <c r="C498" s="312" t="inlineStr">
        <is>
          <t>10*10</t>
        </is>
      </c>
      <c r="D498" s="105" t="n">
        <v>20.375355</v>
      </c>
      <c r="E498" s="301" t="n">
        <v>45</v>
      </c>
      <c r="F498" s="301" t="n">
        <v>2385</v>
      </c>
      <c r="G498" s="301" t="n"/>
      <c r="H498" s="301">
        <f>F498-G498</f>
        <v/>
      </c>
      <c r="I498" s="161" t="n"/>
      <c r="J498" s="161" t="n"/>
      <c r="K498" s="161" t="n"/>
      <c r="L498" s="161" t="n"/>
      <c r="M498" s="161" t="n"/>
    </row>
    <row r="499">
      <c r="A499" s="427" t="n"/>
      <c r="B499" s="428" t="n"/>
      <c r="C499" s="312" t="inlineStr">
        <is>
          <t>12*12</t>
        </is>
      </c>
      <c r="D499" s="105" t="n">
        <v>23.46253</v>
      </c>
      <c r="E499" s="301" t="n">
        <v>40</v>
      </c>
      <c r="F499" s="301" t="n">
        <v>1920</v>
      </c>
      <c r="G499" s="301" t="n"/>
      <c r="H499" s="301">
        <f>F499-G499</f>
        <v/>
      </c>
      <c r="I499" s="161" t="n"/>
      <c r="J499" s="161" t="n"/>
      <c r="K499" s="161" t="n"/>
      <c r="L499" s="161" t="n"/>
      <c r="M499" s="161" t="n"/>
    </row>
    <row r="500">
      <c r="A500" s="427" t="n"/>
      <c r="B500" s="301" t="inlineStr">
        <is>
          <t>S</t>
        </is>
      </c>
      <c r="C500" s="312" t="inlineStr">
        <is>
          <t>10*20</t>
        </is>
      </c>
      <c r="D500" s="105" t="n">
        <v>46.92506</v>
      </c>
      <c r="E500" s="301" t="n">
        <v>24</v>
      </c>
      <c r="F500" s="301" t="n">
        <v>1320</v>
      </c>
      <c r="G500" s="301" t="n"/>
      <c r="H500" s="301">
        <f>F500-G500</f>
        <v/>
      </c>
      <c r="I500" s="161" t="n"/>
      <c r="J500" s="161" t="n"/>
      <c r="K500" s="161" t="n"/>
      <c r="L500" s="161" t="n"/>
      <c r="M500" s="161" t="n"/>
    </row>
    <row r="501">
      <c r="A501" s="427" t="n"/>
      <c r="B501" s="428" t="n"/>
      <c r="C501" s="312" t="inlineStr">
        <is>
          <t>15*30</t>
        </is>
      </c>
      <c r="D501" s="105" t="n">
        <v>58.656325</v>
      </c>
      <c r="E501" s="301" t="n">
        <v>12</v>
      </c>
      <c r="F501" s="301" t="n">
        <v>504</v>
      </c>
      <c r="G501" s="301" t="n"/>
      <c r="H501" s="301">
        <f>F501-G501</f>
        <v/>
      </c>
      <c r="I501" s="161" t="n"/>
      <c r="J501" s="161" t="n"/>
      <c r="K501" s="161" t="n"/>
      <c r="L501" s="161" t="n"/>
      <c r="M501" s="161" t="n"/>
    </row>
    <row r="502" ht="15.75" customHeight="1" thickBot="1">
      <c r="A502" s="428" t="n"/>
      <c r="B502" s="302" t="inlineStr">
        <is>
          <t>DIAMOND LEAF</t>
        </is>
      </c>
      <c r="C502" s="313" t="inlineStr">
        <is>
          <t>10*20</t>
        </is>
      </c>
      <c r="D502" s="107" t="n">
        <v>46.92506</v>
      </c>
      <c r="E502" s="302" t="n">
        <v>24</v>
      </c>
      <c r="F502" s="302" t="n">
        <v>1272</v>
      </c>
      <c r="G502" s="302" t="n"/>
      <c r="H502" s="301">
        <f>F502-G502</f>
        <v/>
      </c>
      <c r="I502" s="161" t="n"/>
      <c r="J502" s="161" t="n"/>
      <c r="K502" s="161" t="n"/>
      <c r="L502" s="161" t="n"/>
      <c r="M502" s="161" t="n"/>
    </row>
    <row r="503" ht="15.75" customHeight="1" thickTop="1">
      <c r="A503" s="338" t="inlineStr">
        <is>
          <t>NEON YELLOW</t>
        </is>
      </c>
      <c r="B503" s="303" t="inlineStr">
        <is>
          <t>DROP</t>
        </is>
      </c>
      <c r="C503" s="311" t="inlineStr">
        <is>
          <t>7*12</t>
        </is>
      </c>
      <c r="D503" s="108" t="n">
        <v>16.670745</v>
      </c>
      <c r="E503" s="303" t="n">
        <v>72</v>
      </c>
      <c r="F503" s="303" t="n">
        <v>2304</v>
      </c>
      <c r="G503" s="303" t="n"/>
      <c r="H503" s="303">
        <f>F503-G503</f>
        <v/>
      </c>
      <c r="I503" s="161" t="n"/>
      <c r="J503" s="161" t="n"/>
      <c r="K503" s="161" t="n"/>
      <c r="L503" s="161" t="n"/>
      <c r="M503" s="161" t="n"/>
    </row>
    <row r="504">
      <c r="A504" s="427" t="n"/>
      <c r="B504" s="427" t="n"/>
      <c r="C504" s="312" t="inlineStr">
        <is>
          <t>10*14</t>
        </is>
      </c>
      <c r="D504" s="105" t="n">
        <v>20.375355</v>
      </c>
      <c r="E504" s="301" t="n">
        <v>36</v>
      </c>
      <c r="F504" s="301" t="n">
        <v>1152</v>
      </c>
      <c r="G504" s="301" t="n"/>
      <c r="H504" s="301">
        <f>F504-G504</f>
        <v/>
      </c>
      <c r="I504" s="161" t="n"/>
      <c r="J504" s="161" t="n"/>
      <c r="K504" s="161" t="n"/>
      <c r="L504" s="161" t="n"/>
      <c r="M504" s="161" t="n"/>
    </row>
    <row r="505">
      <c r="A505" s="427" t="n"/>
      <c r="B505" s="427" t="n"/>
      <c r="C505" s="312" t="inlineStr">
        <is>
          <t>11*18</t>
        </is>
      </c>
      <c r="D505" s="105" t="n">
        <v>23.46253</v>
      </c>
      <c r="E505" s="301" t="n">
        <v>24</v>
      </c>
      <c r="F505" s="301" t="n">
        <v>1296</v>
      </c>
      <c r="G505" s="301">
        <f>24+24</f>
        <v/>
      </c>
      <c r="H505" s="301">
        <f>F505-G505</f>
        <v/>
      </c>
      <c r="I505" s="161" t="n"/>
      <c r="J505" s="161" t="n"/>
      <c r="K505" s="161" t="n"/>
      <c r="L505" s="161" t="n"/>
      <c r="M505" s="161" t="n"/>
    </row>
    <row r="506">
      <c r="A506" s="427" t="n"/>
      <c r="B506" s="427" t="n"/>
      <c r="C506" s="312" t="inlineStr">
        <is>
          <t>13*22</t>
        </is>
      </c>
      <c r="D506" s="105" t="n">
        <v>46.92506</v>
      </c>
      <c r="E506" s="301" t="n">
        <v>24</v>
      </c>
      <c r="F506" s="301" t="n">
        <v>864</v>
      </c>
      <c r="G506" s="301" t="n">
        <v>24</v>
      </c>
      <c r="H506" s="301">
        <f>F506-G506</f>
        <v/>
      </c>
      <c r="I506" s="161" t="n"/>
      <c r="J506" s="161" t="n"/>
      <c r="K506" s="161" t="n"/>
      <c r="L506" s="161" t="n"/>
      <c r="M506" s="161" t="n"/>
    </row>
    <row r="507">
      <c r="A507" s="427" t="n"/>
      <c r="B507" s="428" t="n"/>
      <c r="C507" s="312" t="inlineStr">
        <is>
          <t>17*28</t>
        </is>
      </c>
      <c r="D507" s="105" t="n">
        <v>58.656325</v>
      </c>
      <c r="E507" s="301" t="n">
        <v>12</v>
      </c>
      <c r="F507" s="301" t="n">
        <v>300</v>
      </c>
      <c r="G507" s="301" t="n"/>
      <c r="H507" s="301">
        <f>F507-G507</f>
        <v/>
      </c>
      <c r="I507" s="161" t="n"/>
      <c r="J507" s="161" t="n"/>
      <c r="K507" s="161" t="n"/>
      <c r="L507" s="161" t="n"/>
      <c r="M507" s="161" t="n"/>
    </row>
    <row r="508">
      <c r="A508" s="427" t="n"/>
      <c r="B508" s="301" t="inlineStr">
        <is>
          <t>NAVETTE</t>
        </is>
      </c>
      <c r="C508" s="312" t="inlineStr">
        <is>
          <t>7*15</t>
        </is>
      </c>
      <c r="D508" s="105" t="n">
        <v>20.375355</v>
      </c>
      <c r="E508" s="301" t="n">
        <v>63</v>
      </c>
      <c r="F508" s="301" t="n">
        <v>3654</v>
      </c>
      <c r="G508" s="301" t="n"/>
      <c r="H508" s="301">
        <f>F508-G508</f>
        <v/>
      </c>
      <c r="I508" s="161" t="n"/>
      <c r="J508" s="161" t="n"/>
      <c r="K508" s="161" t="n"/>
      <c r="L508" s="161" t="n"/>
      <c r="M508" s="161" t="n"/>
    </row>
    <row r="509">
      <c r="A509" s="427" t="n"/>
      <c r="B509" s="427" t="n"/>
      <c r="C509" s="312" t="inlineStr">
        <is>
          <t>9*18</t>
        </is>
      </c>
      <c r="D509" s="105" t="n">
        <v>23.46253</v>
      </c>
      <c r="E509" s="301" t="n">
        <v>36</v>
      </c>
      <c r="F509" s="301" t="n">
        <v>1908</v>
      </c>
      <c r="G509" s="301" t="n">
        <v>36</v>
      </c>
      <c r="H509" s="301">
        <f>F509-G509</f>
        <v/>
      </c>
      <c r="I509" s="161" t="n"/>
      <c r="J509" s="161" t="n"/>
      <c r="K509" s="161" t="n"/>
      <c r="L509" s="161" t="n"/>
      <c r="M509" s="161" t="n"/>
    </row>
    <row r="510">
      <c r="A510" s="427" t="n"/>
      <c r="B510" s="427" t="n"/>
      <c r="C510" s="312" t="inlineStr">
        <is>
          <t>13*22</t>
        </is>
      </c>
      <c r="D510" s="105" t="n">
        <v>46.92506</v>
      </c>
      <c r="E510" s="301" t="n">
        <v>24</v>
      </c>
      <c r="F510" s="301" t="n">
        <v>1152</v>
      </c>
      <c r="G510" s="301" t="n"/>
      <c r="H510" s="301">
        <f>F510-G510</f>
        <v/>
      </c>
      <c r="I510" s="161" t="n"/>
      <c r="J510" s="161" t="n"/>
      <c r="K510" s="161" t="n"/>
      <c r="L510" s="161" t="n"/>
      <c r="M510" s="161" t="n"/>
    </row>
    <row r="511">
      <c r="A511" s="427" t="n"/>
      <c r="B511" s="428" t="n"/>
      <c r="C511" s="312" t="inlineStr">
        <is>
          <t>15*32</t>
        </is>
      </c>
      <c r="D511" s="105" t="n">
        <v>58.656325</v>
      </c>
      <c r="E511" s="301" t="n">
        <v>12</v>
      </c>
      <c r="F511" s="301" t="n">
        <v>540</v>
      </c>
      <c r="G511" s="301" t="n"/>
      <c r="H511" s="301">
        <f>F511-G511</f>
        <v/>
      </c>
      <c r="I511" s="161" t="n"/>
      <c r="J511" s="161" t="n"/>
      <c r="K511" s="161" t="n"/>
      <c r="L511" s="161" t="n"/>
      <c r="M511" s="161" t="n"/>
    </row>
    <row r="512">
      <c r="A512" s="427" t="n"/>
      <c r="B512" s="301" t="inlineStr">
        <is>
          <t>RIVOLI</t>
        </is>
      </c>
      <c r="C512" s="312" t="inlineStr">
        <is>
          <t>10*10</t>
        </is>
      </c>
      <c r="D512" s="105" t="n">
        <v>16.670745</v>
      </c>
      <c r="E512" s="301" t="n">
        <v>45</v>
      </c>
      <c r="F512" s="301" t="n">
        <v>2305</v>
      </c>
      <c r="G512" s="301" t="n"/>
      <c r="H512" s="301">
        <f>F512-G512</f>
        <v/>
      </c>
      <c r="I512" s="161" t="n"/>
      <c r="J512" s="161" t="n"/>
      <c r="K512" s="161" t="n"/>
      <c r="L512" s="161" t="n"/>
      <c r="M512" s="161" t="n"/>
    </row>
    <row r="513">
      <c r="A513" s="427" t="n"/>
      <c r="B513" s="427" t="n"/>
      <c r="C513" s="312" t="inlineStr">
        <is>
          <t>12*12</t>
        </is>
      </c>
      <c r="D513" s="105" t="n">
        <v>20.375355</v>
      </c>
      <c r="E513" s="301" t="n">
        <v>40</v>
      </c>
      <c r="F513" s="301" t="n">
        <v>1920</v>
      </c>
      <c r="G513" s="301" t="n"/>
      <c r="H513" s="301">
        <f>F513-G513</f>
        <v/>
      </c>
      <c r="I513" s="161" t="n"/>
      <c r="J513" s="161" t="n"/>
      <c r="K513" s="161" t="n"/>
      <c r="L513" s="161" t="n"/>
      <c r="M513" s="161" t="n"/>
    </row>
    <row r="514">
      <c r="A514" s="427" t="n"/>
      <c r="B514" s="427" t="n"/>
      <c r="C514" s="312" t="inlineStr">
        <is>
          <t>14*14</t>
        </is>
      </c>
      <c r="D514" s="105" t="n">
        <v>23.46253</v>
      </c>
      <c r="E514" s="301" t="n">
        <v>28</v>
      </c>
      <c r="F514" s="301" t="n">
        <v>1344</v>
      </c>
      <c r="G514" s="301" t="n"/>
      <c r="H514" s="301">
        <f>F514-G514</f>
        <v/>
      </c>
      <c r="I514" s="161" t="n"/>
      <c r="J514" s="161" t="n"/>
      <c r="K514" s="161" t="n"/>
      <c r="L514" s="161" t="n"/>
      <c r="M514" s="161" t="n"/>
    </row>
    <row r="515">
      <c r="A515" s="427" t="n"/>
      <c r="B515" s="427" t="n"/>
      <c r="C515" s="312" t="inlineStr">
        <is>
          <t>16*16</t>
        </is>
      </c>
      <c r="D515" s="105" t="n">
        <v>43.22045</v>
      </c>
      <c r="E515" s="301" t="n">
        <v>24</v>
      </c>
      <c r="F515" s="301" t="n">
        <v>1032</v>
      </c>
      <c r="G515" s="301" t="n"/>
      <c r="H515" s="301">
        <f>F515-G515</f>
        <v/>
      </c>
      <c r="I515" s="161" t="n"/>
      <c r="J515" s="161" t="n"/>
      <c r="K515" s="161" t="n"/>
      <c r="L515" s="161" t="n"/>
      <c r="M515" s="161" t="n"/>
    </row>
    <row r="516">
      <c r="A516" s="427" t="n"/>
      <c r="B516" s="428" t="n"/>
      <c r="C516" s="312" t="inlineStr">
        <is>
          <t>18*18</t>
        </is>
      </c>
      <c r="D516" s="105" t="n">
        <v>58.656325</v>
      </c>
      <c r="E516" s="301" t="n">
        <v>18</v>
      </c>
      <c r="F516" s="301" t="n">
        <v>774</v>
      </c>
      <c r="G516" s="301" t="n"/>
      <c r="H516" s="301">
        <f>F516-G516</f>
        <v/>
      </c>
      <c r="I516" s="161" t="n"/>
      <c r="J516" s="161" t="n"/>
      <c r="K516" s="161" t="n"/>
      <c r="L516" s="161" t="n"/>
      <c r="M516" s="161" t="n"/>
    </row>
    <row r="517">
      <c r="A517" s="427" t="n"/>
      <c r="B517" s="301" t="inlineStr">
        <is>
          <t>Trilliant</t>
        </is>
      </c>
      <c r="C517" s="312" t="inlineStr">
        <is>
          <t>12*12</t>
        </is>
      </c>
      <c r="D517" s="105" t="n">
        <v>23.46253</v>
      </c>
      <c r="E517" s="301" t="n">
        <v>28</v>
      </c>
      <c r="F517" s="301" t="n">
        <v>1540</v>
      </c>
      <c r="G517" s="301" t="n"/>
      <c r="H517" s="301">
        <f>F517-G517</f>
        <v/>
      </c>
      <c r="I517" s="161" t="n"/>
      <c r="J517" s="161" t="n"/>
      <c r="K517" s="161" t="n"/>
      <c r="L517" s="161" t="n"/>
      <c r="M517" s="161" t="n"/>
    </row>
    <row r="518">
      <c r="A518" s="427" t="n"/>
      <c r="B518" s="428" t="n"/>
      <c r="C518" s="312" t="inlineStr">
        <is>
          <t>16*16</t>
        </is>
      </c>
      <c r="D518" s="105" t="n">
        <v>46.92506</v>
      </c>
      <c r="E518" s="301" t="n">
        <v>18</v>
      </c>
      <c r="F518" s="301" t="n">
        <v>900</v>
      </c>
      <c r="G518" s="301" t="n"/>
      <c r="H518" s="301">
        <f>F518-G518</f>
        <v/>
      </c>
      <c r="I518" s="161" t="n"/>
      <c r="J518" s="161" t="n"/>
      <c r="K518" s="161" t="n"/>
      <c r="L518" s="161" t="n"/>
      <c r="M518" s="161" t="n"/>
    </row>
    <row r="519">
      <c r="A519" s="427" t="n"/>
      <c r="B519" s="312" t="inlineStr">
        <is>
          <t>COSMIC</t>
        </is>
      </c>
      <c r="C519" s="312" t="inlineStr">
        <is>
          <t>9*12</t>
        </is>
      </c>
      <c r="D519" s="105" t="n">
        <v>18.52305</v>
      </c>
      <c r="E519" s="301" t="n">
        <v>48</v>
      </c>
      <c r="F519" s="301">
        <f>2832-336</f>
        <v/>
      </c>
      <c r="G519" s="301" t="n"/>
      <c r="H519" s="301">
        <f>F519-G519</f>
        <v/>
      </c>
      <c r="I519" s="161" t="n"/>
      <c r="J519" s="161" t="n"/>
      <c r="K519" s="161" t="n"/>
      <c r="L519" s="161" t="n"/>
      <c r="M519" s="161" t="n"/>
    </row>
    <row r="520">
      <c r="A520" s="427" t="n"/>
      <c r="B520" s="427" t="n"/>
      <c r="C520" s="312" t="inlineStr">
        <is>
          <t>10*14</t>
        </is>
      </c>
      <c r="D520" s="105" t="n">
        <v>23.46253</v>
      </c>
      <c r="E520" s="301" t="n">
        <v>28</v>
      </c>
      <c r="F520" s="301" t="n">
        <v>1372</v>
      </c>
      <c r="G520" s="301">
        <f>28+28</f>
        <v/>
      </c>
      <c r="H520" s="301">
        <f>F520-G520</f>
        <v/>
      </c>
      <c r="I520" s="161" t="n"/>
      <c r="J520" s="161" t="n"/>
      <c r="K520" s="161" t="n"/>
      <c r="L520" s="161" t="n"/>
      <c r="M520" s="161" t="n"/>
    </row>
    <row r="521">
      <c r="A521" s="427" t="n"/>
      <c r="B521" s="427" t="n"/>
      <c r="C521" s="312" t="inlineStr">
        <is>
          <t>13*17</t>
        </is>
      </c>
      <c r="D521" s="105" t="n">
        <v>46.92506</v>
      </c>
      <c r="E521" s="301" t="n">
        <v>24</v>
      </c>
      <c r="F521" s="301">
        <f>768+11</f>
        <v/>
      </c>
      <c r="G521" s="301" t="n"/>
      <c r="H521" s="301">
        <f>F521-G521</f>
        <v/>
      </c>
      <c r="I521" s="161" t="n"/>
      <c r="J521" s="161" t="n"/>
      <c r="K521" s="161" t="n"/>
      <c r="L521" s="161" t="n"/>
      <c r="M521" s="161" t="n"/>
    </row>
    <row r="522">
      <c r="A522" s="427" t="n"/>
      <c r="B522" s="428" t="n"/>
      <c r="C522" s="312" t="inlineStr">
        <is>
          <t>17*21</t>
        </is>
      </c>
      <c r="D522" s="105" t="n">
        <v>58.656325</v>
      </c>
      <c r="E522" s="301" t="n">
        <v>15</v>
      </c>
      <c r="F522" s="301" t="n">
        <v>675</v>
      </c>
      <c r="G522" s="301" t="n"/>
      <c r="H522" s="301">
        <f>F522-G522</f>
        <v/>
      </c>
      <c r="I522" s="161" t="n"/>
      <c r="J522" s="161" t="n"/>
      <c r="K522" s="161" t="n"/>
      <c r="L522" s="161" t="n"/>
      <c r="M522" s="161" t="n"/>
    </row>
    <row r="523">
      <c r="A523" s="427" t="n"/>
      <c r="B523" s="301" t="inlineStr">
        <is>
          <t>GALACTIC</t>
        </is>
      </c>
      <c r="C523" s="312" t="inlineStr">
        <is>
          <t>7*12</t>
        </is>
      </c>
      <c r="D523" s="105" t="n">
        <v>16.670745</v>
      </c>
      <c r="E523" s="301" t="n">
        <v>72</v>
      </c>
      <c r="F523" s="301" t="n">
        <v>4680</v>
      </c>
      <c r="G523" s="301" t="n"/>
      <c r="H523" s="301">
        <f>F523-G523</f>
        <v/>
      </c>
      <c r="I523" s="161" t="n"/>
      <c r="J523" s="161" t="n"/>
      <c r="K523" s="161" t="n"/>
      <c r="L523" s="161" t="n"/>
      <c r="M523" s="161" t="n"/>
    </row>
    <row r="524">
      <c r="A524" s="427" t="n"/>
      <c r="B524" s="427" t="n"/>
      <c r="C524" s="312" t="inlineStr">
        <is>
          <t>9*14</t>
        </is>
      </c>
      <c r="D524" s="105" t="n">
        <v>20.375355</v>
      </c>
      <c r="E524" s="301" t="n">
        <v>48</v>
      </c>
      <c r="F524" s="301" t="n">
        <v>2448</v>
      </c>
      <c r="G524" s="301" t="n"/>
      <c r="H524" s="301">
        <f>F524-G524</f>
        <v/>
      </c>
      <c r="I524" s="161" t="n"/>
      <c r="J524" s="161" t="n"/>
      <c r="K524" s="161" t="n"/>
      <c r="L524" s="161" t="n"/>
      <c r="M524" s="161" t="n"/>
    </row>
    <row r="525">
      <c r="A525" s="427" t="n"/>
      <c r="B525" s="427" t="n"/>
      <c r="C525" s="301" t="inlineStr">
        <is>
          <t>12*19</t>
        </is>
      </c>
      <c r="D525" s="105" t="n">
        <v>46.92506</v>
      </c>
      <c r="E525" s="301" t="n">
        <v>24</v>
      </c>
      <c r="F525" s="301" t="n">
        <v>1200</v>
      </c>
      <c r="G525" s="301" t="n"/>
      <c r="H525" s="301">
        <f>F525-G525</f>
        <v/>
      </c>
      <c r="I525" s="161" t="n"/>
      <c r="J525" s="161" t="n"/>
      <c r="K525" s="161" t="n"/>
      <c r="L525" s="161" t="n"/>
      <c r="M525" s="161" t="n"/>
    </row>
    <row r="526">
      <c r="A526" s="427" t="n"/>
      <c r="B526" s="428" t="n"/>
      <c r="C526" s="360" t="inlineStr">
        <is>
          <t>17*27</t>
        </is>
      </c>
      <c r="D526" s="106" t="n">
        <v>58.656325</v>
      </c>
      <c r="E526" s="318" t="n">
        <v>12</v>
      </c>
      <c r="F526" s="318" t="n">
        <v>576</v>
      </c>
      <c r="G526" s="318" t="n"/>
      <c r="H526" s="301">
        <f>F526-G526</f>
        <v/>
      </c>
      <c r="I526" s="161" t="n"/>
      <c r="J526" s="161" t="n"/>
      <c r="K526" s="161" t="n"/>
      <c r="L526" s="161" t="n"/>
      <c r="M526" s="161" t="n"/>
    </row>
    <row r="527">
      <c r="A527" s="427" t="n"/>
      <c r="B527" s="301" t="inlineStr">
        <is>
          <t>Cosmic Baguette</t>
        </is>
      </c>
      <c r="C527" s="301" t="inlineStr">
        <is>
          <t>6*18</t>
        </is>
      </c>
      <c r="D527" s="105" t="n">
        <v>16.8</v>
      </c>
      <c r="E527" s="301" t="n">
        <v>42</v>
      </c>
      <c r="F527" s="301" t="n">
        <v>1932</v>
      </c>
      <c r="G527" s="301" t="n"/>
      <c r="H527" s="301">
        <f>F527-G527</f>
        <v/>
      </c>
      <c r="I527" s="161" t="n"/>
      <c r="J527" s="161" t="n"/>
      <c r="K527" s="161" t="n"/>
      <c r="L527" s="161" t="n"/>
      <c r="M527" s="161" t="n"/>
    </row>
    <row r="528">
      <c r="A528" s="427" t="n"/>
      <c r="B528" s="428" t="n"/>
      <c r="C528" s="301" t="inlineStr">
        <is>
          <t>7*21</t>
        </is>
      </c>
      <c r="D528" s="105" t="n">
        <v>28.35</v>
      </c>
      <c r="E528" s="301" t="n">
        <v>24</v>
      </c>
      <c r="F528" s="301" t="n">
        <v>1104</v>
      </c>
      <c r="G528" s="301" t="n"/>
      <c r="H528" s="301">
        <f>F528-G528</f>
        <v/>
      </c>
      <c r="I528" s="161" t="n"/>
      <c r="J528" s="161" t="n"/>
      <c r="K528" s="161" t="n"/>
      <c r="L528" s="161" t="n"/>
      <c r="M528" s="161" t="n"/>
    </row>
    <row r="529">
      <c r="A529" s="427" t="n"/>
      <c r="B529" s="301" t="inlineStr">
        <is>
          <t>XIRIUS</t>
        </is>
      </c>
      <c r="C529" s="301" t="inlineStr">
        <is>
          <t>8*8</t>
        </is>
      </c>
      <c r="D529" s="105" t="n">
        <v>10.5</v>
      </c>
      <c r="E529" s="301" t="n">
        <v>84</v>
      </c>
      <c r="F529" s="318" t="n">
        <v>4032</v>
      </c>
      <c r="G529" s="318" t="n">
        <v>84</v>
      </c>
      <c r="H529" s="301">
        <f>F529-G529</f>
        <v/>
      </c>
      <c r="I529" s="161" t="n"/>
      <c r="J529" s="161" t="n"/>
      <c r="K529" s="161" t="n"/>
      <c r="L529" s="161" t="n"/>
      <c r="M529" s="161" t="n"/>
    </row>
    <row r="530">
      <c r="A530" s="427" t="n"/>
      <c r="B530" s="427" t="n"/>
      <c r="C530" s="361" t="inlineStr">
        <is>
          <t>10*10</t>
        </is>
      </c>
      <c r="D530" s="109" t="n">
        <v>20.375355</v>
      </c>
      <c r="E530" s="317" t="n">
        <v>45</v>
      </c>
      <c r="F530" s="301" t="n">
        <v>2475</v>
      </c>
      <c r="G530" s="301" t="n"/>
      <c r="H530" s="301">
        <f>F530-G530</f>
        <v/>
      </c>
      <c r="I530" s="161" t="n"/>
      <c r="J530" s="161" t="n"/>
      <c r="K530" s="161" t="n"/>
      <c r="L530" s="161" t="n"/>
      <c r="M530" s="161" t="n"/>
    </row>
    <row r="531">
      <c r="A531" s="427" t="n"/>
      <c r="B531" s="428" t="n"/>
      <c r="C531" s="312" t="inlineStr">
        <is>
          <t>12*12</t>
        </is>
      </c>
      <c r="D531" s="105" t="n">
        <v>23.46253</v>
      </c>
      <c r="E531" s="301" t="n">
        <v>40</v>
      </c>
      <c r="F531" s="301" t="n">
        <v>1840</v>
      </c>
      <c r="G531" s="301" t="n"/>
      <c r="H531" s="301">
        <f>F531-G531</f>
        <v/>
      </c>
      <c r="I531" s="161" t="n"/>
      <c r="J531" s="161" t="n"/>
      <c r="K531" s="161" t="n"/>
      <c r="L531" s="161" t="n"/>
      <c r="M531" s="161" t="n"/>
    </row>
    <row r="532">
      <c r="A532" s="427" t="n"/>
      <c r="B532" s="301" t="inlineStr">
        <is>
          <t>S</t>
        </is>
      </c>
      <c r="C532" s="312" t="inlineStr">
        <is>
          <t>10*20</t>
        </is>
      </c>
      <c r="D532" s="105" t="n">
        <v>46.92506</v>
      </c>
      <c r="E532" s="301" t="n">
        <v>24</v>
      </c>
      <c r="F532" s="301" t="n">
        <v>1320</v>
      </c>
      <c r="G532" s="301" t="n"/>
      <c r="H532" s="301">
        <f>F532-G532</f>
        <v/>
      </c>
      <c r="I532" s="161" t="n"/>
      <c r="J532" s="161" t="n"/>
      <c r="K532" s="161" t="n"/>
      <c r="L532" s="161" t="n"/>
      <c r="M532" s="161" t="n"/>
    </row>
    <row r="533">
      <c r="A533" s="427" t="n"/>
      <c r="B533" s="428" t="n"/>
      <c r="C533" s="312" t="inlineStr">
        <is>
          <t>15*30</t>
        </is>
      </c>
      <c r="D533" s="105" t="n">
        <v>58.656325</v>
      </c>
      <c r="E533" s="301" t="n">
        <v>12</v>
      </c>
      <c r="F533" s="301" t="n">
        <v>504</v>
      </c>
      <c r="G533" s="301" t="n"/>
      <c r="H533" s="301">
        <f>F533-G533</f>
        <v/>
      </c>
      <c r="I533" s="161" t="n"/>
      <c r="J533" s="161" t="n"/>
      <c r="K533" s="161" t="n"/>
      <c r="L533" s="161" t="n"/>
      <c r="M533" s="161" t="n"/>
    </row>
    <row r="534" ht="15.75" customHeight="1" thickBot="1">
      <c r="A534" s="428" t="n"/>
      <c r="B534" s="302" t="inlineStr">
        <is>
          <t>DIAMOND LEAF</t>
        </is>
      </c>
      <c r="C534" s="313" t="inlineStr">
        <is>
          <t>10*20</t>
        </is>
      </c>
      <c r="D534" s="107" t="n">
        <v>46.92506</v>
      </c>
      <c r="E534" s="302" t="n">
        <v>24</v>
      </c>
      <c r="F534" s="302" t="n">
        <v>1248</v>
      </c>
      <c r="G534" s="302" t="n"/>
      <c r="H534" s="301">
        <f>F534-G534</f>
        <v/>
      </c>
      <c r="I534" s="161" t="n"/>
      <c r="J534" s="161" t="n"/>
      <c r="K534" s="161" t="n"/>
      <c r="L534" s="161" t="n"/>
      <c r="M534" s="161" t="n"/>
    </row>
    <row r="535" ht="15.75" customHeight="1" thickTop="1">
      <c r="A535" s="338" t="inlineStr">
        <is>
          <t>NEON GREEN</t>
        </is>
      </c>
      <c r="B535" s="303" t="inlineStr">
        <is>
          <t>DROP</t>
        </is>
      </c>
      <c r="C535" s="311" t="inlineStr">
        <is>
          <t>7*12</t>
        </is>
      </c>
      <c r="D535" s="108" t="n">
        <v>16.670745</v>
      </c>
      <c r="E535" s="303" t="n">
        <v>72</v>
      </c>
      <c r="F535" s="311" t="n">
        <v>2880</v>
      </c>
      <c r="G535" s="303" t="n"/>
      <c r="H535" s="303">
        <f>F535-G535</f>
        <v/>
      </c>
      <c r="I535" s="161" t="n"/>
      <c r="J535" s="161" t="n"/>
      <c r="K535" s="161" t="n"/>
      <c r="L535" s="161" t="n"/>
      <c r="M535" s="161" t="n"/>
    </row>
    <row r="536">
      <c r="A536" s="427" t="n"/>
      <c r="B536" s="427" t="n"/>
      <c r="C536" s="312" t="inlineStr">
        <is>
          <t>10*14</t>
        </is>
      </c>
      <c r="D536" s="105" t="n">
        <v>20.375355</v>
      </c>
      <c r="E536" s="301" t="n">
        <v>36</v>
      </c>
      <c r="F536" s="312" t="n">
        <v>1152</v>
      </c>
      <c r="G536" s="301" t="n"/>
      <c r="H536" s="301">
        <f>F536-G536</f>
        <v/>
      </c>
      <c r="I536" s="161" t="n"/>
      <c r="J536" s="161" t="n"/>
      <c r="K536" s="161" t="n"/>
      <c r="L536" s="161" t="n"/>
      <c r="M536" s="161" t="n"/>
    </row>
    <row r="537">
      <c r="A537" s="427" t="n"/>
      <c r="B537" s="427" t="n"/>
      <c r="C537" s="312" t="inlineStr">
        <is>
          <t>11*18</t>
        </is>
      </c>
      <c r="D537" s="105" t="n">
        <v>23.46253</v>
      </c>
      <c r="E537" s="301" t="n">
        <v>24</v>
      </c>
      <c r="F537" s="312" t="n">
        <v>864</v>
      </c>
      <c r="G537" s="301" t="n"/>
      <c r="H537" s="301">
        <f>F537-G537</f>
        <v/>
      </c>
      <c r="I537" s="161" t="n"/>
      <c r="J537" s="161" t="n"/>
      <c r="K537" s="161" t="n"/>
      <c r="L537" s="161" t="n"/>
      <c r="M537" s="161" t="n"/>
    </row>
    <row r="538">
      <c r="A538" s="427" t="n"/>
      <c r="B538" s="427" t="n"/>
      <c r="C538" s="312" t="inlineStr">
        <is>
          <t>13*22</t>
        </is>
      </c>
      <c r="D538" s="105" t="n">
        <v>46.92506</v>
      </c>
      <c r="E538" s="301" t="n">
        <v>24</v>
      </c>
      <c r="F538" s="312" t="n">
        <v>864</v>
      </c>
      <c r="G538" s="301" t="n"/>
      <c r="H538" s="301">
        <f>F538-G538</f>
        <v/>
      </c>
      <c r="I538" s="161" t="n"/>
      <c r="J538" s="161" t="n"/>
      <c r="K538" s="161" t="n"/>
      <c r="L538" s="161" t="n"/>
      <c r="M538" s="161" t="n"/>
    </row>
    <row r="539">
      <c r="A539" s="427" t="n"/>
      <c r="B539" s="428" t="n"/>
      <c r="C539" s="312" t="inlineStr">
        <is>
          <t>17*28</t>
        </is>
      </c>
      <c r="D539" s="105" t="n">
        <v>58.656325</v>
      </c>
      <c r="E539" s="301" t="n">
        <v>12</v>
      </c>
      <c r="F539" s="312">
        <f>240+120</f>
        <v/>
      </c>
      <c r="G539" s="301" t="n"/>
      <c r="H539" s="301">
        <f>F539-G539</f>
        <v/>
      </c>
      <c r="I539" s="161" t="n"/>
      <c r="J539" s="161" t="n"/>
      <c r="K539" s="161" t="n"/>
      <c r="L539" s="161" t="n"/>
      <c r="M539" s="161" t="n"/>
    </row>
    <row r="540">
      <c r="A540" s="427" t="n"/>
      <c r="B540" s="301" t="inlineStr">
        <is>
          <t>NAVETTE</t>
        </is>
      </c>
      <c r="C540" s="312" t="inlineStr">
        <is>
          <t>7*15</t>
        </is>
      </c>
      <c r="D540" s="105" t="n">
        <v>20.375355</v>
      </c>
      <c r="E540" s="301" t="n">
        <v>63</v>
      </c>
      <c r="F540" s="301" t="n">
        <v>3654</v>
      </c>
      <c r="G540" s="301" t="n"/>
      <c r="H540" s="301">
        <f>F540-G540</f>
        <v/>
      </c>
      <c r="I540" s="161" t="n"/>
      <c r="J540" s="161" t="n"/>
      <c r="K540" s="161" t="n"/>
      <c r="L540" s="161" t="n"/>
      <c r="M540" s="161" t="n"/>
    </row>
    <row r="541">
      <c r="A541" s="427" t="n"/>
      <c r="B541" s="427" t="n"/>
      <c r="C541" s="312" t="inlineStr">
        <is>
          <t>9*18</t>
        </is>
      </c>
      <c r="D541" s="105" t="n">
        <v>23.46253</v>
      </c>
      <c r="E541" s="301" t="n">
        <v>36</v>
      </c>
      <c r="F541" s="301" t="n">
        <v>1908</v>
      </c>
      <c r="G541" s="301" t="n"/>
      <c r="H541" s="301">
        <f>F541-G541</f>
        <v/>
      </c>
      <c r="I541" s="161" t="n"/>
      <c r="J541" s="161" t="n"/>
      <c r="K541" s="161" t="n"/>
      <c r="L541" s="161" t="n"/>
      <c r="M541" s="161" t="n"/>
    </row>
    <row r="542">
      <c r="A542" s="427" t="n"/>
      <c r="B542" s="427" t="n"/>
      <c r="C542" s="312" t="inlineStr">
        <is>
          <t>13*22</t>
        </is>
      </c>
      <c r="D542" s="105" t="n">
        <v>46.92506</v>
      </c>
      <c r="E542" s="301" t="n">
        <v>24</v>
      </c>
      <c r="F542" s="301">
        <f>48+1152</f>
        <v/>
      </c>
      <c r="G542" s="301" t="n"/>
      <c r="H542" s="301">
        <f>F542-G542</f>
        <v/>
      </c>
      <c r="I542" s="161" t="n"/>
      <c r="J542" s="161" t="n"/>
      <c r="K542" s="161" t="n"/>
      <c r="L542" s="161" t="n"/>
      <c r="M542" s="161" t="n"/>
    </row>
    <row r="543">
      <c r="A543" s="427" t="n"/>
      <c r="B543" s="428" t="n"/>
      <c r="C543" s="360" t="inlineStr">
        <is>
          <t>15*32</t>
        </is>
      </c>
      <c r="D543" s="106" t="n">
        <v>58.656325</v>
      </c>
      <c r="E543" s="318" t="n">
        <v>12</v>
      </c>
      <c r="F543" s="318" t="n">
        <v>540</v>
      </c>
      <c r="G543" s="318" t="n"/>
      <c r="H543" s="301">
        <f>F543-G543</f>
        <v/>
      </c>
      <c r="I543" s="161" t="n"/>
      <c r="J543" s="161" t="n"/>
      <c r="K543" s="161" t="n"/>
      <c r="L543" s="161" t="n"/>
      <c r="M543" s="161" t="n"/>
    </row>
    <row r="544">
      <c r="A544" s="427" t="n"/>
      <c r="B544" s="301" t="inlineStr">
        <is>
          <t>RIVOLI</t>
        </is>
      </c>
      <c r="C544" s="301" t="inlineStr">
        <is>
          <t>10*10</t>
        </is>
      </c>
      <c r="D544" s="105" t="n">
        <v>10.5</v>
      </c>
      <c r="E544" s="301" t="n">
        <v>45</v>
      </c>
      <c r="F544" s="301" t="n">
        <v>4095</v>
      </c>
      <c r="G544" s="301" t="n"/>
      <c r="H544" s="301">
        <f>F544-G544</f>
        <v/>
      </c>
      <c r="I544" s="161" t="n"/>
      <c r="J544" s="161" t="n"/>
      <c r="K544" s="161" t="n"/>
      <c r="L544" s="161" t="n"/>
      <c r="M544" s="161" t="n"/>
    </row>
    <row r="545">
      <c r="A545" s="427" t="n"/>
      <c r="B545" s="427" t="n"/>
      <c r="C545" s="312" t="inlineStr">
        <is>
          <t>12*12</t>
        </is>
      </c>
      <c r="D545" s="105" t="n">
        <v>20.375355</v>
      </c>
      <c r="E545" s="301" t="n">
        <v>40</v>
      </c>
      <c r="F545" s="301">
        <f>1920+17</f>
        <v/>
      </c>
      <c r="G545" s="301" t="n"/>
      <c r="H545" s="301">
        <f>F545-G545</f>
        <v/>
      </c>
      <c r="I545" s="161" t="n"/>
      <c r="J545" s="161" t="n"/>
      <c r="K545" s="161" t="n"/>
      <c r="L545" s="161" t="n"/>
      <c r="M545" s="161" t="n"/>
    </row>
    <row r="546">
      <c r="A546" s="427" t="n"/>
      <c r="B546" s="427" t="n"/>
      <c r="C546" s="312" t="inlineStr">
        <is>
          <t>14*14</t>
        </is>
      </c>
      <c r="D546" s="105" t="n">
        <v>23.46253</v>
      </c>
      <c r="E546" s="301" t="n">
        <v>28</v>
      </c>
      <c r="F546" s="301" t="n">
        <v>1344</v>
      </c>
      <c r="G546" s="301" t="n"/>
      <c r="H546" s="301">
        <f>F546-G546</f>
        <v/>
      </c>
      <c r="I546" s="161" t="n"/>
      <c r="J546" s="161" t="n"/>
      <c r="K546" s="161" t="n"/>
      <c r="L546" s="161" t="n"/>
      <c r="M546" s="161" t="n"/>
    </row>
    <row r="547">
      <c r="A547" s="427" t="n"/>
      <c r="B547" s="427" t="n"/>
      <c r="C547" s="312" t="inlineStr">
        <is>
          <t>16*16</t>
        </is>
      </c>
      <c r="D547" s="105" t="n">
        <v>43.22045</v>
      </c>
      <c r="E547" s="301" t="n">
        <v>24</v>
      </c>
      <c r="F547" s="301" t="n">
        <v>1032</v>
      </c>
      <c r="G547" s="301" t="n"/>
      <c r="H547" s="301">
        <f>F547-G547</f>
        <v/>
      </c>
      <c r="I547" s="161" t="n"/>
      <c r="J547" s="161" t="n"/>
      <c r="K547" s="161" t="n"/>
      <c r="L547" s="161" t="n"/>
      <c r="M547" s="161" t="n"/>
    </row>
    <row r="548">
      <c r="A548" s="427" t="n"/>
      <c r="B548" s="428" t="n"/>
      <c r="C548" s="312" t="inlineStr">
        <is>
          <t>18*18</t>
        </is>
      </c>
      <c r="D548" s="105" t="n">
        <v>58.656325</v>
      </c>
      <c r="E548" s="301" t="n">
        <v>18</v>
      </c>
      <c r="F548" s="301" t="n">
        <v>774</v>
      </c>
      <c r="G548" s="301" t="n"/>
      <c r="H548" s="301">
        <f>F548-G548</f>
        <v/>
      </c>
      <c r="I548" s="161" t="n"/>
      <c r="J548" s="161" t="n"/>
      <c r="K548" s="161" t="n"/>
      <c r="L548" s="161" t="n"/>
      <c r="M548" s="161" t="n"/>
    </row>
    <row r="549">
      <c r="A549" s="427" t="n"/>
      <c r="B549" s="301" t="inlineStr">
        <is>
          <t>Trilliant</t>
        </is>
      </c>
      <c r="C549" s="301" t="inlineStr">
        <is>
          <t>12*12</t>
        </is>
      </c>
      <c r="D549" s="105" t="n">
        <v>23.46253</v>
      </c>
      <c r="E549" s="301" t="n">
        <v>28</v>
      </c>
      <c r="F549" s="301" t="n">
        <v>1540</v>
      </c>
      <c r="G549" s="301" t="n"/>
      <c r="H549" s="301">
        <f>F549-G549</f>
        <v/>
      </c>
      <c r="I549" s="161" t="n"/>
      <c r="J549" s="161" t="n"/>
      <c r="K549" s="161" t="n"/>
      <c r="L549" s="161" t="n"/>
      <c r="M549" s="161" t="n"/>
    </row>
    <row r="550">
      <c r="A550" s="427" t="n"/>
      <c r="B550" s="428" t="n"/>
      <c r="C550" s="312" t="inlineStr">
        <is>
          <t>16*16</t>
        </is>
      </c>
      <c r="D550" s="105" t="n">
        <v>46.92506</v>
      </c>
      <c r="E550" s="301" t="n">
        <v>18</v>
      </c>
      <c r="F550" s="301" t="n">
        <v>900</v>
      </c>
      <c r="G550" s="301" t="n"/>
      <c r="H550" s="301">
        <f>F550-G550</f>
        <v/>
      </c>
      <c r="I550" s="161" t="n"/>
      <c r="J550" s="161" t="n"/>
      <c r="K550" s="161" t="n"/>
      <c r="L550" s="161" t="n"/>
      <c r="M550" s="161" t="n"/>
    </row>
    <row r="551">
      <c r="A551" s="427" t="n"/>
      <c r="B551" s="312" t="inlineStr">
        <is>
          <t>COSMIC</t>
        </is>
      </c>
      <c r="C551" s="312" t="inlineStr">
        <is>
          <t>9*12</t>
        </is>
      </c>
      <c r="D551" s="105" t="n">
        <v>18.52305</v>
      </c>
      <c r="E551" s="301" t="n">
        <v>48</v>
      </c>
      <c r="F551" s="301" t="n">
        <v>2640</v>
      </c>
      <c r="G551" s="301" t="n"/>
      <c r="H551" s="301">
        <f>F551-G551</f>
        <v/>
      </c>
      <c r="I551" s="161" t="n"/>
      <c r="J551" s="161" t="n"/>
      <c r="K551" s="161" t="n"/>
      <c r="L551" s="161" t="n"/>
      <c r="M551" s="161" t="n"/>
    </row>
    <row r="552">
      <c r="A552" s="427" t="n"/>
      <c r="B552" s="427" t="n"/>
      <c r="C552" s="312" t="inlineStr">
        <is>
          <t>10*14</t>
        </is>
      </c>
      <c r="D552" s="105" t="n">
        <v>23.46253</v>
      </c>
      <c r="E552" s="301" t="n">
        <v>28</v>
      </c>
      <c r="F552" s="301" t="n">
        <v>1400</v>
      </c>
      <c r="G552" s="301" t="n"/>
      <c r="H552" s="301">
        <f>F552-G552</f>
        <v/>
      </c>
      <c r="I552" s="161" t="n"/>
      <c r="J552" s="161" t="n"/>
      <c r="K552" s="161" t="n"/>
      <c r="L552" s="161" t="n"/>
      <c r="M552" s="161" t="n"/>
    </row>
    <row r="553">
      <c r="A553" s="427" t="n"/>
      <c r="B553" s="427" t="n"/>
      <c r="C553" s="312" t="inlineStr">
        <is>
          <t>13*17</t>
        </is>
      </c>
      <c r="D553" s="105" t="n">
        <v>46.92506</v>
      </c>
      <c r="E553" s="301" t="n">
        <v>24</v>
      </c>
      <c r="F553" s="301" t="n">
        <v>1152</v>
      </c>
      <c r="G553" s="301" t="n"/>
      <c r="H553" s="301">
        <f>F553-G553</f>
        <v/>
      </c>
      <c r="I553" s="161" t="n"/>
      <c r="J553" s="161" t="n"/>
      <c r="K553" s="161" t="n"/>
      <c r="L553" s="161" t="n"/>
      <c r="M553" s="161" t="n"/>
    </row>
    <row r="554">
      <c r="A554" s="427" t="n"/>
      <c r="B554" s="428" t="n"/>
      <c r="C554" s="312" t="inlineStr">
        <is>
          <t>17*21</t>
        </is>
      </c>
      <c r="D554" s="105" t="n">
        <v>58.656325</v>
      </c>
      <c r="E554" s="301" t="n">
        <v>15</v>
      </c>
      <c r="F554" s="301">
        <f>360+480</f>
        <v/>
      </c>
      <c r="G554" s="301" t="n"/>
      <c r="H554" s="301">
        <f>F554-G554</f>
        <v/>
      </c>
      <c r="I554" s="161" t="n"/>
      <c r="J554" s="161" t="n"/>
      <c r="K554" s="161" t="n"/>
      <c r="L554" s="161" t="n"/>
      <c r="M554" s="161" t="n"/>
    </row>
    <row r="555">
      <c r="A555" s="427" t="n"/>
      <c r="B555" s="301" t="inlineStr">
        <is>
          <t>GALACTIC</t>
        </is>
      </c>
      <c r="C555" s="312" t="inlineStr">
        <is>
          <t>7*12</t>
        </is>
      </c>
      <c r="D555" s="105" t="n">
        <v>16.670745</v>
      </c>
      <c r="E555" s="301" t="n">
        <v>72</v>
      </c>
      <c r="F555" s="301" t="n">
        <v>4680</v>
      </c>
      <c r="G555" s="301" t="n"/>
      <c r="H555" s="301">
        <f>F555-G555</f>
        <v/>
      </c>
      <c r="I555" s="161" t="n"/>
      <c r="J555" s="161" t="n"/>
      <c r="K555" s="161" t="n"/>
      <c r="L555" s="161" t="n"/>
      <c r="M555" s="161" t="n"/>
    </row>
    <row r="556">
      <c r="A556" s="427" t="n"/>
      <c r="B556" s="427" t="n"/>
      <c r="C556" s="312" t="inlineStr">
        <is>
          <t>9*14</t>
        </is>
      </c>
      <c r="D556" s="105" t="n">
        <v>20.375355</v>
      </c>
      <c r="E556" s="301" t="n">
        <v>48</v>
      </c>
      <c r="F556" s="301" t="n">
        <v>2544</v>
      </c>
      <c r="G556" s="301" t="n"/>
      <c r="H556" s="301">
        <f>F556-G556</f>
        <v/>
      </c>
      <c r="I556" s="161" t="n"/>
      <c r="J556" s="161" t="n"/>
      <c r="K556" s="161" t="n"/>
      <c r="L556" s="161" t="n"/>
      <c r="M556" s="161" t="n"/>
    </row>
    <row r="557">
      <c r="A557" s="427" t="n"/>
      <c r="B557" s="427" t="n"/>
      <c r="C557" s="301" t="inlineStr">
        <is>
          <t>12*19</t>
        </is>
      </c>
      <c r="D557" s="105" t="n">
        <v>46.92506</v>
      </c>
      <c r="E557" s="301" t="n">
        <v>24</v>
      </c>
      <c r="F557" s="301" t="n">
        <v>1152</v>
      </c>
      <c r="G557" s="301" t="n"/>
      <c r="H557" s="301">
        <f>F557-G557</f>
        <v/>
      </c>
      <c r="I557" s="161" t="n"/>
      <c r="J557" s="161" t="n"/>
      <c r="K557" s="161" t="n"/>
      <c r="L557" s="161" t="n"/>
      <c r="M557" s="161" t="n"/>
    </row>
    <row r="558">
      <c r="A558" s="427" t="n"/>
      <c r="B558" s="428" t="n"/>
      <c r="C558" s="312" t="inlineStr">
        <is>
          <t>17*27</t>
        </is>
      </c>
      <c r="D558" s="105" t="n">
        <v>58.656325</v>
      </c>
      <c r="E558" s="301" t="n">
        <v>12</v>
      </c>
      <c r="F558" s="301" t="n">
        <v>576</v>
      </c>
      <c r="G558" s="301" t="n"/>
      <c r="H558" s="301">
        <f>F558-G558</f>
        <v/>
      </c>
      <c r="I558" s="161" t="n"/>
      <c r="J558" s="161" t="n"/>
      <c r="K558" s="161" t="n"/>
      <c r="L558" s="161" t="n"/>
      <c r="M558" s="161" t="n"/>
    </row>
    <row r="559">
      <c r="A559" s="427" t="n"/>
      <c r="B559" s="301" t="inlineStr">
        <is>
          <t>Cosmic Baguette</t>
        </is>
      </c>
      <c r="C559" s="301" t="inlineStr">
        <is>
          <t>6*18</t>
        </is>
      </c>
      <c r="D559" s="105" t="n">
        <v>16.8</v>
      </c>
      <c r="E559" s="301" t="n">
        <v>42</v>
      </c>
      <c r="F559" s="301" t="n">
        <v>1932</v>
      </c>
      <c r="G559" s="301" t="n"/>
      <c r="H559" s="301">
        <f>F559-G559</f>
        <v/>
      </c>
      <c r="I559" s="161" t="n"/>
      <c r="J559" s="161" t="n"/>
      <c r="K559" s="161" t="n"/>
      <c r="L559" s="161" t="n"/>
      <c r="M559" s="161" t="n"/>
    </row>
    <row r="560">
      <c r="A560" s="427" t="n"/>
      <c r="B560" s="428" t="n"/>
      <c r="C560" s="301" t="inlineStr">
        <is>
          <t>7*21</t>
        </is>
      </c>
      <c r="D560" s="105" t="n">
        <v>28.35</v>
      </c>
      <c r="E560" s="301" t="n">
        <v>24</v>
      </c>
      <c r="F560" s="301" t="n">
        <v>1104</v>
      </c>
      <c r="G560" s="301" t="n"/>
      <c r="H560" s="301">
        <f>F560-G560</f>
        <v/>
      </c>
      <c r="I560" s="161" t="n"/>
      <c r="J560" s="161" t="n"/>
      <c r="K560" s="161" t="n"/>
      <c r="L560" s="161" t="n"/>
      <c r="M560" s="161" t="n"/>
    </row>
    <row r="561">
      <c r="A561" s="427" t="n"/>
      <c r="B561" s="301" t="inlineStr">
        <is>
          <t>XIRIUS</t>
        </is>
      </c>
      <c r="C561" s="301" t="inlineStr">
        <is>
          <t>8*8</t>
        </is>
      </c>
      <c r="D561" s="105" t="n">
        <v>10.5</v>
      </c>
      <c r="E561" s="301" t="n">
        <v>84</v>
      </c>
      <c r="F561" s="301" t="n">
        <v>4032</v>
      </c>
      <c r="G561" s="301" t="n"/>
      <c r="H561" s="301">
        <f>F561-G561</f>
        <v/>
      </c>
      <c r="I561" s="161" t="n"/>
      <c r="J561" s="161" t="n"/>
      <c r="K561" s="161" t="n"/>
      <c r="L561" s="161" t="n"/>
      <c r="M561" s="161" t="n"/>
    </row>
    <row r="562">
      <c r="A562" s="427" t="n"/>
      <c r="B562" s="428" t="n"/>
      <c r="C562" s="361" t="inlineStr">
        <is>
          <t>12*12</t>
        </is>
      </c>
      <c r="D562" s="109" t="n">
        <v>23.46253</v>
      </c>
      <c r="E562" s="317" t="n">
        <v>40</v>
      </c>
      <c r="F562" s="317" t="n">
        <v>1920</v>
      </c>
      <c r="G562" s="317" t="n"/>
      <c r="H562" s="301">
        <f>F562-G562</f>
        <v/>
      </c>
      <c r="I562" s="161" t="n"/>
      <c r="J562" s="161" t="n"/>
      <c r="K562" s="161" t="n"/>
      <c r="L562" s="161" t="n"/>
      <c r="M562" s="161" t="n"/>
    </row>
    <row r="563">
      <c r="A563" s="427" t="n"/>
      <c r="B563" s="301" t="inlineStr">
        <is>
          <t>S</t>
        </is>
      </c>
      <c r="C563" s="312" t="inlineStr">
        <is>
          <t>10*20</t>
        </is>
      </c>
      <c r="D563" s="105" t="n">
        <v>46.92506</v>
      </c>
      <c r="E563" s="301" t="n">
        <v>24</v>
      </c>
      <c r="F563" s="301" t="n">
        <v>1272</v>
      </c>
      <c r="G563" s="301" t="n"/>
      <c r="H563" s="301">
        <f>F563-G563</f>
        <v/>
      </c>
      <c r="I563" s="161" t="n"/>
      <c r="J563" s="161" t="n"/>
      <c r="K563" s="161" t="n"/>
      <c r="L563" s="161" t="n"/>
      <c r="M563" s="161" t="n"/>
    </row>
    <row r="564">
      <c r="A564" s="427" t="n"/>
      <c r="B564" s="428" t="n"/>
      <c r="C564" s="312" t="inlineStr">
        <is>
          <t>15*30</t>
        </is>
      </c>
      <c r="D564" s="105" t="n">
        <v>58.656325</v>
      </c>
      <c r="E564" s="301" t="n">
        <v>12</v>
      </c>
      <c r="F564" s="301" t="n">
        <v>504</v>
      </c>
      <c r="G564" s="301" t="n"/>
      <c r="H564" s="301">
        <f>F564-G564</f>
        <v/>
      </c>
      <c r="I564" s="161" t="n"/>
      <c r="J564" s="161" t="n"/>
      <c r="K564" s="161" t="n"/>
      <c r="L564" s="161" t="n"/>
      <c r="M564" s="161" t="n"/>
    </row>
    <row r="565" ht="15.75" customHeight="1" thickBot="1">
      <c r="A565" s="428" t="n"/>
      <c r="B565" s="302" t="inlineStr">
        <is>
          <t>DIAMOND LEAF</t>
        </is>
      </c>
      <c r="C565" s="313" t="inlineStr">
        <is>
          <t>10*20</t>
        </is>
      </c>
      <c r="D565" s="107" t="n">
        <v>46.92506</v>
      </c>
      <c r="E565" s="302" t="n">
        <v>24</v>
      </c>
      <c r="F565" s="302" t="n">
        <v>1272</v>
      </c>
      <c r="G565" s="302" t="n"/>
      <c r="H565" s="301">
        <f>F565-G565</f>
        <v/>
      </c>
      <c r="I565" s="161" t="n"/>
      <c r="J565" s="161" t="n"/>
      <c r="K565" s="161" t="n"/>
      <c r="L565" s="161" t="n"/>
      <c r="M565" s="161" t="n"/>
    </row>
    <row r="566" ht="15.75" customHeight="1" thickTop="1">
      <c r="A566" s="338" t="inlineStr">
        <is>
          <t>NEON AMETHYST</t>
        </is>
      </c>
      <c r="B566" s="303" t="inlineStr">
        <is>
          <t>DROP</t>
        </is>
      </c>
      <c r="C566" s="311" t="inlineStr">
        <is>
          <t>7*12</t>
        </is>
      </c>
      <c r="D566" s="108" t="n">
        <v>16.670745</v>
      </c>
      <c r="E566" s="303" t="n">
        <v>72</v>
      </c>
      <c r="F566" s="303" t="n">
        <v>3456</v>
      </c>
      <c r="G566" s="303" t="n"/>
      <c r="H566" s="303">
        <f>F566-G566</f>
        <v/>
      </c>
      <c r="I566" s="161" t="n"/>
      <c r="J566" s="161" t="n"/>
      <c r="K566" s="161" t="n"/>
      <c r="L566" s="161" t="n"/>
      <c r="M566" s="161" t="n"/>
    </row>
    <row r="567">
      <c r="A567" s="427" t="n"/>
      <c r="B567" s="427" t="n"/>
      <c r="C567" s="312" t="inlineStr">
        <is>
          <t>10*14</t>
        </is>
      </c>
      <c r="D567" s="105" t="n">
        <v>20.375355</v>
      </c>
      <c r="E567" s="301" t="n">
        <v>36</v>
      </c>
      <c r="F567" s="301" t="n">
        <v>1152</v>
      </c>
      <c r="G567" s="301" t="n"/>
      <c r="H567" s="301">
        <f>F567-G567</f>
        <v/>
      </c>
      <c r="I567" s="161" t="n"/>
      <c r="J567" s="161" t="n"/>
      <c r="K567" s="161" t="n"/>
      <c r="L567" s="161" t="n"/>
      <c r="M567" s="161" t="n"/>
    </row>
    <row r="568">
      <c r="A568" s="427" t="n"/>
      <c r="B568" s="427" t="n"/>
      <c r="C568" s="312" t="inlineStr">
        <is>
          <t>13*22</t>
        </is>
      </c>
      <c r="D568" s="105" t="n">
        <v>46.92506</v>
      </c>
      <c r="E568" s="301" t="n">
        <v>24</v>
      </c>
      <c r="F568" s="301" t="n">
        <v>1008</v>
      </c>
      <c r="G568" s="301" t="n"/>
      <c r="H568" s="301">
        <f>F568-G568</f>
        <v/>
      </c>
      <c r="I568" s="161" t="n"/>
      <c r="J568" s="161" t="n"/>
      <c r="K568" s="161" t="n"/>
      <c r="L568" s="161" t="n"/>
      <c r="M568" s="161" t="n"/>
    </row>
    <row r="569">
      <c r="A569" s="427" t="n"/>
      <c r="B569" s="428" t="n"/>
      <c r="C569" s="312" t="inlineStr">
        <is>
          <t>17*28</t>
        </is>
      </c>
      <c r="D569" s="105" t="n">
        <v>58.656325</v>
      </c>
      <c r="E569" s="301" t="n">
        <v>12</v>
      </c>
      <c r="F569" s="301" t="n">
        <v>420</v>
      </c>
      <c r="G569" s="301" t="n"/>
      <c r="H569" s="301">
        <f>F569-G569</f>
        <v/>
      </c>
      <c r="I569" s="161" t="n"/>
      <c r="J569" s="161" t="n"/>
      <c r="K569" s="161" t="n"/>
      <c r="L569" s="161" t="n"/>
      <c r="M569" s="161" t="n"/>
    </row>
    <row r="570">
      <c r="A570" s="427" t="n"/>
      <c r="B570" s="301" t="inlineStr">
        <is>
          <t>NAVETTE</t>
        </is>
      </c>
      <c r="C570" s="312" t="inlineStr">
        <is>
          <t>7*15</t>
        </is>
      </c>
      <c r="D570" s="105" t="n">
        <v>20.375355</v>
      </c>
      <c r="E570" s="301" t="n">
        <v>63</v>
      </c>
      <c r="F570" s="301" t="n">
        <v>3654</v>
      </c>
      <c r="G570" s="301" t="n"/>
      <c r="H570" s="301">
        <f>F570-G570</f>
        <v/>
      </c>
      <c r="I570" s="161" t="n"/>
      <c r="J570" s="161" t="n"/>
      <c r="K570" s="161" t="n"/>
      <c r="L570" s="161" t="n"/>
      <c r="M570" s="161" t="n"/>
    </row>
    <row r="571">
      <c r="A571" s="427" t="n"/>
      <c r="B571" s="427" t="n"/>
      <c r="C571" s="312" t="inlineStr">
        <is>
          <t>9*18</t>
        </is>
      </c>
      <c r="D571" s="105" t="n">
        <v>23.46253</v>
      </c>
      <c r="E571" s="301" t="n">
        <v>36</v>
      </c>
      <c r="F571" s="301" t="n">
        <v>1908</v>
      </c>
      <c r="G571" s="301" t="n">
        <v>10</v>
      </c>
      <c r="H571" s="301">
        <f>F571-G571</f>
        <v/>
      </c>
      <c r="I571" s="161" t="n"/>
      <c r="J571" s="161" t="n"/>
      <c r="K571" s="161" t="n"/>
      <c r="L571" s="161" t="n"/>
      <c r="M571" s="161" t="n"/>
    </row>
    <row r="572">
      <c r="A572" s="427" t="n"/>
      <c r="B572" s="427" t="n"/>
      <c r="C572" s="312" t="inlineStr">
        <is>
          <t>13*22</t>
        </is>
      </c>
      <c r="D572" s="105" t="n">
        <v>46.92506</v>
      </c>
      <c r="E572" s="301" t="n">
        <v>24</v>
      </c>
      <c r="F572" s="301" t="n">
        <v>1152</v>
      </c>
      <c r="G572" s="301" t="n"/>
      <c r="H572" s="301">
        <f>F572-G572</f>
        <v/>
      </c>
      <c r="I572" s="161" t="n"/>
      <c r="J572" s="161" t="n"/>
      <c r="K572" s="161" t="n"/>
      <c r="L572" s="161" t="n"/>
      <c r="M572" s="161" t="n"/>
    </row>
    <row r="573">
      <c r="A573" s="427" t="n"/>
      <c r="B573" s="428" t="n"/>
      <c r="C573" s="312" t="inlineStr">
        <is>
          <t>15*32</t>
        </is>
      </c>
      <c r="D573" s="105" t="n">
        <v>58.656325</v>
      </c>
      <c r="E573" s="301" t="n">
        <v>12</v>
      </c>
      <c r="F573" s="301" t="n">
        <v>516</v>
      </c>
      <c r="G573" s="301" t="n"/>
      <c r="H573" s="301">
        <f>F573-G573</f>
        <v/>
      </c>
      <c r="I573" s="161" t="n"/>
      <c r="J573" s="161" t="n"/>
      <c r="K573" s="161" t="n"/>
      <c r="L573" s="161" t="n"/>
      <c r="M573" s="161" t="n"/>
    </row>
    <row r="574">
      <c r="A574" s="427" t="n"/>
      <c r="B574" s="301" t="inlineStr">
        <is>
          <t>RIVOLI</t>
        </is>
      </c>
      <c r="C574" s="312" t="inlineStr">
        <is>
          <t>10*10</t>
        </is>
      </c>
      <c r="D574" s="105" t="n">
        <v>16.670745</v>
      </c>
      <c r="E574" s="301" t="n">
        <v>45</v>
      </c>
      <c r="F574" s="301" t="n">
        <v>2295</v>
      </c>
      <c r="G574" s="301">
        <f>45+90</f>
        <v/>
      </c>
      <c r="H574" s="301">
        <f>F574-G574</f>
        <v/>
      </c>
      <c r="I574" s="161" t="n"/>
      <c r="J574" s="161" t="n"/>
      <c r="K574" s="161" t="n"/>
      <c r="L574" s="161" t="n"/>
      <c r="M574" s="161" t="n"/>
    </row>
    <row r="575">
      <c r="A575" s="427" t="n"/>
      <c r="B575" s="427" t="n"/>
      <c r="C575" s="312" t="inlineStr">
        <is>
          <t>12*12</t>
        </is>
      </c>
      <c r="D575" s="105" t="n">
        <v>20.375355</v>
      </c>
      <c r="E575" s="301" t="n">
        <v>40</v>
      </c>
      <c r="F575" s="301">
        <f>1920+29</f>
        <v/>
      </c>
      <c r="G575" s="301" t="n">
        <v>80</v>
      </c>
      <c r="H575" s="301">
        <f>F575-G575</f>
        <v/>
      </c>
      <c r="I575" s="161" t="n"/>
      <c r="J575" s="161" t="n"/>
      <c r="K575" s="161" t="n"/>
      <c r="L575" s="161" t="n"/>
      <c r="M575" s="161" t="n"/>
    </row>
    <row r="576">
      <c r="A576" s="427" t="n"/>
      <c r="B576" s="427" t="n"/>
      <c r="C576" s="312" t="inlineStr">
        <is>
          <t>14*14</t>
        </is>
      </c>
      <c r="D576" s="105" t="n">
        <v>23.46253</v>
      </c>
      <c r="E576" s="301" t="n">
        <v>28</v>
      </c>
      <c r="F576" s="301" t="n">
        <v>1344</v>
      </c>
      <c r="G576" s="301" t="n"/>
      <c r="H576" s="301">
        <f>F576-G576</f>
        <v/>
      </c>
      <c r="I576" s="161" t="n"/>
      <c r="J576" s="161" t="n"/>
      <c r="K576" s="161" t="n"/>
      <c r="L576" s="161" t="n"/>
      <c r="M576" s="161" t="n"/>
    </row>
    <row r="577">
      <c r="A577" s="427" t="n"/>
      <c r="B577" s="427" t="n"/>
      <c r="C577" s="312" t="inlineStr">
        <is>
          <t>16*16</t>
        </is>
      </c>
      <c r="D577" s="105" t="n">
        <v>43.22045</v>
      </c>
      <c r="E577" s="301" t="n">
        <v>24</v>
      </c>
      <c r="F577" s="301" t="n">
        <v>1080</v>
      </c>
      <c r="G577" s="301" t="n"/>
      <c r="H577" s="301">
        <f>F577-G577</f>
        <v/>
      </c>
      <c r="I577" s="161" t="n"/>
      <c r="J577" s="161" t="n"/>
      <c r="K577" s="161" t="n"/>
      <c r="L577" s="161" t="n"/>
      <c r="M577" s="161" t="n"/>
    </row>
    <row r="578">
      <c r="A578" s="427" t="n"/>
      <c r="B578" s="428" t="n"/>
      <c r="C578" s="312" t="inlineStr">
        <is>
          <t>18*18</t>
        </is>
      </c>
      <c r="D578" s="105" t="n">
        <v>58.656325</v>
      </c>
      <c r="E578" s="301" t="n">
        <v>18</v>
      </c>
      <c r="F578" s="301" t="n">
        <v>810</v>
      </c>
      <c r="G578" s="301" t="n"/>
      <c r="H578" s="301">
        <f>F578-G578</f>
        <v/>
      </c>
      <c r="I578" s="161" t="n"/>
      <c r="J578" s="161" t="n"/>
      <c r="K578" s="161" t="n"/>
      <c r="L578" s="161" t="n"/>
      <c r="M578" s="161" t="n"/>
    </row>
    <row r="579">
      <c r="A579" s="427" t="n"/>
      <c r="B579" s="301" t="inlineStr">
        <is>
          <t>Trilliant</t>
        </is>
      </c>
      <c r="C579" s="312" t="inlineStr">
        <is>
          <t>16*16</t>
        </is>
      </c>
      <c r="D579" s="105" t="n">
        <v>46.92506</v>
      </c>
      <c r="E579" s="301" t="n">
        <v>18</v>
      </c>
      <c r="F579" s="301" t="n">
        <v>900</v>
      </c>
      <c r="G579" s="301" t="n">
        <v>10</v>
      </c>
      <c r="H579" s="301">
        <f>F579-G579</f>
        <v/>
      </c>
      <c r="I579" s="161" t="n"/>
      <c r="J579" s="161" t="n"/>
      <c r="K579" s="161" t="n"/>
      <c r="L579" s="161" t="n"/>
      <c r="M579" s="161" t="n"/>
    </row>
    <row r="580">
      <c r="A580" s="427" t="n"/>
      <c r="B580" s="312" t="inlineStr">
        <is>
          <t>COSMIC</t>
        </is>
      </c>
      <c r="C580" s="312" t="inlineStr">
        <is>
          <t>9*12</t>
        </is>
      </c>
      <c r="D580" s="105" t="n">
        <v>18.52305</v>
      </c>
      <c r="E580" s="301" t="n">
        <v>48</v>
      </c>
      <c r="F580" s="301" t="n">
        <v>2640</v>
      </c>
      <c r="G580" s="301" t="n"/>
      <c r="H580" s="301">
        <f>F580-G580</f>
        <v/>
      </c>
      <c r="I580" s="161" t="n"/>
      <c r="J580" s="161" t="n"/>
      <c r="K580" s="161" t="n"/>
      <c r="L580" s="161" t="n"/>
      <c r="M580" s="161" t="n"/>
    </row>
    <row r="581">
      <c r="A581" s="427" t="n"/>
      <c r="B581" s="427" t="n"/>
      <c r="C581" s="312" t="inlineStr">
        <is>
          <t>10*14</t>
        </is>
      </c>
      <c r="D581" s="105" t="n">
        <v>23.46253</v>
      </c>
      <c r="E581" s="301" t="n">
        <v>28</v>
      </c>
      <c r="F581" s="301" t="n">
        <v>1484</v>
      </c>
      <c r="G581" s="301" t="n">
        <v>56</v>
      </c>
      <c r="H581" s="301">
        <f>F581-G581</f>
        <v/>
      </c>
      <c r="I581" s="161" t="n"/>
      <c r="J581" s="161" t="n"/>
      <c r="K581" s="161" t="n"/>
      <c r="L581" s="161" t="n"/>
      <c r="M581" s="161" t="n"/>
    </row>
    <row r="582">
      <c r="A582" s="427" t="n"/>
      <c r="B582" s="427" t="n"/>
      <c r="C582" s="312" t="inlineStr">
        <is>
          <t>13*17</t>
        </is>
      </c>
      <c r="D582" s="105" t="n">
        <v>46.92506</v>
      </c>
      <c r="E582" s="301" t="n">
        <v>24</v>
      </c>
      <c r="F582" s="301" t="n">
        <v>1152</v>
      </c>
      <c r="G582" s="301">
        <f>10+48</f>
        <v/>
      </c>
      <c r="H582" s="301">
        <f>F582-G582</f>
        <v/>
      </c>
      <c r="I582" s="161" t="n"/>
      <c r="J582" s="161" t="n"/>
      <c r="K582" s="161" t="n"/>
      <c r="L582" s="161" t="n"/>
      <c r="M582" s="161" t="n"/>
    </row>
    <row r="583">
      <c r="A583" s="427" t="n"/>
      <c r="B583" s="428" t="n"/>
      <c r="C583" s="312" t="inlineStr">
        <is>
          <t>17*21</t>
        </is>
      </c>
      <c r="D583" s="105" t="n">
        <v>58.656325</v>
      </c>
      <c r="E583" s="301" t="n">
        <v>15</v>
      </c>
      <c r="F583" s="301" t="n">
        <v>645</v>
      </c>
      <c r="G583" s="301" t="n"/>
      <c r="H583" s="301">
        <f>F583-G583</f>
        <v/>
      </c>
      <c r="I583" s="161" t="n"/>
      <c r="J583" s="161" t="n"/>
      <c r="K583" s="161" t="n"/>
      <c r="L583" s="161" t="n"/>
      <c r="M583" s="161" t="n"/>
    </row>
    <row r="584">
      <c r="A584" s="427" t="n"/>
      <c r="B584" s="301" t="inlineStr">
        <is>
          <t>GALACTIC</t>
        </is>
      </c>
      <c r="C584" s="312" t="inlineStr">
        <is>
          <t>7*12</t>
        </is>
      </c>
      <c r="D584" s="105" t="n">
        <v>16.670745</v>
      </c>
      <c r="E584" s="301" t="n">
        <v>72</v>
      </c>
      <c r="F584" s="301" t="n">
        <v>4680</v>
      </c>
      <c r="G584" s="301" t="n">
        <v>72</v>
      </c>
      <c r="H584" s="301">
        <f>F584-G584</f>
        <v/>
      </c>
      <c r="I584" s="161" t="n"/>
      <c r="J584" s="161" t="n"/>
      <c r="K584" s="161" t="n"/>
      <c r="L584" s="161" t="n"/>
      <c r="M584" s="161" t="n"/>
    </row>
    <row r="585">
      <c r="A585" s="427" t="n"/>
      <c r="B585" s="427" t="n"/>
      <c r="C585" s="312" t="inlineStr">
        <is>
          <t>9*14</t>
        </is>
      </c>
      <c r="D585" s="105" t="n">
        <v>20.375355</v>
      </c>
      <c r="E585" s="301" t="n">
        <v>48</v>
      </c>
      <c r="F585" s="301" t="n">
        <v>2496</v>
      </c>
      <c r="G585" s="301" t="n">
        <v>48</v>
      </c>
      <c r="H585" s="301">
        <f>F585-G585</f>
        <v/>
      </c>
      <c r="I585" s="161" t="n"/>
      <c r="J585" s="161" t="n"/>
      <c r="K585" s="161" t="n"/>
      <c r="L585" s="161" t="n"/>
      <c r="M585" s="161" t="n"/>
    </row>
    <row r="586">
      <c r="A586" s="427" t="n"/>
      <c r="B586" s="427" t="n"/>
      <c r="C586" s="301" t="inlineStr">
        <is>
          <t>12*19</t>
        </is>
      </c>
      <c r="D586" s="105" t="n">
        <v>46.92506</v>
      </c>
      <c r="E586" s="301" t="n">
        <v>24</v>
      </c>
      <c r="F586" s="301" t="n">
        <v>1272</v>
      </c>
      <c r="G586" s="301" t="n">
        <v>10</v>
      </c>
      <c r="H586" s="301">
        <f>F586-G586</f>
        <v/>
      </c>
      <c r="I586" s="161" t="n"/>
      <c r="J586" s="161" t="n"/>
      <c r="K586" s="161" t="n"/>
      <c r="L586" s="161" t="n"/>
      <c r="M586" s="161" t="n"/>
    </row>
    <row r="587">
      <c r="A587" s="427" t="n"/>
      <c r="B587" s="428" t="n"/>
      <c r="C587" s="360" t="inlineStr">
        <is>
          <t>17*27</t>
        </is>
      </c>
      <c r="D587" s="106" t="n">
        <v>58.656325</v>
      </c>
      <c r="E587" s="318" t="n">
        <v>12</v>
      </c>
      <c r="F587" s="318" t="n">
        <v>576</v>
      </c>
      <c r="G587" s="318" t="n"/>
      <c r="H587" s="301">
        <f>F587-G587</f>
        <v/>
      </c>
      <c r="I587" s="161" t="n"/>
      <c r="J587" s="161" t="n"/>
      <c r="K587" s="161" t="n"/>
      <c r="L587" s="161" t="n"/>
      <c r="M587" s="161" t="n"/>
    </row>
    <row r="588">
      <c r="A588" s="427" t="n"/>
      <c r="B588" s="301" t="inlineStr">
        <is>
          <t>Cosmic Baguette</t>
        </is>
      </c>
      <c r="C588" s="301" t="inlineStr">
        <is>
          <t>6*18</t>
        </is>
      </c>
      <c r="D588" s="105" t="n">
        <v>16.8</v>
      </c>
      <c r="E588" s="301" t="n">
        <v>42</v>
      </c>
      <c r="F588" s="301" t="n">
        <v>1932</v>
      </c>
      <c r="G588" s="301" t="n"/>
      <c r="H588" s="301">
        <f>F588-G588</f>
        <v/>
      </c>
      <c r="I588" s="161" t="n"/>
      <c r="J588" s="161" t="n"/>
      <c r="K588" s="161" t="n"/>
      <c r="L588" s="161" t="n"/>
      <c r="M588" s="161" t="n"/>
    </row>
    <row r="589">
      <c r="A589" s="427" t="n"/>
      <c r="B589" s="428" t="n"/>
      <c r="C589" s="301" t="inlineStr">
        <is>
          <t>7*21</t>
        </is>
      </c>
      <c r="D589" s="105" t="n">
        <v>28.35</v>
      </c>
      <c r="E589" s="301" t="n">
        <v>24</v>
      </c>
      <c r="F589" s="301" t="n">
        <v>1104</v>
      </c>
      <c r="G589" s="301" t="n"/>
      <c r="H589" s="301">
        <f>F589-G589</f>
        <v/>
      </c>
      <c r="I589" s="161" t="n"/>
      <c r="J589" s="161" t="n"/>
      <c r="K589" s="161" t="n"/>
      <c r="L589" s="161" t="n"/>
      <c r="M589" s="161" t="n"/>
    </row>
    <row r="590">
      <c r="A590" s="427" t="n"/>
      <c r="B590" s="301" t="inlineStr">
        <is>
          <t>XIRIUS</t>
        </is>
      </c>
      <c r="C590" s="301" t="inlineStr">
        <is>
          <t>8*8</t>
        </is>
      </c>
      <c r="D590" s="105" t="n">
        <v>10.5</v>
      </c>
      <c r="E590" s="301" t="n">
        <v>84</v>
      </c>
      <c r="F590" s="301" t="n">
        <v>3864</v>
      </c>
      <c r="G590" s="318" t="n"/>
      <c r="H590" s="301">
        <f>F590-G590</f>
        <v/>
      </c>
      <c r="I590" s="161" t="n"/>
      <c r="J590" s="161" t="n"/>
      <c r="K590" s="161" t="n"/>
      <c r="L590" s="161" t="n"/>
      <c r="M590" s="161" t="n"/>
    </row>
    <row r="591">
      <c r="A591" s="427" t="n"/>
      <c r="B591" s="427" t="n"/>
      <c r="C591" s="361" t="inlineStr">
        <is>
          <t>10*10</t>
        </is>
      </c>
      <c r="D591" s="109" t="n">
        <v>20.375355</v>
      </c>
      <c r="E591" s="317" t="n">
        <v>45</v>
      </c>
      <c r="F591" s="317" t="n">
        <v>2385</v>
      </c>
      <c r="G591" s="301" t="n"/>
      <c r="H591" s="301">
        <f>F591-G591</f>
        <v/>
      </c>
      <c r="I591" s="161" t="n"/>
      <c r="J591" s="161" t="n"/>
      <c r="K591" s="161" t="n"/>
      <c r="L591" s="161" t="n"/>
      <c r="M591" s="161" t="n"/>
    </row>
    <row r="592">
      <c r="A592" s="427" t="n"/>
      <c r="B592" s="428" t="n"/>
      <c r="C592" s="312" t="inlineStr">
        <is>
          <t>12*12</t>
        </is>
      </c>
      <c r="D592" s="105" t="n">
        <v>23.46253</v>
      </c>
      <c r="E592" s="301" t="n">
        <v>40</v>
      </c>
      <c r="F592" s="301" t="n">
        <v>1920</v>
      </c>
      <c r="G592" s="301" t="n"/>
      <c r="H592" s="301">
        <f>F592-G592</f>
        <v/>
      </c>
      <c r="I592" s="161" t="n"/>
      <c r="J592" s="161" t="n"/>
      <c r="K592" s="161" t="n"/>
      <c r="L592" s="161" t="n"/>
      <c r="M592" s="161" t="n"/>
    </row>
    <row r="593">
      <c r="A593" s="427" t="n"/>
      <c r="B593" s="301" t="inlineStr">
        <is>
          <t>S</t>
        </is>
      </c>
      <c r="C593" s="312" t="inlineStr">
        <is>
          <t>10*20</t>
        </is>
      </c>
      <c r="D593" s="105" t="n">
        <v>46.92506</v>
      </c>
      <c r="E593" s="301" t="n">
        <v>24</v>
      </c>
      <c r="F593" s="301" t="n">
        <v>1272</v>
      </c>
      <c r="G593" s="301" t="n"/>
      <c r="H593" s="301">
        <f>F593-G593</f>
        <v/>
      </c>
      <c r="I593" s="161" t="n"/>
      <c r="J593" s="161" t="n"/>
      <c r="K593" s="161" t="n"/>
      <c r="L593" s="161" t="n"/>
      <c r="M593" s="161" t="n"/>
    </row>
    <row r="594">
      <c r="A594" s="427" t="n"/>
      <c r="B594" s="428" t="n"/>
      <c r="C594" s="312" t="inlineStr">
        <is>
          <t>15*30</t>
        </is>
      </c>
      <c r="D594" s="105" t="n">
        <v>58.656325</v>
      </c>
      <c r="E594" s="301" t="n">
        <v>12</v>
      </c>
      <c r="F594" s="301" t="n">
        <v>504</v>
      </c>
      <c r="G594" s="301" t="n"/>
      <c r="H594" s="301">
        <f>F594-G594</f>
        <v/>
      </c>
      <c r="I594" s="161" t="n"/>
      <c r="J594" s="161" t="n"/>
      <c r="K594" s="161" t="n"/>
      <c r="L594" s="161" t="n"/>
      <c r="M594" s="161" t="n"/>
    </row>
    <row r="595" ht="15.75" customHeight="1" thickBot="1">
      <c r="A595" s="428" t="n"/>
      <c r="B595" s="302" t="inlineStr">
        <is>
          <t>DIAMOND LEAF</t>
        </is>
      </c>
      <c r="C595" s="313" t="inlineStr">
        <is>
          <t>10*20</t>
        </is>
      </c>
      <c r="D595" s="107" t="n">
        <v>46.92506</v>
      </c>
      <c r="E595" s="302" t="n">
        <v>24</v>
      </c>
      <c r="F595" s="302" t="n">
        <v>1200</v>
      </c>
      <c r="G595" s="302" t="n"/>
      <c r="H595" s="301">
        <f>F595-G595</f>
        <v/>
      </c>
      <c r="I595" s="161" t="n"/>
      <c r="J595" s="161" t="n"/>
      <c r="K595" s="161" t="n"/>
      <c r="L595" s="161" t="n"/>
      <c r="M595" s="161" t="n"/>
    </row>
    <row r="596" ht="15.75" customHeight="1" thickTop="1">
      <c r="A596" s="338" t="inlineStr">
        <is>
          <t>NEON BLUE</t>
        </is>
      </c>
      <c r="B596" s="311" t="inlineStr">
        <is>
          <t>NAVETTE</t>
        </is>
      </c>
      <c r="C596" s="311" t="inlineStr">
        <is>
          <t>7*15</t>
        </is>
      </c>
      <c r="D596" s="111" t="n">
        <v>20.375355</v>
      </c>
      <c r="E596" s="311" t="n">
        <v>63</v>
      </c>
      <c r="F596" s="311" t="n">
        <v>3654</v>
      </c>
      <c r="G596" s="311" t="n">
        <v>15</v>
      </c>
      <c r="H596" s="311">
        <f>F596-G596</f>
        <v/>
      </c>
      <c r="I596" s="161" t="n"/>
      <c r="J596" s="161" t="n"/>
      <c r="K596" s="161" t="n"/>
      <c r="L596" s="161" t="n"/>
      <c r="M596" s="161" t="n"/>
    </row>
    <row r="597">
      <c r="A597" s="427" t="n"/>
      <c r="B597" s="427" t="n"/>
      <c r="C597" s="312" t="inlineStr">
        <is>
          <t>9*18</t>
        </is>
      </c>
      <c r="D597" s="113" t="n">
        <v>23.46253</v>
      </c>
      <c r="E597" s="312" t="n">
        <v>36</v>
      </c>
      <c r="F597" s="312" t="n">
        <v>1908</v>
      </c>
      <c r="G597" s="312">
        <f>15+36</f>
        <v/>
      </c>
      <c r="H597" s="312">
        <f>F597-G597</f>
        <v/>
      </c>
      <c r="I597" s="161" t="n"/>
      <c r="J597" s="161" t="n"/>
      <c r="K597" s="161" t="n"/>
      <c r="L597" s="161" t="n"/>
      <c r="M597" s="161" t="n"/>
    </row>
    <row r="598">
      <c r="A598" s="427" t="n"/>
      <c r="B598" s="427" t="n"/>
      <c r="C598" s="312" t="inlineStr">
        <is>
          <t>13*22</t>
        </is>
      </c>
      <c r="D598" s="113" t="n">
        <v>46.92506</v>
      </c>
      <c r="E598" s="312" t="n">
        <v>24</v>
      </c>
      <c r="F598" s="312">
        <f>48+1152</f>
        <v/>
      </c>
      <c r="G598" s="312" t="n"/>
      <c r="H598" s="312">
        <f>F598-G598</f>
        <v/>
      </c>
      <c r="I598" s="161" t="n"/>
      <c r="J598" s="161" t="n"/>
      <c r="K598" s="161" t="n"/>
      <c r="L598" s="161" t="n"/>
      <c r="M598" s="161" t="n"/>
    </row>
    <row r="599">
      <c r="A599" s="427" t="n"/>
      <c r="B599" s="428" t="n"/>
      <c r="C599" s="312" t="inlineStr">
        <is>
          <t>15*32</t>
        </is>
      </c>
      <c r="D599" s="113" t="n">
        <v>58.656325</v>
      </c>
      <c r="E599" s="312" t="n">
        <v>12</v>
      </c>
      <c r="F599" s="312">
        <f>24+516</f>
        <v/>
      </c>
      <c r="G599" s="312" t="n"/>
      <c r="H599" s="312">
        <f>F599-G599</f>
        <v/>
      </c>
      <c r="I599" s="161" t="n"/>
      <c r="J599" s="161" t="n"/>
      <c r="K599" s="161" t="n"/>
      <c r="L599" s="161" t="n"/>
      <c r="M599" s="161" t="n"/>
    </row>
    <row r="600">
      <c r="A600" s="427" t="n"/>
      <c r="B600" s="312" t="inlineStr">
        <is>
          <t>RIVOLI</t>
        </is>
      </c>
      <c r="C600" s="312" t="inlineStr">
        <is>
          <t>12*12</t>
        </is>
      </c>
      <c r="D600" s="113" t="n">
        <v>20.375355</v>
      </c>
      <c r="E600" s="312" t="n">
        <v>40</v>
      </c>
      <c r="F600" s="312">
        <f>1920+16</f>
        <v/>
      </c>
      <c r="G600" s="312" t="n"/>
      <c r="H600" s="312">
        <f>F600-G600</f>
        <v/>
      </c>
      <c r="I600" s="161" t="n"/>
      <c r="J600" s="161" t="n"/>
      <c r="K600" s="161" t="n"/>
      <c r="L600" s="161" t="n"/>
      <c r="M600" s="161" t="n"/>
    </row>
    <row r="601">
      <c r="A601" s="427" t="n"/>
      <c r="B601" s="427" t="n"/>
      <c r="C601" s="312" t="inlineStr">
        <is>
          <t>14*14</t>
        </is>
      </c>
      <c r="D601" s="113" t="n">
        <v>23.46253</v>
      </c>
      <c r="E601" s="312" t="n">
        <v>28</v>
      </c>
      <c r="F601" s="312" t="n">
        <v>1344</v>
      </c>
      <c r="G601" s="312" t="n"/>
      <c r="H601" s="312">
        <f>F601-G601</f>
        <v/>
      </c>
      <c r="I601" s="161" t="n"/>
      <c r="J601" s="161" t="n"/>
      <c r="K601" s="161" t="n"/>
      <c r="L601" s="161" t="n"/>
      <c r="M601" s="161" t="n"/>
    </row>
    <row r="602">
      <c r="A602" s="427" t="n"/>
      <c r="B602" s="427" t="n"/>
      <c r="C602" s="312" t="inlineStr">
        <is>
          <t>16*16</t>
        </is>
      </c>
      <c r="D602" s="113" t="n">
        <v>43.22045</v>
      </c>
      <c r="E602" s="312" t="n">
        <v>24</v>
      </c>
      <c r="F602" s="312" t="n">
        <v>1032</v>
      </c>
      <c r="G602" s="312" t="n"/>
      <c r="H602" s="312">
        <f>F602-G602</f>
        <v/>
      </c>
      <c r="I602" s="161" t="n"/>
      <c r="J602" s="161" t="n"/>
      <c r="K602" s="161" t="n"/>
      <c r="L602" s="161" t="n"/>
      <c r="M602" s="161" t="n"/>
    </row>
    <row r="603">
      <c r="A603" s="427" t="n"/>
      <c r="B603" s="428" t="n"/>
      <c r="C603" s="312" t="inlineStr">
        <is>
          <t>18*18</t>
        </is>
      </c>
      <c r="D603" s="113" t="n">
        <v>58.656325</v>
      </c>
      <c r="E603" s="312" t="n">
        <v>18</v>
      </c>
      <c r="F603" s="312" t="n">
        <v>810</v>
      </c>
      <c r="G603" s="312" t="n"/>
      <c r="H603" s="312">
        <f>F603-G603</f>
        <v/>
      </c>
      <c r="I603" s="161" t="n"/>
      <c r="J603" s="161" t="n"/>
      <c r="K603" s="161" t="n"/>
      <c r="L603" s="161" t="n"/>
      <c r="M603" s="161" t="n"/>
    </row>
    <row r="604">
      <c r="A604" s="427" t="n"/>
      <c r="B604" s="312" t="inlineStr">
        <is>
          <t>COSMIC</t>
        </is>
      </c>
      <c r="C604" s="312" t="inlineStr">
        <is>
          <t>9*12</t>
        </is>
      </c>
      <c r="D604" s="113" t="n">
        <v>18.52305</v>
      </c>
      <c r="E604" s="312" t="n">
        <v>48</v>
      </c>
      <c r="F604" s="312" t="n">
        <v>2832</v>
      </c>
      <c r="G604" s="312" t="n"/>
      <c r="H604" s="312">
        <f>F604-G604</f>
        <v/>
      </c>
      <c r="I604" s="161" t="n"/>
      <c r="J604" s="161" t="n"/>
      <c r="K604" s="161" t="n"/>
      <c r="L604" s="161" t="n"/>
      <c r="M604" s="161" t="n"/>
    </row>
    <row r="605">
      <c r="A605" s="427" t="n"/>
      <c r="B605" s="427" t="n"/>
      <c r="C605" s="312" t="inlineStr">
        <is>
          <t>13*17</t>
        </is>
      </c>
      <c r="D605" s="113" t="n">
        <v>46.92506</v>
      </c>
      <c r="E605" s="312" t="n">
        <v>24</v>
      </c>
      <c r="F605" s="312" t="n">
        <v>1152</v>
      </c>
      <c r="G605" s="312" t="n"/>
      <c r="H605" s="312">
        <f>F605-G605</f>
        <v/>
      </c>
      <c r="I605" s="161" t="n"/>
      <c r="J605" s="161" t="n"/>
      <c r="K605" s="161" t="n"/>
      <c r="L605" s="161" t="n"/>
      <c r="M605" s="161" t="n"/>
    </row>
    <row r="606">
      <c r="A606" s="427" t="n"/>
      <c r="B606" s="428" t="n"/>
      <c r="C606" s="312" t="inlineStr">
        <is>
          <t>17*21</t>
        </is>
      </c>
      <c r="D606" s="113" t="n">
        <v>58.656325</v>
      </c>
      <c r="E606" s="312" t="n">
        <v>15</v>
      </c>
      <c r="F606" s="312" t="n">
        <v>675</v>
      </c>
      <c r="G606" s="312" t="n"/>
      <c r="H606" s="312">
        <f>F606-G606</f>
        <v/>
      </c>
      <c r="I606" s="161" t="n"/>
      <c r="J606" s="161" t="n"/>
      <c r="K606" s="161" t="n"/>
      <c r="L606" s="161" t="n"/>
      <c r="M606" s="161" t="n"/>
    </row>
    <row r="607">
      <c r="A607" s="427" t="n"/>
      <c r="B607" s="301" t="inlineStr">
        <is>
          <t>GALACTIC</t>
        </is>
      </c>
      <c r="C607" s="312" t="inlineStr">
        <is>
          <t>7*12</t>
        </is>
      </c>
      <c r="D607" s="113" t="n">
        <v>16.670745</v>
      </c>
      <c r="E607" s="312" t="n">
        <v>72</v>
      </c>
      <c r="F607" s="312" t="n">
        <v>4680</v>
      </c>
      <c r="G607" s="312" t="n"/>
      <c r="H607" s="312">
        <f>F607-G607</f>
        <v/>
      </c>
      <c r="I607" s="161" t="n"/>
      <c r="J607" s="161" t="n"/>
      <c r="K607" s="161" t="n"/>
      <c r="L607" s="161" t="n"/>
      <c r="M607" s="161" t="n"/>
    </row>
    <row r="608">
      <c r="A608" s="427" t="n"/>
      <c r="B608" s="427" t="n"/>
      <c r="C608" s="312" t="inlineStr">
        <is>
          <t>9*14</t>
        </is>
      </c>
      <c r="D608" s="113" t="n">
        <v>20.375355</v>
      </c>
      <c r="E608" s="312" t="n">
        <v>48</v>
      </c>
      <c r="F608" s="312" t="n">
        <v>2688</v>
      </c>
      <c r="G608" s="312" t="n">
        <v>15</v>
      </c>
      <c r="H608" s="312">
        <f>F608-G608</f>
        <v/>
      </c>
      <c r="I608" s="161" t="n"/>
      <c r="J608" s="161" t="n"/>
      <c r="K608" s="161" t="n"/>
      <c r="L608" s="161" t="n"/>
      <c r="M608" s="161" t="n"/>
    </row>
    <row r="609">
      <c r="A609" s="427" t="n"/>
      <c r="B609" s="427" t="n"/>
      <c r="C609" s="301" t="inlineStr">
        <is>
          <t>12*19</t>
        </is>
      </c>
      <c r="D609" s="105" t="n">
        <v>46.92506</v>
      </c>
      <c r="E609" s="301" t="n">
        <v>24</v>
      </c>
      <c r="F609" s="301" t="n">
        <v>1272</v>
      </c>
      <c r="G609" s="301" t="n">
        <v>12</v>
      </c>
      <c r="H609" s="312">
        <f>F609-G609</f>
        <v/>
      </c>
      <c r="I609" s="161" t="n"/>
      <c r="J609" s="161" t="n"/>
      <c r="K609" s="161" t="n"/>
      <c r="L609" s="161" t="n"/>
      <c r="M609" s="161" t="n"/>
    </row>
    <row r="610">
      <c r="A610" s="427" t="n"/>
      <c r="B610" s="428" t="n"/>
      <c r="C610" s="360" t="inlineStr">
        <is>
          <t>17*27</t>
        </is>
      </c>
      <c r="D610" s="106" t="n">
        <v>58.656325</v>
      </c>
      <c r="E610" s="318" t="n">
        <v>12</v>
      </c>
      <c r="F610" s="318" t="n">
        <v>576</v>
      </c>
      <c r="G610" s="318" t="n"/>
      <c r="H610" s="312">
        <f>F610-G610</f>
        <v/>
      </c>
      <c r="I610" s="161" t="n"/>
      <c r="J610" s="161" t="n"/>
      <c r="K610" s="161" t="n"/>
      <c r="L610" s="161" t="n"/>
      <c r="M610" s="161" t="n"/>
    </row>
    <row r="611">
      <c r="A611" s="427" t="n"/>
      <c r="B611" s="301" t="inlineStr">
        <is>
          <t>Cosmic Baguette</t>
        </is>
      </c>
      <c r="C611" s="301" t="inlineStr">
        <is>
          <t>6*18</t>
        </is>
      </c>
      <c r="D611" s="105" t="n">
        <v>16.8</v>
      </c>
      <c r="E611" s="301" t="n">
        <v>42</v>
      </c>
      <c r="F611" s="301" t="n">
        <v>1932</v>
      </c>
      <c r="G611" s="301" t="n"/>
      <c r="H611" s="312">
        <f>F611-G611</f>
        <v/>
      </c>
      <c r="I611" s="161" t="n"/>
      <c r="J611" s="161" t="n"/>
      <c r="K611" s="161" t="n"/>
      <c r="L611" s="161" t="n"/>
      <c r="M611" s="161" t="n"/>
    </row>
    <row r="612">
      <c r="A612" s="427" t="n"/>
      <c r="B612" s="428" t="n"/>
      <c r="C612" s="301" t="inlineStr">
        <is>
          <t>7*21</t>
        </is>
      </c>
      <c r="D612" s="105" t="n">
        <v>28.35</v>
      </c>
      <c r="E612" s="301" t="n">
        <v>24</v>
      </c>
      <c r="F612" s="301" t="n">
        <v>1104</v>
      </c>
      <c r="G612" s="301" t="n"/>
      <c r="H612" s="312">
        <f>F612-G612</f>
        <v/>
      </c>
      <c r="I612" s="161" t="n"/>
      <c r="J612" s="161" t="n"/>
      <c r="K612" s="161" t="n"/>
      <c r="L612" s="161" t="n"/>
      <c r="M612" s="161" t="n"/>
    </row>
    <row r="613">
      <c r="A613" s="427" t="n"/>
      <c r="B613" s="301" t="inlineStr">
        <is>
          <t xml:space="preserve">Xirus </t>
        </is>
      </c>
      <c r="C613" s="301" t="inlineStr">
        <is>
          <t>8*8</t>
        </is>
      </c>
      <c r="D613" s="105" t="n">
        <v>10.5</v>
      </c>
      <c r="E613" s="301" t="n">
        <v>84</v>
      </c>
      <c r="F613" s="301" t="n">
        <v>4032</v>
      </c>
      <c r="G613" s="301" t="n"/>
      <c r="H613" s="312">
        <f>F613-G613</f>
        <v/>
      </c>
      <c r="I613" s="161" t="n"/>
      <c r="J613" s="161" t="n"/>
      <c r="K613" s="161" t="n"/>
      <c r="L613" s="161" t="n"/>
      <c r="M613" s="161" t="n"/>
    </row>
    <row r="614">
      <c r="A614" s="427" t="n"/>
      <c r="B614" s="317" t="inlineStr">
        <is>
          <t>S</t>
        </is>
      </c>
      <c r="C614" s="361" t="inlineStr">
        <is>
          <t>10*20</t>
        </is>
      </c>
      <c r="D614" s="109" t="n">
        <v>46.92506</v>
      </c>
      <c r="E614" s="317" t="n">
        <v>24</v>
      </c>
      <c r="F614" s="361" t="n">
        <v>1200</v>
      </c>
      <c r="G614" s="317" t="n"/>
      <c r="H614" s="312">
        <f>F614-G614</f>
        <v/>
      </c>
      <c r="I614" s="161" t="n"/>
      <c r="J614" s="161" t="n"/>
      <c r="K614" s="161" t="n"/>
      <c r="L614" s="161" t="n"/>
      <c r="M614" s="161" t="n"/>
    </row>
    <row r="615">
      <c r="A615" s="427" t="n"/>
      <c r="B615" s="428" t="n"/>
      <c r="C615" s="312" t="inlineStr">
        <is>
          <t>15*30</t>
        </is>
      </c>
      <c r="D615" s="105" t="n">
        <v>58.656325</v>
      </c>
      <c r="E615" s="301" t="n">
        <v>12</v>
      </c>
      <c r="F615" s="312" t="n">
        <v>504</v>
      </c>
      <c r="G615" s="301" t="n"/>
      <c r="H615" s="312">
        <f>F615-G615</f>
        <v/>
      </c>
      <c r="I615" s="161" t="n"/>
      <c r="J615" s="161" t="n"/>
      <c r="K615" s="161" t="n"/>
      <c r="L615" s="161" t="n"/>
      <c r="M615" s="161" t="n"/>
    </row>
    <row r="616" ht="15.75" customHeight="1" thickBot="1">
      <c r="A616" s="428" t="n"/>
      <c r="B616" s="318" t="inlineStr">
        <is>
          <t>DIAMOND LEAF</t>
        </is>
      </c>
      <c r="C616" s="360" t="inlineStr">
        <is>
          <t>10*20</t>
        </is>
      </c>
      <c r="D616" s="106" t="n">
        <v>46.92506</v>
      </c>
      <c r="E616" s="318" t="n">
        <v>24</v>
      </c>
      <c r="F616" s="360" t="n">
        <v>1200</v>
      </c>
      <c r="G616" s="318" t="n">
        <v>24</v>
      </c>
      <c r="H616" s="360">
        <f>F616-G616</f>
        <v/>
      </c>
      <c r="I616" s="161" t="n"/>
      <c r="J616" s="161" t="n"/>
      <c r="K616" s="161" t="n"/>
      <c r="L616" s="161" t="n"/>
      <c r="M616" s="161" t="n"/>
    </row>
    <row r="617" ht="15.75" customHeight="1" thickTop="1">
      <c r="A617" s="338" t="inlineStr">
        <is>
          <t>MOCHA FUCHSIA</t>
        </is>
      </c>
      <c r="B617" s="303" t="inlineStr">
        <is>
          <t>RIVOLI</t>
        </is>
      </c>
      <c r="C617" s="311" t="inlineStr">
        <is>
          <t>10*10</t>
        </is>
      </c>
      <c r="D617" s="108" t="n">
        <v>16.670745</v>
      </c>
      <c r="E617" s="303" t="n">
        <v>45</v>
      </c>
      <c r="F617" s="303">
        <f>90+1755</f>
        <v/>
      </c>
      <c r="G617" s="303" t="n">
        <v>15</v>
      </c>
      <c r="H617" s="303">
        <f>F617-G617</f>
        <v/>
      </c>
      <c r="I617" s="161" t="n"/>
      <c r="J617" s="161" t="n"/>
      <c r="K617" s="161" t="n"/>
      <c r="L617" s="161" t="n"/>
      <c r="M617" s="161" t="n"/>
    </row>
    <row r="618">
      <c r="A618" s="427" t="n"/>
      <c r="B618" s="427" t="n"/>
      <c r="C618" s="312" t="inlineStr">
        <is>
          <t>12*12</t>
        </is>
      </c>
      <c r="D618" s="105" t="n">
        <v>20.375355</v>
      </c>
      <c r="E618" s="301" t="n">
        <v>40</v>
      </c>
      <c r="F618" s="301">
        <f>40+1320</f>
        <v/>
      </c>
      <c r="G618" s="301" t="n">
        <v>15</v>
      </c>
      <c r="H618" s="301">
        <f>F618-G618</f>
        <v/>
      </c>
      <c r="I618" s="161" t="n"/>
      <c r="J618" s="161" t="n"/>
      <c r="K618" s="161" t="n"/>
      <c r="L618" s="161" t="n"/>
      <c r="M618" s="161" t="n"/>
    </row>
    <row r="619">
      <c r="A619" s="427" t="n"/>
      <c r="B619" s="428" t="n"/>
      <c r="C619" s="312" t="inlineStr">
        <is>
          <t>14*14</t>
        </is>
      </c>
      <c r="D619" s="105" t="n">
        <v>23.46253</v>
      </c>
      <c r="E619" s="301" t="n">
        <v>28</v>
      </c>
      <c r="F619" s="301">
        <f>28+952</f>
        <v/>
      </c>
      <c r="G619" s="301" t="n"/>
      <c r="H619" s="301">
        <f>F619-G619</f>
        <v/>
      </c>
      <c r="I619" s="161" t="n"/>
      <c r="J619" s="161" t="n"/>
      <c r="K619" s="161" t="n"/>
      <c r="L619" s="161" t="n"/>
      <c r="M619" s="161" t="n"/>
    </row>
    <row r="620">
      <c r="A620" s="427" t="n"/>
      <c r="B620" s="301" t="inlineStr">
        <is>
          <t>COSMIC</t>
        </is>
      </c>
      <c r="C620" s="312" t="inlineStr">
        <is>
          <t>10*14</t>
        </is>
      </c>
      <c r="D620" s="105" t="n">
        <v>23.46253</v>
      </c>
      <c r="E620" s="301" t="n">
        <v>28</v>
      </c>
      <c r="F620" s="301" t="n">
        <v>56</v>
      </c>
      <c r="G620" s="301" t="n"/>
      <c r="H620" s="301">
        <f>F620-G620</f>
        <v/>
      </c>
      <c r="I620" s="161" t="n"/>
      <c r="J620" s="161" t="n"/>
      <c r="K620" s="161" t="n"/>
      <c r="L620" s="161" t="n"/>
      <c r="M620" s="161" t="n"/>
    </row>
    <row r="621">
      <c r="A621" s="427" t="n"/>
      <c r="B621" s="428" t="n"/>
      <c r="C621" s="312" t="inlineStr">
        <is>
          <t>13*17</t>
        </is>
      </c>
      <c r="D621" s="105" t="n">
        <v>46.92506</v>
      </c>
      <c r="E621" s="301" t="n">
        <v>24</v>
      </c>
      <c r="F621" s="301" t="n">
        <v>24</v>
      </c>
      <c r="G621" s="301" t="n"/>
      <c r="H621" s="301">
        <f>F621-G621</f>
        <v/>
      </c>
      <c r="I621" s="161" t="n"/>
      <c r="J621" s="161" t="n"/>
      <c r="K621" s="161" t="n"/>
      <c r="L621" s="161" t="n"/>
      <c r="M621" s="161" t="n"/>
    </row>
    <row r="622">
      <c r="A622" s="427" t="n"/>
      <c r="B622" s="301" t="inlineStr">
        <is>
          <t>GALACTIC</t>
        </is>
      </c>
      <c r="C622" s="312" t="inlineStr">
        <is>
          <t>9*14</t>
        </is>
      </c>
      <c r="D622" s="105" t="n">
        <v>20.375355</v>
      </c>
      <c r="E622" s="301" t="n">
        <v>48</v>
      </c>
      <c r="F622" s="301">
        <f>48+1584</f>
        <v/>
      </c>
      <c r="G622" s="301" t="n"/>
      <c r="H622" s="301">
        <f>F622-G622</f>
        <v/>
      </c>
      <c r="I622" s="161" t="n"/>
      <c r="J622" s="161" t="n"/>
      <c r="K622" s="161" t="n"/>
      <c r="L622" s="161" t="n"/>
      <c r="M622" s="161" t="n"/>
    </row>
    <row r="623" ht="15.75" customHeight="1" thickBot="1">
      <c r="A623" s="428" t="n"/>
      <c r="B623" s="428" t="n"/>
      <c r="C623" s="313" t="inlineStr">
        <is>
          <t>12*19</t>
        </is>
      </c>
      <c r="D623" s="107" t="n">
        <v>46.92506</v>
      </c>
      <c r="E623" s="302" t="n">
        <v>24</v>
      </c>
      <c r="F623" s="302">
        <f>48+720</f>
        <v/>
      </c>
      <c r="G623" s="302" t="n">
        <v>10</v>
      </c>
      <c r="H623" s="301">
        <f>F623-G623</f>
        <v/>
      </c>
      <c r="I623" s="161" t="n"/>
      <c r="J623" s="161" t="n"/>
      <c r="K623" s="161" t="n"/>
      <c r="L623" s="161" t="n"/>
      <c r="M623" s="161" t="n"/>
    </row>
    <row r="624" ht="15.75" customHeight="1" thickTop="1">
      <c r="A624" s="338" t="inlineStr">
        <is>
          <t>MOCHA AQUAMARINE</t>
        </is>
      </c>
      <c r="B624" s="303" t="inlineStr">
        <is>
          <t>RIVOLI</t>
        </is>
      </c>
      <c r="C624" s="303" t="inlineStr">
        <is>
          <t>10*10</t>
        </is>
      </c>
      <c r="D624" s="108" t="n">
        <v>16.670745</v>
      </c>
      <c r="E624" s="303" t="n">
        <v>45</v>
      </c>
      <c r="F624" s="303">
        <f>495+1080+90</f>
        <v/>
      </c>
      <c r="G624" s="303" t="n"/>
      <c r="H624" s="303">
        <f>F624-G624</f>
        <v/>
      </c>
      <c r="I624" s="161" t="n"/>
      <c r="J624" s="161" t="n"/>
      <c r="K624" s="161" t="n"/>
      <c r="L624" s="161" t="n"/>
      <c r="M624" s="161" t="n"/>
    </row>
    <row r="625">
      <c r="A625" s="427" t="n"/>
      <c r="B625" s="427" t="n"/>
      <c r="C625" s="312" t="inlineStr">
        <is>
          <t>12*12</t>
        </is>
      </c>
      <c r="D625" s="105" t="n">
        <v>20.375355</v>
      </c>
      <c r="E625" s="301" t="n">
        <v>40</v>
      </c>
      <c r="F625" s="301">
        <f>320+800+76</f>
        <v/>
      </c>
      <c r="G625" s="301" t="n"/>
      <c r="H625" s="301">
        <f>F625-G625</f>
        <v/>
      </c>
      <c r="I625" s="161" t="n"/>
      <c r="J625" s="161" t="n"/>
      <c r="K625" s="161" t="n"/>
      <c r="L625" s="161" t="n"/>
      <c r="M625" s="161" t="n"/>
    </row>
    <row r="626">
      <c r="A626" s="427" t="n"/>
      <c r="B626" s="428" t="n"/>
      <c r="C626" s="312" t="inlineStr">
        <is>
          <t>14*14</t>
        </is>
      </c>
      <c r="D626" s="105" t="n">
        <v>23.46253</v>
      </c>
      <c r="E626" s="301" t="n">
        <v>28</v>
      </c>
      <c r="F626" s="301">
        <f>448+27</f>
        <v/>
      </c>
      <c r="G626" s="301" t="n"/>
      <c r="H626" s="301">
        <f>F626-G626</f>
        <v/>
      </c>
      <c r="I626" s="161" t="n"/>
      <c r="J626" s="161" t="n"/>
      <c r="K626" s="161" t="n"/>
      <c r="L626" s="161" t="n"/>
      <c r="M626" s="161" t="n"/>
    </row>
    <row r="627">
      <c r="A627" s="427" t="n"/>
      <c r="B627" s="301" t="inlineStr">
        <is>
          <t>COSMIC</t>
        </is>
      </c>
      <c r="C627" s="312" t="inlineStr">
        <is>
          <t>10*14</t>
        </is>
      </c>
      <c r="D627" s="105" t="n">
        <v>23.46253</v>
      </c>
      <c r="E627" s="301" t="n">
        <v>28</v>
      </c>
      <c r="F627" s="301" t="n">
        <v>126</v>
      </c>
      <c r="G627" s="301" t="n"/>
      <c r="H627" s="301">
        <f>F627-G627</f>
        <v/>
      </c>
      <c r="I627" s="161" t="n"/>
      <c r="J627" s="161" t="n"/>
      <c r="K627" s="161" t="n"/>
      <c r="L627" s="161" t="n"/>
      <c r="M627" s="161" t="n"/>
    </row>
    <row r="628">
      <c r="A628" s="427" t="n"/>
      <c r="B628" s="428" t="n"/>
      <c r="C628" s="312" t="inlineStr">
        <is>
          <t>13*17</t>
        </is>
      </c>
      <c r="D628" s="105" t="n">
        <v>46.92506</v>
      </c>
      <c r="E628" s="301" t="n">
        <v>24</v>
      </c>
      <c r="F628" s="301" t="n">
        <v>96</v>
      </c>
      <c r="G628" s="301" t="n"/>
      <c r="H628" s="301">
        <f>F628-G628</f>
        <v/>
      </c>
      <c r="I628" s="161" t="n"/>
      <c r="J628" s="161" t="n"/>
      <c r="K628" s="161" t="n"/>
      <c r="L628" s="161" t="n"/>
      <c r="M628" s="161" t="n"/>
    </row>
    <row r="629">
      <c r="A629" s="427" t="n"/>
      <c r="B629" s="301" t="inlineStr">
        <is>
          <t>GALACTIC</t>
        </is>
      </c>
      <c r="C629" s="312" t="inlineStr">
        <is>
          <t>9*14</t>
        </is>
      </c>
      <c r="D629" s="105" t="n">
        <v>20.375355</v>
      </c>
      <c r="E629" s="301" t="n">
        <v>48</v>
      </c>
      <c r="F629" s="301">
        <f>864+288+72+49</f>
        <v/>
      </c>
      <c r="G629" s="301" t="n"/>
      <c r="H629" s="301">
        <f>F629-G629</f>
        <v/>
      </c>
      <c r="I629" s="161" t="n"/>
      <c r="J629" s="161" t="n"/>
      <c r="K629" s="161" t="n"/>
      <c r="L629" s="161" t="n"/>
      <c r="M629" s="161" t="n"/>
    </row>
    <row r="630" ht="15.75" customHeight="1" thickBot="1">
      <c r="A630" s="428" t="n"/>
      <c r="B630" s="428" t="n"/>
      <c r="C630" s="313" t="inlineStr">
        <is>
          <t>12*19</t>
        </is>
      </c>
      <c r="D630" s="107" t="n">
        <v>46.92506</v>
      </c>
      <c r="E630" s="302" t="n">
        <v>24</v>
      </c>
      <c r="F630" s="302">
        <f>468+47</f>
        <v/>
      </c>
      <c r="G630" s="302" t="n"/>
      <c r="H630" s="302">
        <f>F630-G630</f>
        <v/>
      </c>
      <c r="I630" s="161" t="n"/>
      <c r="J630" s="161" t="n"/>
      <c r="K630" s="161" t="n"/>
      <c r="L630" s="161" t="n"/>
      <c r="M630" s="161" t="n"/>
    </row>
    <row r="631" ht="15.75" customHeight="1" thickTop="1">
      <c r="A631" s="161" t="n"/>
      <c r="B631" s="161" t="n"/>
      <c r="C631" s="161" t="n"/>
      <c r="D631" s="161" t="n"/>
      <c r="E631" s="161" t="n"/>
      <c r="F631" s="161" t="n"/>
      <c r="G631" s="161" t="n"/>
      <c r="H631" s="161" t="n"/>
      <c r="I631" s="161" t="n"/>
      <c r="J631" s="161" t="n"/>
      <c r="K631" s="161" t="n"/>
      <c r="L631" s="161" t="n"/>
      <c r="M631" s="161" t="n"/>
    </row>
    <row r="632">
      <c r="J632" s="161" t="n"/>
      <c r="K632" s="161" t="n"/>
      <c r="L632" s="161" t="n"/>
      <c r="M632" s="161" t="n"/>
    </row>
    <row r="633">
      <c r="J633" s="161" t="n"/>
      <c r="K633" s="161" t="n"/>
      <c r="L633" s="161" t="n"/>
      <c r="M633" s="161" t="n"/>
    </row>
    <row r="634">
      <c r="J634" s="161" t="n"/>
      <c r="K634" s="161" t="n"/>
      <c r="L634" s="161" t="n"/>
      <c r="M634" s="161" t="n"/>
    </row>
    <row r="635">
      <c r="J635" s="161" t="n"/>
      <c r="K635" s="161" t="n"/>
      <c r="L635" s="161" t="n"/>
      <c r="M635" s="161" t="n"/>
    </row>
    <row r="636">
      <c r="J636" s="161" t="n"/>
      <c r="K636" s="161" t="n"/>
      <c r="L636" s="161" t="n"/>
      <c r="M636" s="161" t="n"/>
    </row>
    <row r="637">
      <c r="J637" s="161" t="n"/>
      <c r="K637" s="161" t="n"/>
      <c r="L637" s="161" t="n"/>
      <c r="M637" s="161" t="n"/>
    </row>
    <row r="638">
      <c r="J638" s="161" t="n"/>
      <c r="K638" s="161" t="n"/>
      <c r="L638" s="161" t="n"/>
      <c r="M638" s="161" t="n"/>
    </row>
    <row r="639">
      <c r="J639" s="161" t="n"/>
      <c r="K639" s="161" t="n"/>
      <c r="L639" s="161" t="n"/>
      <c r="M639" s="161" t="n"/>
    </row>
    <row r="640">
      <c r="J640" s="161" t="n"/>
      <c r="K640" s="161" t="n"/>
      <c r="L640" s="161" t="n"/>
      <c r="M640" s="161" t="n"/>
    </row>
    <row r="641">
      <c r="J641" s="161" t="n"/>
      <c r="K641" s="161" t="n"/>
      <c r="L641" s="161" t="n"/>
      <c r="M641" s="161" t="n"/>
    </row>
    <row r="642">
      <c r="J642" s="161" t="n"/>
      <c r="K642" s="161" t="n"/>
      <c r="L642" s="161" t="n"/>
      <c r="M642" s="161" t="n"/>
    </row>
    <row r="643">
      <c r="J643" s="161" t="n"/>
      <c r="K643" s="161" t="n"/>
      <c r="L643" s="161" t="n"/>
      <c r="M643" s="161" t="n"/>
    </row>
    <row r="644">
      <c r="J644" s="161" t="n"/>
      <c r="K644" s="161" t="n"/>
      <c r="L644" s="161" t="n"/>
      <c r="M644" s="161" t="n"/>
    </row>
    <row r="645">
      <c r="J645" s="161" t="n"/>
      <c r="K645" s="161" t="n"/>
      <c r="L645" s="161" t="n"/>
      <c r="M645" s="161" t="n"/>
    </row>
    <row r="646">
      <c r="J646" s="161" t="n"/>
      <c r="K646" s="161" t="n"/>
      <c r="L646" s="161" t="n"/>
      <c r="M646" s="161" t="n"/>
    </row>
    <row r="647">
      <c r="J647" s="161" t="n"/>
      <c r="K647" s="161" t="n"/>
      <c r="L647" s="161" t="n"/>
      <c r="M647" s="161" t="n"/>
    </row>
    <row r="648">
      <c r="J648" s="161" t="n"/>
      <c r="K648" s="161" t="n"/>
      <c r="L648" s="161" t="n"/>
      <c r="M648" s="161" t="n"/>
    </row>
    <row r="649">
      <c r="J649" s="161" t="n"/>
      <c r="K649" s="161" t="n"/>
      <c r="L649" s="161" t="n"/>
      <c r="M649" s="161" t="n"/>
    </row>
    <row r="650">
      <c r="J650" s="161" t="n"/>
      <c r="K650" s="161" t="n"/>
      <c r="L650" s="161" t="n"/>
      <c r="M650" s="161" t="n"/>
    </row>
    <row r="651">
      <c r="J651" s="161" t="n"/>
      <c r="K651" s="161" t="n"/>
      <c r="L651" s="161" t="n"/>
      <c r="M651" s="161" t="n"/>
    </row>
    <row r="652">
      <c r="J652" s="161" t="n"/>
      <c r="K652" s="161" t="n"/>
      <c r="L652" s="161" t="n"/>
      <c r="M652" s="161" t="n"/>
    </row>
    <row r="653">
      <c r="J653" s="161" t="n"/>
      <c r="K653" s="161" t="n"/>
      <c r="L653" s="161" t="n"/>
      <c r="M653" s="161" t="n"/>
    </row>
    <row r="654">
      <c r="J654" s="161" t="n"/>
      <c r="K654" s="161" t="n"/>
      <c r="L654" s="161" t="n"/>
      <c r="M654" s="161" t="n"/>
    </row>
    <row r="655">
      <c r="J655" s="161" t="n"/>
      <c r="K655" s="161" t="n"/>
      <c r="L655" s="161" t="n"/>
      <c r="M655" s="161" t="n"/>
    </row>
    <row r="656">
      <c r="J656" s="161" t="n"/>
      <c r="K656" s="161" t="n"/>
      <c r="L656" s="161" t="n"/>
      <c r="M656" s="161" t="n"/>
    </row>
    <row r="657">
      <c r="J657" s="161" t="n"/>
      <c r="K657" s="161" t="n"/>
      <c r="L657" s="161" t="n"/>
      <c r="M657" s="161" t="n"/>
    </row>
    <row r="658">
      <c r="J658" s="161" t="n"/>
      <c r="K658" s="161" t="n"/>
      <c r="L658" s="161" t="n"/>
      <c r="M658" s="161" t="n"/>
    </row>
    <row r="659">
      <c r="J659" s="161" t="n"/>
      <c r="K659" s="161" t="n"/>
      <c r="L659" s="161" t="n"/>
      <c r="M659" s="161" t="n"/>
    </row>
    <row r="660">
      <c r="J660" s="161" t="n"/>
      <c r="K660" s="161" t="n"/>
      <c r="L660" s="161" t="n"/>
      <c r="M660" s="161" t="n"/>
    </row>
    <row r="661">
      <c r="J661" s="161" t="n"/>
      <c r="K661" s="161" t="n"/>
      <c r="L661" s="161" t="n"/>
      <c r="M661" s="161" t="n"/>
    </row>
    <row r="662">
      <c r="J662" s="161" t="n"/>
      <c r="K662" s="161" t="n"/>
      <c r="L662" s="161" t="n"/>
      <c r="M662" s="161" t="n"/>
    </row>
    <row r="663">
      <c r="J663" s="161" t="n"/>
      <c r="K663" s="161" t="n"/>
      <c r="L663" s="161" t="n"/>
      <c r="M663" s="161" t="n"/>
    </row>
    <row r="664">
      <c r="J664" s="161" t="n"/>
      <c r="K664" s="161" t="n"/>
      <c r="L664" s="161" t="n"/>
      <c r="M664" s="161" t="n"/>
    </row>
    <row r="665">
      <c r="J665" s="161" t="n"/>
      <c r="K665" s="161" t="n"/>
      <c r="L665" s="161" t="n"/>
      <c r="M665" s="161" t="n"/>
    </row>
    <row r="666">
      <c r="J666" s="161" t="n"/>
      <c r="K666" s="161" t="n"/>
      <c r="L666" s="161" t="n"/>
      <c r="M666" s="161" t="n"/>
    </row>
    <row r="667">
      <c r="J667" s="161" t="n"/>
      <c r="K667" s="161" t="n"/>
      <c r="L667" s="161" t="n"/>
      <c r="M667" s="161" t="n"/>
    </row>
    <row r="668">
      <c r="J668" s="161" t="n"/>
      <c r="K668" s="161" t="n"/>
      <c r="L668" s="161" t="n"/>
      <c r="M668" s="161" t="n"/>
    </row>
    <row r="669">
      <c r="J669" s="161" t="n"/>
      <c r="K669" s="161" t="n"/>
      <c r="L669" s="161" t="n"/>
      <c r="M669" s="161" t="n"/>
    </row>
    <row r="670">
      <c r="J670" s="161" t="n"/>
      <c r="K670" s="161" t="n"/>
      <c r="L670" s="161" t="n"/>
      <c r="M670" s="161" t="n"/>
    </row>
    <row r="671">
      <c r="J671" s="161" t="n"/>
      <c r="K671" s="161" t="n"/>
      <c r="L671" s="161" t="n"/>
      <c r="M671" s="161" t="n"/>
    </row>
    <row r="672">
      <c r="J672" s="161" t="n"/>
      <c r="K672" s="161" t="n"/>
      <c r="L672" s="161" t="n"/>
      <c r="M672" s="161" t="n"/>
    </row>
    <row r="673">
      <c r="J673" s="161" t="n"/>
      <c r="K673" s="161" t="n"/>
      <c r="L673" s="161" t="n"/>
      <c r="M673" s="161" t="n"/>
    </row>
    <row r="674">
      <c r="J674" s="161" t="n"/>
      <c r="K674" s="161" t="n"/>
      <c r="L674" s="161" t="n"/>
      <c r="M674" s="161" t="n"/>
    </row>
    <row r="675">
      <c r="J675" s="161" t="n"/>
      <c r="K675" s="161" t="n"/>
      <c r="L675" s="161" t="n"/>
      <c r="M675" s="161" t="n"/>
    </row>
    <row r="676">
      <c r="J676" s="161" t="n"/>
      <c r="K676" s="161" t="n"/>
      <c r="L676" s="161" t="n"/>
      <c r="M676" s="161" t="n"/>
    </row>
    <row r="677">
      <c r="J677" s="161" t="n"/>
      <c r="K677" s="161" t="n"/>
      <c r="L677" s="161" t="n"/>
      <c r="M677" s="161" t="n"/>
    </row>
    <row r="678">
      <c r="J678" s="161" t="n"/>
      <c r="K678" s="161" t="n"/>
      <c r="L678" s="161" t="n"/>
      <c r="M678" s="161" t="n"/>
    </row>
    <row r="679">
      <c r="J679" s="161" t="n"/>
      <c r="K679" s="161" t="n"/>
      <c r="L679" s="161" t="n"/>
      <c r="M679" s="161" t="n"/>
    </row>
    <row r="680">
      <c r="J680" s="161" t="n"/>
      <c r="K680" s="161" t="n"/>
      <c r="L680" s="161" t="n"/>
      <c r="M680" s="161" t="n"/>
    </row>
    <row r="681">
      <c r="J681" s="161" t="n"/>
      <c r="K681" s="161" t="n"/>
      <c r="L681" s="161" t="n"/>
      <c r="M681" s="161" t="n"/>
    </row>
    <row r="682">
      <c r="J682" s="161" t="n"/>
      <c r="K682" s="161" t="n"/>
      <c r="L682" s="161" t="n"/>
      <c r="M682" s="161" t="n"/>
    </row>
    <row r="683">
      <c r="J683" s="161" t="n"/>
      <c r="K683" s="161" t="n"/>
      <c r="L683" s="161" t="n"/>
      <c r="M683" s="161" t="n"/>
    </row>
    <row r="684">
      <c r="J684" s="161" t="n"/>
      <c r="K684" s="161" t="n"/>
      <c r="L684" s="161" t="n"/>
      <c r="M684" s="161" t="n"/>
    </row>
    <row r="685">
      <c r="J685" s="161" t="n"/>
      <c r="K685" s="161" t="n"/>
      <c r="L685" s="161" t="n"/>
      <c r="M685" s="161" t="n"/>
    </row>
    <row r="686">
      <c r="J686" s="161" t="n"/>
      <c r="K686" s="161" t="n"/>
      <c r="L686" s="161" t="n"/>
      <c r="M686" s="161" t="n"/>
    </row>
    <row r="687">
      <c r="J687" s="161" t="n"/>
      <c r="K687" s="161" t="n"/>
      <c r="L687" s="161" t="n"/>
      <c r="M687" s="161" t="n"/>
    </row>
    <row r="688">
      <c r="J688" s="161" t="n"/>
      <c r="K688" s="161" t="n"/>
      <c r="L688" s="161" t="n"/>
      <c r="M688" s="161" t="n"/>
    </row>
    <row r="689">
      <c r="J689" s="161" t="n"/>
      <c r="K689" s="161" t="n"/>
      <c r="L689" s="161" t="n"/>
      <c r="M689" s="161" t="n"/>
    </row>
    <row r="690">
      <c r="J690" s="161" t="n"/>
      <c r="K690" s="161" t="n"/>
      <c r="L690" s="161" t="n"/>
      <c r="M690" s="161" t="n"/>
    </row>
    <row r="691">
      <c r="J691" s="161" t="n"/>
      <c r="K691" s="161" t="n"/>
      <c r="L691" s="161" t="n"/>
      <c r="M691" s="161" t="n"/>
    </row>
    <row r="692">
      <c r="J692" s="161" t="n"/>
      <c r="K692" s="161" t="n"/>
      <c r="L692" s="161" t="n"/>
      <c r="M692" s="161" t="n"/>
    </row>
    <row r="693">
      <c r="J693" s="161" t="n"/>
      <c r="K693" s="161" t="n"/>
      <c r="L693" s="161" t="n"/>
      <c r="M693" s="161" t="n"/>
    </row>
    <row r="694">
      <c r="J694" s="161" t="n"/>
      <c r="K694" s="161" t="n"/>
      <c r="L694" s="161" t="n"/>
      <c r="M694" s="161" t="n"/>
    </row>
    <row r="695">
      <c r="J695" s="161" t="n"/>
      <c r="K695" s="161" t="n"/>
      <c r="L695" s="161" t="n"/>
      <c r="M695" s="161" t="n"/>
    </row>
    <row r="696">
      <c r="J696" s="161" t="n"/>
      <c r="K696" s="161" t="n"/>
      <c r="L696" s="161" t="n"/>
      <c r="M696" s="161" t="n"/>
    </row>
    <row r="697">
      <c r="J697" s="161" t="n"/>
      <c r="K697" s="161" t="n"/>
      <c r="L697" s="161" t="n"/>
      <c r="M697" s="161" t="n"/>
    </row>
    <row r="698">
      <c r="J698" s="161" t="n"/>
      <c r="K698" s="161" t="n"/>
      <c r="L698" s="161" t="n"/>
      <c r="M698" s="161" t="n"/>
    </row>
    <row r="699">
      <c r="J699" s="161" t="n"/>
      <c r="K699" s="161" t="n"/>
      <c r="L699" s="161" t="n"/>
      <c r="M699" s="161" t="n"/>
    </row>
    <row r="700">
      <c r="J700" s="161" t="n"/>
      <c r="K700" s="161" t="n"/>
      <c r="L700" s="161" t="n"/>
      <c r="M700" s="161" t="n"/>
    </row>
    <row r="701">
      <c r="J701" s="161" t="n"/>
      <c r="K701" s="161" t="n"/>
      <c r="L701" s="161" t="n"/>
      <c r="M701" s="161" t="n"/>
    </row>
    <row r="702">
      <c r="J702" s="161" t="n"/>
      <c r="K702" s="161" t="n"/>
      <c r="L702" s="161" t="n"/>
      <c r="M702" s="161" t="n"/>
    </row>
    <row r="703">
      <c r="J703" s="161" t="n"/>
      <c r="K703" s="161" t="n"/>
      <c r="L703" s="161" t="n"/>
      <c r="M703" s="161" t="n"/>
    </row>
    <row r="704">
      <c r="J704" s="161" t="n"/>
      <c r="K704" s="161" t="n"/>
      <c r="L704" s="161" t="n"/>
      <c r="M704" s="161" t="n"/>
    </row>
    <row r="705">
      <c r="J705" s="161" t="n"/>
      <c r="K705" s="161" t="n"/>
      <c r="L705" s="161" t="n"/>
      <c r="M705" s="161" t="n"/>
    </row>
    <row r="706">
      <c r="J706" s="161" t="n"/>
      <c r="K706" s="161" t="n"/>
      <c r="L706" s="161" t="n"/>
      <c r="M706" s="161" t="n"/>
    </row>
    <row r="707">
      <c r="J707" s="161" t="n"/>
      <c r="K707" s="161" t="n"/>
      <c r="L707" s="161" t="n"/>
      <c r="M707" s="161" t="n"/>
    </row>
    <row r="708">
      <c r="J708" s="161" t="n"/>
      <c r="K708" s="161" t="n"/>
      <c r="L708" s="161" t="n"/>
      <c r="M708" s="161" t="n"/>
    </row>
    <row r="709">
      <c r="J709" s="161" t="n"/>
      <c r="K709" s="161" t="n"/>
      <c r="L709" s="161" t="n"/>
      <c r="M709" s="161" t="n"/>
    </row>
    <row r="710">
      <c r="J710" s="161" t="n"/>
      <c r="K710" s="161" t="n"/>
      <c r="L710" s="161" t="n"/>
      <c r="M710" s="161" t="n"/>
    </row>
    <row r="711">
      <c r="J711" s="161" t="n"/>
      <c r="K711" s="161" t="n"/>
      <c r="L711" s="161" t="n"/>
      <c r="M711" s="161" t="n"/>
    </row>
    <row r="712">
      <c r="J712" s="161" t="n"/>
      <c r="K712" s="161" t="n"/>
      <c r="L712" s="161" t="n"/>
      <c r="M712" s="161" t="n"/>
    </row>
    <row r="713">
      <c r="J713" s="161" t="n"/>
      <c r="K713" s="161" t="n"/>
      <c r="L713" s="161" t="n"/>
      <c r="M713" s="161" t="n"/>
    </row>
    <row r="714">
      <c r="J714" s="161" t="n"/>
      <c r="K714" s="161" t="n"/>
      <c r="L714" s="161" t="n"/>
      <c r="M714" s="161" t="n"/>
    </row>
    <row r="715">
      <c r="J715" s="161" t="n"/>
      <c r="K715" s="161" t="n"/>
      <c r="L715" s="161" t="n"/>
      <c r="M715" s="161" t="n"/>
    </row>
    <row r="716">
      <c r="J716" s="161" t="n"/>
      <c r="K716" s="161" t="n"/>
      <c r="L716" s="161" t="n"/>
      <c r="M716" s="161" t="n"/>
    </row>
    <row r="717">
      <c r="J717" s="161" t="n"/>
      <c r="K717" s="161" t="n"/>
      <c r="L717" s="161" t="n"/>
      <c r="M717" s="161" t="n"/>
    </row>
    <row r="718">
      <c r="J718" s="161" t="n"/>
      <c r="K718" s="161" t="n"/>
      <c r="L718" s="161" t="n"/>
      <c r="M718" s="161" t="n"/>
    </row>
    <row r="719">
      <c r="J719" s="161" t="n"/>
      <c r="K719" s="161" t="n"/>
      <c r="L719" s="161" t="n"/>
      <c r="M719" s="161" t="n"/>
    </row>
    <row r="720">
      <c r="J720" s="161" t="n"/>
      <c r="K720" s="161" t="n"/>
      <c r="L720" s="161" t="n"/>
      <c r="M720" s="161" t="n"/>
    </row>
    <row r="721">
      <c r="J721" s="161" t="n"/>
      <c r="K721" s="161" t="n"/>
      <c r="L721" s="161" t="n"/>
      <c r="M721" s="161" t="n"/>
    </row>
    <row r="722">
      <c r="J722" s="161" t="n"/>
      <c r="K722" s="161" t="n"/>
      <c r="L722" s="161" t="n"/>
      <c r="M722" s="161" t="n"/>
    </row>
    <row r="723">
      <c r="J723" s="161" t="n"/>
      <c r="K723" s="161" t="n"/>
      <c r="L723" s="161" t="n"/>
      <c r="M723" s="161" t="n"/>
    </row>
    <row r="724">
      <c r="J724" s="161" t="n"/>
      <c r="K724" s="161" t="n"/>
      <c r="L724" s="161" t="n"/>
      <c r="M724" s="161" t="n"/>
    </row>
    <row r="725">
      <c r="J725" s="161" t="n"/>
      <c r="K725" s="161" t="n"/>
      <c r="L725" s="161" t="n"/>
      <c r="M725" s="161" t="n"/>
    </row>
    <row r="726">
      <c r="J726" s="161" t="n"/>
      <c r="K726" s="161" t="n"/>
      <c r="L726" s="161" t="n"/>
      <c r="M726" s="161" t="n"/>
    </row>
    <row r="727">
      <c r="J727" s="161" t="n"/>
      <c r="K727" s="161" t="n"/>
      <c r="L727" s="161" t="n"/>
      <c r="M727" s="161" t="n"/>
    </row>
    <row r="728">
      <c r="J728" s="161" t="n"/>
      <c r="K728" s="161" t="n"/>
      <c r="L728" s="161" t="n"/>
      <c r="M728" s="161" t="n"/>
    </row>
    <row r="729">
      <c r="J729" s="161" t="n"/>
      <c r="K729" s="161" t="n"/>
      <c r="L729" s="161" t="n"/>
      <c r="M729" s="161" t="n"/>
    </row>
    <row r="730">
      <c r="J730" s="161" t="n"/>
      <c r="K730" s="161" t="n"/>
      <c r="L730" s="161" t="n"/>
      <c r="M730" s="161" t="n"/>
    </row>
    <row r="731">
      <c r="J731" s="161" t="n"/>
      <c r="K731" s="161" t="n"/>
      <c r="L731" s="161" t="n"/>
      <c r="M731" s="161" t="n"/>
    </row>
    <row r="732">
      <c r="J732" s="161" t="n"/>
      <c r="K732" s="161" t="n"/>
      <c r="L732" s="161" t="n"/>
      <c r="M732" s="161" t="n"/>
    </row>
    <row r="733">
      <c r="J733" s="161" t="n"/>
      <c r="K733" s="161" t="n"/>
      <c r="L733" s="161" t="n"/>
      <c r="M733" s="161" t="n"/>
    </row>
    <row r="734">
      <c r="J734" s="161" t="n"/>
      <c r="K734" s="161" t="n"/>
      <c r="L734" s="161" t="n"/>
      <c r="M734" s="161" t="n"/>
    </row>
    <row r="735">
      <c r="J735" s="161" t="n"/>
      <c r="K735" s="161" t="n"/>
      <c r="L735" s="161" t="n"/>
      <c r="M735" s="161" t="n"/>
    </row>
    <row r="736">
      <c r="J736" s="161" t="n"/>
      <c r="K736" s="161" t="n"/>
      <c r="L736" s="161" t="n"/>
      <c r="M736" s="161" t="n"/>
    </row>
    <row r="737">
      <c r="J737" s="161" t="n"/>
      <c r="K737" s="161" t="n"/>
      <c r="L737" s="161" t="n"/>
      <c r="M737" s="161" t="n"/>
    </row>
    <row r="738">
      <c r="J738" s="161" t="n"/>
      <c r="K738" s="161" t="n"/>
      <c r="L738" s="161" t="n"/>
      <c r="M738" s="161" t="n"/>
    </row>
    <row r="739">
      <c r="J739" s="161" t="n"/>
      <c r="K739" s="161" t="n"/>
      <c r="L739" s="161" t="n"/>
      <c r="M739" s="161" t="n"/>
    </row>
    <row r="740">
      <c r="J740" s="161" t="n"/>
      <c r="K740" s="161" t="n"/>
      <c r="L740" s="161" t="n"/>
      <c r="M740" s="161" t="n"/>
    </row>
    <row r="741">
      <c r="J741" s="161" t="n"/>
      <c r="K741" s="161" t="n"/>
      <c r="L741" s="161" t="n"/>
      <c r="M741" s="161" t="n"/>
    </row>
    <row r="742">
      <c r="J742" s="161" t="n"/>
      <c r="K742" s="161" t="n"/>
      <c r="L742" s="161" t="n"/>
      <c r="M742" s="161" t="n"/>
    </row>
    <row r="743">
      <c r="J743" s="161" t="n"/>
      <c r="K743" s="161" t="n"/>
      <c r="L743" s="161" t="n"/>
      <c r="M743" s="161" t="n"/>
    </row>
    <row r="744">
      <c r="J744" s="161" t="n"/>
      <c r="K744" s="161" t="n"/>
      <c r="L744" s="161" t="n"/>
      <c r="M744" s="161" t="n"/>
    </row>
    <row r="745">
      <c r="J745" s="161" t="n"/>
      <c r="K745" s="161" t="n"/>
      <c r="L745" s="161" t="n"/>
      <c r="M745" s="161" t="n"/>
    </row>
    <row r="746">
      <c r="J746" s="161" t="n"/>
      <c r="K746" s="161" t="n"/>
      <c r="L746" s="161" t="n"/>
      <c r="M746" s="161" t="n"/>
    </row>
    <row r="747">
      <c r="J747" s="161" t="n"/>
      <c r="K747" s="161" t="n"/>
      <c r="L747" s="161" t="n"/>
      <c r="M747" s="161" t="n"/>
    </row>
    <row r="748">
      <c r="J748" s="161" t="n"/>
      <c r="K748" s="161" t="n"/>
      <c r="L748" s="161" t="n"/>
      <c r="M748" s="161" t="n"/>
    </row>
    <row r="749">
      <c r="J749" s="161" t="n"/>
      <c r="K749" s="161" t="n"/>
      <c r="L749" s="161" t="n"/>
      <c r="M749" s="161" t="n"/>
    </row>
    <row r="750">
      <c r="J750" s="161" t="n"/>
      <c r="K750" s="161" t="n"/>
      <c r="L750" s="161" t="n"/>
      <c r="M750" s="161" t="n"/>
    </row>
    <row r="751">
      <c r="J751" s="161" t="n"/>
      <c r="K751" s="161" t="n"/>
      <c r="L751" s="161" t="n"/>
      <c r="M751" s="161" t="n"/>
    </row>
    <row r="752">
      <c r="J752" s="161" t="n"/>
      <c r="K752" s="161" t="n"/>
      <c r="L752" s="161" t="n"/>
      <c r="M752" s="161" t="n"/>
    </row>
    <row r="753">
      <c r="J753" s="161" t="n"/>
      <c r="K753" s="161" t="n"/>
      <c r="L753" s="161" t="n"/>
      <c r="M753" s="161" t="n"/>
    </row>
    <row r="754">
      <c r="J754" s="161" t="n"/>
      <c r="K754" s="161" t="n"/>
      <c r="L754" s="161" t="n"/>
      <c r="M754" s="161" t="n"/>
    </row>
    <row r="755">
      <c r="J755" s="161" t="n"/>
      <c r="K755" s="161" t="n"/>
      <c r="L755" s="161" t="n"/>
      <c r="M755" s="161" t="n"/>
    </row>
    <row r="756">
      <c r="J756" s="161" t="n"/>
      <c r="K756" s="161" t="n"/>
      <c r="L756" s="161" t="n"/>
      <c r="M756" s="161" t="n"/>
    </row>
    <row r="757">
      <c r="J757" s="161" t="n"/>
      <c r="K757" s="161" t="n"/>
      <c r="L757" s="161" t="n"/>
      <c r="M757" s="161" t="n"/>
    </row>
    <row r="758">
      <c r="J758" s="161" t="n"/>
      <c r="K758" s="161" t="n"/>
      <c r="L758" s="161" t="n"/>
      <c r="M758" s="161" t="n"/>
    </row>
    <row r="759">
      <c r="J759" s="161" t="n"/>
      <c r="K759" s="161" t="n"/>
      <c r="L759" s="161" t="n"/>
      <c r="M759" s="161" t="n"/>
    </row>
    <row r="760">
      <c r="J760" s="161" t="n"/>
      <c r="K760" s="161" t="n"/>
      <c r="L760" s="161" t="n"/>
      <c r="M760" s="161" t="n"/>
    </row>
    <row r="761">
      <c r="J761" s="161" t="n"/>
      <c r="K761" s="161" t="n"/>
      <c r="L761" s="161" t="n"/>
      <c r="M761" s="161" t="n"/>
    </row>
    <row r="762">
      <c r="J762" s="161" t="n"/>
      <c r="K762" s="161" t="n"/>
      <c r="L762" s="161" t="n"/>
      <c r="M762" s="161" t="n"/>
    </row>
    <row r="763">
      <c r="J763" s="161" t="n"/>
      <c r="K763" s="161" t="n"/>
      <c r="L763" s="161" t="n"/>
      <c r="M763" s="161" t="n"/>
    </row>
    <row r="764">
      <c r="J764" s="161" t="n"/>
      <c r="K764" s="161" t="n"/>
      <c r="L764" s="161" t="n"/>
      <c r="M764" s="161" t="n"/>
    </row>
    <row r="765">
      <c r="J765" s="161" t="n"/>
      <c r="K765" s="161" t="n"/>
      <c r="L765" s="161" t="n"/>
      <c r="M765" s="161" t="n"/>
    </row>
    <row r="766">
      <c r="J766" s="161" t="n"/>
      <c r="K766" s="161" t="n"/>
      <c r="L766" s="161" t="n"/>
      <c r="M766" s="161" t="n"/>
    </row>
    <row r="767">
      <c r="J767" s="161" t="n"/>
      <c r="K767" s="161" t="n"/>
      <c r="L767" s="161" t="n"/>
      <c r="M767" s="161" t="n"/>
    </row>
    <row r="768">
      <c r="J768" s="161" t="n"/>
      <c r="K768" s="161" t="n"/>
      <c r="L768" s="161" t="n"/>
      <c r="M768" s="161" t="n"/>
    </row>
    <row r="769">
      <c r="J769" s="161" t="n"/>
      <c r="K769" s="161" t="n"/>
      <c r="L769" s="161" t="n"/>
      <c r="M769" s="161" t="n"/>
    </row>
    <row r="770">
      <c r="J770" s="161" t="n"/>
      <c r="K770" s="161" t="n"/>
      <c r="L770" s="161" t="n"/>
      <c r="M770" s="161" t="n"/>
    </row>
    <row r="771">
      <c r="J771" s="161" t="n"/>
      <c r="K771" s="161" t="n"/>
      <c r="L771" s="161" t="n"/>
      <c r="M771" s="161" t="n"/>
    </row>
    <row r="772">
      <c r="J772" s="161" t="n"/>
      <c r="K772" s="161" t="n"/>
      <c r="L772" s="161" t="n"/>
      <c r="M772" s="161" t="n"/>
    </row>
    <row r="773">
      <c r="J773" s="161" t="n"/>
      <c r="K773" s="161" t="n"/>
      <c r="L773" s="161" t="n"/>
      <c r="M773" s="161" t="n"/>
    </row>
    <row r="774">
      <c r="J774" s="161" t="n"/>
      <c r="K774" s="161" t="n"/>
      <c r="L774" s="161" t="n"/>
      <c r="M774" s="161" t="n"/>
    </row>
    <row r="775">
      <c r="J775" s="161" t="n"/>
      <c r="K775" s="161" t="n"/>
      <c r="L775" s="161" t="n"/>
      <c r="M775" s="161" t="n"/>
    </row>
    <row r="776">
      <c r="J776" s="161" t="n"/>
      <c r="K776" s="161" t="n"/>
      <c r="L776" s="161" t="n"/>
      <c r="M776" s="161" t="n"/>
    </row>
    <row r="777">
      <c r="A777" s="161" t="n"/>
      <c r="B777" s="161" t="n"/>
      <c r="C777" s="161" t="n"/>
      <c r="D777" s="161" t="n"/>
      <c r="E777" s="161" t="n"/>
      <c r="F777" s="161" t="n"/>
      <c r="G777" s="161" t="n"/>
      <c r="H777" s="161" t="n"/>
      <c r="I777" s="161" t="n"/>
      <c r="J777" s="161" t="n"/>
      <c r="K777" s="161" t="n"/>
      <c r="L777" s="161" t="n"/>
      <c r="M777" s="161" t="n"/>
    </row>
    <row r="780">
      <c r="A780" s="220" t="n"/>
      <c r="B780" s="220" t="n"/>
      <c r="C780" s="220" t="n"/>
    </row>
  </sheetData>
  <mergeCells count="223">
    <mergeCell ref="B326:B327"/>
    <mergeCell ref="B295:B296"/>
    <mergeCell ref="L439:L440"/>
    <mergeCell ref="B408:B410"/>
    <mergeCell ref="B88:B92"/>
    <mergeCell ref="B600:B603"/>
    <mergeCell ref="B156:B157"/>
    <mergeCell ref="B270:B272"/>
    <mergeCell ref="B328:B329"/>
    <mergeCell ref="L441:L443"/>
    <mergeCell ref="A158:A179"/>
    <mergeCell ref="B563:B564"/>
    <mergeCell ref="B68:B72"/>
    <mergeCell ref="B3:B8"/>
    <mergeCell ref="B508:B511"/>
    <mergeCell ref="A88:A108"/>
    <mergeCell ref="B256:B258"/>
    <mergeCell ref="B213:B215"/>
    <mergeCell ref="B532:B533"/>
    <mergeCell ref="B314:B315"/>
    <mergeCell ref="B165:B167"/>
    <mergeCell ref="L433:L434"/>
    <mergeCell ref="A111:A137"/>
    <mergeCell ref="B142:B143"/>
    <mergeCell ref="B549:B550"/>
    <mergeCell ref="B378:B379"/>
    <mergeCell ref="B527:B528"/>
    <mergeCell ref="B491:B494"/>
    <mergeCell ref="B118:B121"/>
    <mergeCell ref="B183:B184"/>
    <mergeCell ref="B158:B161"/>
    <mergeCell ref="B354:B355"/>
    <mergeCell ref="B134:B136"/>
    <mergeCell ref="A617:A623"/>
    <mergeCell ref="B444:B447"/>
    <mergeCell ref="B111:B115"/>
    <mergeCell ref="B356:B357"/>
    <mergeCell ref="B614:B615"/>
    <mergeCell ref="A320:A321"/>
    <mergeCell ref="B169:B170"/>
    <mergeCell ref="A284:A303"/>
    <mergeCell ref="B191:B193"/>
    <mergeCell ref="A261:A279"/>
    <mergeCell ref="L445:L447"/>
    <mergeCell ref="B81:B84"/>
    <mergeCell ref="A439:A470"/>
    <mergeCell ref="B140:B141"/>
    <mergeCell ref="B162:B164"/>
    <mergeCell ref="B51:B54"/>
    <mergeCell ref="B584:B587"/>
    <mergeCell ref="B93:B94"/>
    <mergeCell ref="B333:B335"/>
    <mergeCell ref="B544:B548"/>
    <mergeCell ref="B391:B392"/>
    <mergeCell ref="A213:A235"/>
    <mergeCell ref="A304:A318"/>
    <mergeCell ref="B341:B344"/>
    <mergeCell ref="B74:B78"/>
    <mergeCell ref="B468:B469"/>
    <mergeCell ref="B388:B390"/>
    <mergeCell ref="B624:B626"/>
    <mergeCell ref="B404:B407"/>
    <mergeCell ref="B611:B612"/>
    <mergeCell ref="B375:B377"/>
    <mergeCell ref="A194:A209"/>
    <mergeCell ref="B291:B294"/>
    <mergeCell ref="B132:B133"/>
    <mergeCell ref="B310:B312"/>
    <mergeCell ref="B495:B496"/>
    <mergeCell ref="B523:B526"/>
    <mergeCell ref="B399:B401"/>
    <mergeCell ref="B588:B589"/>
    <mergeCell ref="B551:B554"/>
    <mergeCell ref="B116:B117"/>
    <mergeCell ref="B284:B288"/>
    <mergeCell ref="B455:B458"/>
    <mergeCell ref="B485:B486"/>
    <mergeCell ref="A323:A340"/>
    <mergeCell ref="A282:A283"/>
    <mergeCell ref="B301:B303"/>
    <mergeCell ref="B370:B372"/>
    <mergeCell ref="B248:B250"/>
    <mergeCell ref="A566:A595"/>
    <mergeCell ref="B289:B290"/>
    <mergeCell ref="B439:B443"/>
    <mergeCell ref="B216:B217"/>
    <mergeCell ref="B351:B353"/>
    <mergeCell ref="B198:B199"/>
    <mergeCell ref="B627:B628"/>
    <mergeCell ref="B180:B182"/>
    <mergeCell ref="A259:A260"/>
    <mergeCell ref="B9:B12"/>
    <mergeCell ref="B416:B418"/>
    <mergeCell ref="B232:B234"/>
    <mergeCell ref="B230:B231"/>
    <mergeCell ref="B34:B39"/>
    <mergeCell ref="B124:B127"/>
    <mergeCell ref="B393:B394"/>
    <mergeCell ref="B620:B621"/>
    <mergeCell ref="B304:B307"/>
    <mergeCell ref="A365:A383"/>
    <mergeCell ref="B629:B630"/>
    <mergeCell ref="B238:B242"/>
    <mergeCell ref="B540:B543"/>
    <mergeCell ref="A431:A432"/>
    <mergeCell ref="B79:B80"/>
    <mergeCell ref="B61:B63"/>
    <mergeCell ref="B150:B151"/>
    <mergeCell ref="B25:B28"/>
    <mergeCell ref="A503:A534"/>
    <mergeCell ref="A596:A616"/>
    <mergeCell ref="B330:B331"/>
    <mergeCell ref="B337:B339"/>
    <mergeCell ref="B202:B203"/>
    <mergeCell ref="B555:B558"/>
    <mergeCell ref="B395:B396"/>
    <mergeCell ref="B55:B58"/>
    <mergeCell ref="B175:B177"/>
    <mergeCell ref="B218:B221"/>
    <mergeCell ref="B200:B201"/>
    <mergeCell ref="B13:B17"/>
    <mergeCell ref="B480:B484"/>
    <mergeCell ref="B144:B145"/>
    <mergeCell ref="B348:B350"/>
    <mergeCell ref="B122:B123"/>
    <mergeCell ref="B566:B569"/>
    <mergeCell ref="A535:A565"/>
    <mergeCell ref="B580:B583"/>
    <mergeCell ref="B65:B67"/>
    <mergeCell ref="B500:B501"/>
    <mergeCell ref="B44:B50"/>
    <mergeCell ref="B245:B247"/>
    <mergeCell ref="B316:B318"/>
    <mergeCell ref="B208:B209"/>
    <mergeCell ref="A3:A33"/>
    <mergeCell ref="B297:B298"/>
    <mergeCell ref="B459:B462"/>
    <mergeCell ref="B431:B432"/>
    <mergeCell ref="A471:A502"/>
    <mergeCell ref="B365:B367"/>
    <mergeCell ref="B574:B578"/>
    <mergeCell ref="A404:A430"/>
    <mergeCell ref="A138:A145"/>
    <mergeCell ref="K431:K450"/>
    <mergeCell ref="B185:B187"/>
    <mergeCell ref="B194:B196"/>
    <mergeCell ref="B559:B560"/>
    <mergeCell ref="B277:B279"/>
    <mergeCell ref="B463:B464"/>
    <mergeCell ref="L448:L450"/>
    <mergeCell ref="B171:B172"/>
    <mergeCell ref="B146:B149"/>
    <mergeCell ref="B254:B255"/>
    <mergeCell ref="B105:B107"/>
    <mergeCell ref="L435:L437"/>
    <mergeCell ref="B561:B562"/>
    <mergeCell ref="B476:B479"/>
    <mergeCell ref="B99:B100"/>
    <mergeCell ref="B422:B423"/>
    <mergeCell ref="B397:B398"/>
    <mergeCell ref="B19:B24"/>
    <mergeCell ref="A146:A157"/>
    <mergeCell ref="B173:B174"/>
    <mergeCell ref="B204:B205"/>
    <mergeCell ref="B101:B103"/>
    <mergeCell ref="B487:B490"/>
    <mergeCell ref="B368:B369"/>
    <mergeCell ref="B570:B573"/>
    <mergeCell ref="B424:B425"/>
    <mergeCell ref="B433:B434"/>
    <mergeCell ref="B320:B321"/>
    <mergeCell ref="B85:B86"/>
    <mergeCell ref="B361:B362"/>
    <mergeCell ref="B471:B475"/>
    <mergeCell ref="A624:A630"/>
    <mergeCell ref="B426:B428"/>
    <mergeCell ref="B497:B499"/>
    <mergeCell ref="B345:B346"/>
    <mergeCell ref="B385:B386"/>
    <mergeCell ref="B535:B539"/>
    <mergeCell ref="A34:A87"/>
    <mergeCell ref="B517:B518"/>
    <mergeCell ref="B590:B592"/>
    <mergeCell ref="B448:B452"/>
    <mergeCell ref="B419:B421"/>
    <mergeCell ref="B604:B606"/>
    <mergeCell ref="B274:B275"/>
    <mergeCell ref="B243:B244"/>
    <mergeCell ref="B596:B599"/>
    <mergeCell ref="A180:A193"/>
    <mergeCell ref="B95:B97"/>
    <mergeCell ref="B266:B268"/>
    <mergeCell ref="B622:B623"/>
    <mergeCell ref="B227:B229"/>
    <mergeCell ref="A433:A434"/>
    <mergeCell ref="A360:A363"/>
    <mergeCell ref="B308:B309"/>
    <mergeCell ref="B519:B522"/>
    <mergeCell ref="B373:B374"/>
    <mergeCell ref="B224:B226"/>
    <mergeCell ref="B453:B454"/>
    <mergeCell ref="B128:B131"/>
    <mergeCell ref="B593:B594"/>
    <mergeCell ref="B40:B43"/>
    <mergeCell ref="A341:A357"/>
    <mergeCell ref="B411:B415"/>
    <mergeCell ref="B323:B325"/>
    <mergeCell ref="B261:B263"/>
    <mergeCell ref="B503:B507"/>
    <mergeCell ref="B154:B155"/>
    <mergeCell ref="B512:B516"/>
    <mergeCell ref="B206:B207"/>
    <mergeCell ref="B617:B619"/>
    <mergeCell ref="B138:B139"/>
    <mergeCell ref="B251:B252"/>
    <mergeCell ref="B381:B383"/>
    <mergeCell ref="B465:B467"/>
    <mergeCell ref="A385:A402"/>
    <mergeCell ref="B529:B531"/>
    <mergeCell ref="B607:B610"/>
    <mergeCell ref="A238:A258"/>
    <mergeCell ref="B59:B60"/>
    <mergeCell ref="B264:B265"/>
  </mergeCells>
  <pageMargins left="0.7086614173228347" right="0.7086614173228347" top="0.7480314960629921" bottom="0.7480314960629921" header="0.3149606299212598" footer="0.3149606299212598"/>
  <pageSetup orientation="portrait" paperSize="9" scale="52" fitToHeight="12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Lenok</dc:creator>
  <dcterms:created xsi:type="dcterms:W3CDTF">2026-01-31T06:38:18Z</dcterms:created>
  <dcterms:modified xsi:type="dcterms:W3CDTF">2026-07-07T02:53:38Z</dcterms:modified>
  <cp:lastModifiedBy>Alexandr</cp:lastModifiedBy>
  <cp:lastPrinted>2026-04-22T12:43:34Z</cp:lastPrinted>
</cp:coreProperties>
</file>