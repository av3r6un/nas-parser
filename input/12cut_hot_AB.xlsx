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0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nas_parser\input\"/>
    </mc:Choice>
  </mc:AlternateContent>
  <xr:revisionPtr revIDLastSave="0" documentId="8_{F43569D7-2096-40EA-A778-7B86EF9BB3DB}" xr6:coauthVersionLast="45" xr6:coauthVersionMax="45" xr10:uidLastSave="{00000000-0000-0000-0000-000000000000}"/>
  <bookViews>
    <workbookView xWindow="-120" yWindow="-120" windowWidth="29040" windowHeight="15720" xr2:uid="{FE8A1F88-A6FE-4821-A352-2681F9029EA8}"/>
  </bookViews>
  <sheets>
    <sheet name="12 граней горячие АВ" sheetId="1" r:id="rId1"/>
  </sheets>
  <calcPr calcId="191029" refMode="R1C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E77" i="1" l="1"/>
  <c r="G77" i="1" s="1"/>
  <c r="G76" i="1"/>
  <c r="G75" i="1"/>
  <c r="G74" i="1"/>
  <c r="G73" i="1"/>
  <c r="G72" i="1"/>
  <c r="G71" i="1"/>
  <c r="F70" i="1"/>
  <c r="G70" i="1" s="1"/>
  <c r="G69" i="1"/>
  <c r="G68" i="1"/>
  <c r="G67" i="1"/>
  <c r="G66" i="1"/>
  <c r="F65" i="1"/>
  <c r="E65" i="1"/>
  <c r="G65" i="1" s="1"/>
  <c r="F64" i="1"/>
  <c r="G64" i="1" s="1"/>
  <c r="G63" i="1"/>
  <c r="G62" i="1"/>
  <c r="G61" i="1"/>
  <c r="G60" i="1"/>
  <c r="G59" i="1"/>
  <c r="G58" i="1"/>
  <c r="G57" i="1"/>
  <c r="F57" i="1"/>
  <c r="F56" i="1"/>
  <c r="E56" i="1"/>
  <c r="G56" i="1" s="1"/>
  <c r="F55" i="1"/>
  <c r="E55" i="1"/>
  <c r="G55" i="1" s="1"/>
  <c r="E54" i="1"/>
  <c r="G54" i="1" s="1"/>
  <c r="F53" i="1"/>
  <c r="E53" i="1"/>
  <c r="G53" i="1" s="1"/>
  <c r="F52" i="1"/>
  <c r="E52" i="1"/>
  <c r="G52" i="1" s="1"/>
  <c r="G51" i="1"/>
  <c r="F50" i="1"/>
  <c r="E50" i="1"/>
  <c r="G50" i="1" s="1"/>
  <c r="F49" i="1"/>
  <c r="E49" i="1"/>
  <c r="G49" i="1" s="1"/>
  <c r="G48" i="1"/>
  <c r="G47" i="1"/>
  <c r="F47" i="1"/>
  <c r="E47" i="1"/>
  <c r="G46" i="1"/>
  <c r="F45" i="1"/>
  <c r="E45" i="1"/>
  <c r="G45" i="1" s="1"/>
  <c r="G44" i="1"/>
  <c r="G43" i="1"/>
  <c r="G42" i="1"/>
  <c r="G41" i="1"/>
  <c r="G40" i="1"/>
  <c r="G39" i="1"/>
  <c r="F38" i="1"/>
  <c r="G38" i="1" s="1"/>
  <c r="G37" i="1"/>
  <c r="G36" i="1"/>
  <c r="G35" i="1"/>
  <c r="G34" i="1"/>
  <c r="F34" i="1"/>
  <c r="F33" i="1"/>
  <c r="G33" i="1" s="1"/>
  <c r="F32" i="1"/>
  <c r="G32" i="1" s="1"/>
  <c r="G31" i="1"/>
  <c r="F31" i="1"/>
  <c r="G30" i="1"/>
  <c r="E29" i="1"/>
  <c r="G29" i="1" s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</calcChain>
</file>

<file path=xl/sharedStrings.xml><?xml version="1.0" encoding="utf-8"?>
<sst xmlns="http://schemas.openxmlformats.org/spreadsheetml/2006/main" count="110" uniqueCount="44">
  <si>
    <t>12 граней горячая фиксация с эффектом АВ</t>
  </si>
  <si>
    <t>цвет</t>
  </si>
  <si>
    <t>размер</t>
  </si>
  <si>
    <t>штук в пачке</t>
  </si>
  <si>
    <t>цена продажи в руб</t>
  </si>
  <si>
    <t>всего шт пришло</t>
  </si>
  <si>
    <t>продано</t>
  </si>
  <si>
    <t>остаток на складе</t>
  </si>
  <si>
    <t>код цвета</t>
  </si>
  <si>
    <t xml:space="preserve">TOPAZ AB </t>
  </si>
  <si>
    <t>SS6</t>
  </si>
  <si>
    <t>008+</t>
  </si>
  <si>
    <t>SS8</t>
  </si>
  <si>
    <t>SS10</t>
  </si>
  <si>
    <t>SS12</t>
  </si>
  <si>
    <t>SS16</t>
  </si>
  <si>
    <t>SS20</t>
  </si>
  <si>
    <t xml:space="preserve">SAPPHIRE AB </t>
  </si>
  <si>
    <t>013+</t>
  </si>
  <si>
    <t xml:space="preserve">Indicolite AB </t>
  </si>
  <si>
    <t>014+</t>
  </si>
  <si>
    <t xml:space="preserve">LT.Peridot AB </t>
  </si>
  <si>
    <t>024+</t>
  </si>
  <si>
    <t>SS30</t>
  </si>
  <si>
    <t xml:space="preserve">Tanzanite AB </t>
  </si>
  <si>
    <t>028+</t>
  </si>
  <si>
    <t>FUCHSIA AB</t>
  </si>
  <si>
    <t>062</t>
  </si>
  <si>
    <t>PURPLE RED FANTASY BLUE</t>
  </si>
  <si>
    <t>SEFFAF AB</t>
  </si>
  <si>
    <t>SS3</t>
  </si>
  <si>
    <t>SS4</t>
  </si>
  <si>
    <t>NEON WHITE AB</t>
  </si>
  <si>
    <t>067+</t>
  </si>
  <si>
    <t>NEON PINK AB</t>
  </si>
  <si>
    <t>068+</t>
  </si>
  <si>
    <t>NEON PURPLE AB</t>
  </si>
  <si>
    <t>073+</t>
  </si>
  <si>
    <t>NEON YELLOW AB</t>
  </si>
  <si>
    <t>069+</t>
  </si>
  <si>
    <t>NOEN BLUE AB</t>
  </si>
  <si>
    <t>070+</t>
  </si>
  <si>
    <t>NEON GREEN AB</t>
  </si>
  <si>
    <t>071+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</si>
</sst>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204"/>
      <scheme val="minor"/>
    </font>
    <font>
      <b/>
      <sz val="12"/>
      <name val="Times New Roman"/>
      <family val="1"/>
      <charset val="204"/>
    </font>
    <font>
      <b/>
      <sz val="11"/>
      <color theme="1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name val="Times New Roman"/>
      <family val="1"/>
      <charset val="204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0" fontId="3" fillId="0" borderId="0" xfId="0" applyFont="1"/>
    <xf numFmtId="0" fontId="2" fillId="0" borderId="2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/>
    </xf>
    <xf numFmtId="0" fontId="3" fillId="0" borderId="5" xfId="0" applyFont="1" applyBorder="1"/>
    <xf numFmtId="0" fontId="3" fillId="0" borderId="8" xfId="0" applyFont="1" applyBorder="1" applyAlignment="1">
      <alignment horizontal="center" vertical="center" wrapText="1"/>
    </xf>
    <xf numFmtId="0" fontId="3" fillId="0" borderId="9" xfId="0" applyFont="1" applyBorder="1" applyAlignment="1">
      <alignment horizontal="center" vertical="center"/>
    </xf>
    <xf numFmtId="0" fontId="3" fillId="0" borderId="6" xfId="0" applyFont="1" applyBorder="1"/>
    <xf numFmtId="0" fontId="3" fillId="0" borderId="9" xfId="0" applyFont="1" applyBorder="1" applyAlignment="1">
      <alignment horizontal="center" vertical="center" wrapText="1"/>
    </xf>
    <xf numFmtId="0" fontId="3" fillId="0" borderId="3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/>
    </xf>
    <xf numFmtId="49" fontId="3" fillId="0" borderId="4" xfId="0" applyNumberFormat="1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4" xfId="0" applyFont="1" applyBorder="1"/>
    <xf numFmtId="0" fontId="3" fillId="0" borderId="4" xfId="0" applyFont="1" applyBorder="1" applyAlignment="1">
      <alignment wrapText="1"/>
    </xf>
    <xf numFmtId="0" fontId="3" fillId="0" borderId="3" xfId="0" applyFont="1" applyBorder="1"/>
    <xf numFmtId="0" fontId="3" fillId="0" borderId="10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94D41-D7EA-4C9D-9317-05AC2E91035C}">
  <sheetPr>
    <pageSetUpPr fitToPage="1"/>
  </sheetPr>
  <dimension ref="A1:H79"/>
  <sheetViews>
    <sheetView tabSelected="1" workbookViewId="0">
      <selection activeCell="F51" sqref="F51"/>
    </sheetView>
  </sheetViews>
  <sheetFormatPr defaultRowHeight="15" x14ac:dyDescent="0.25"/>
  <cols>
    <col min="1" max="1" width="20.42578125" customWidth="1"/>
    <col min="2" max="2" width="9.5703125" customWidth="1"/>
    <col min="3" max="3" width="11.42578125" customWidth="1"/>
    <col min="4" max="4" width="10.85546875" customWidth="1"/>
    <col min="5" max="6" width="9.85546875" customWidth="1"/>
    <col min="7" max="7" width="10.140625" customWidth="1"/>
  </cols>
  <sheetData>
    <row r="1" spans="1:8" ht="15.75" x14ac:dyDescent="0.25">
      <c r="A1" s="1" t="s">
        <v>0</v>
      </c>
      <c r="B1" s="1"/>
      <c r="C1" s="1"/>
      <c r="D1" s="1"/>
      <c r="E1" s="2"/>
      <c r="F1" s="2"/>
      <c r="G1" s="2"/>
      <c r="H1" s="3"/>
    </row>
    <row r="2" spans="1:8" ht="43.5" thickBot="1" x14ac:dyDescent="0.3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</row>
    <row r="3" spans="1:8" ht="15.75" customHeight="1" thickTop="1" thickBot="1" x14ac:dyDescent="0.3">
      <c r="A3" s="5" t="s">
        <v>9</v>
      </c>
      <c r="B3" s="6" t="s">
        <v>10</v>
      </c>
      <c r="C3" s="6">
        <v>1440</v>
      </c>
      <c r="D3" s="6">
        <v>221</v>
      </c>
      <c r="E3" s="6">
        <v>2</v>
      </c>
      <c r="F3" s="6"/>
      <c r="G3" s="6">
        <f t="shared" ref="G3:G36" si="0">E3-F3</f>
        <v>2</v>
      </c>
      <c r="H3" s="7" t="s">
        <v>11</v>
      </c>
    </row>
    <row r="4" spans="1:8" ht="16.5" thickTop="1" thickBot="1" x14ac:dyDescent="0.3">
      <c r="A4" s="8"/>
      <c r="B4" s="9" t="s">
        <v>12</v>
      </c>
      <c r="C4" s="9">
        <v>1440</v>
      </c>
      <c r="D4" s="9">
        <v>259</v>
      </c>
      <c r="E4" s="9">
        <v>2</v>
      </c>
      <c r="F4" s="9"/>
      <c r="G4" s="9">
        <f t="shared" si="0"/>
        <v>2</v>
      </c>
      <c r="H4" s="7"/>
    </row>
    <row r="5" spans="1:8" ht="16.5" thickTop="1" thickBot="1" x14ac:dyDescent="0.3">
      <c r="A5" s="8"/>
      <c r="B5" s="9" t="s">
        <v>13</v>
      </c>
      <c r="C5" s="9">
        <v>1440</v>
      </c>
      <c r="D5" s="9">
        <v>281</v>
      </c>
      <c r="E5" s="9">
        <v>2</v>
      </c>
      <c r="F5" s="9"/>
      <c r="G5" s="9">
        <f t="shared" si="0"/>
        <v>2</v>
      </c>
      <c r="H5" s="7"/>
    </row>
    <row r="6" spans="1:8" ht="16.5" thickTop="1" thickBot="1" x14ac:dyDescent="0.3">
      <c r="A6" s="8"/>
      <c r="B6" s="9" t="s">
        <v>14</v>
      </c>
      <c r="C6" s="9">
        <v>1440</v>
      </c>
      <c r="D6" s="9">
        <v>391</v>
      </c>
      <c r="E6" s="9">
        <v>2</v>
      </c>
      <c r="F6" s="9">
        <v>1</v>
      </c>
      <c r="G6" s="9">
        <f t="shared" si="0"/>
        <v>1</v>
      </c>
      <c r="H6" s="7"/>
    </row>
    <row r="7" spans="1:8" ht="16.5" thickTop="1" thickBot="1" x14ac:dyDescent="0.3">
      <c r="A7" s="8"/>
      <c r="B7" s="9" t="s">
        <v>15</v>
      </c>
      <c r="C7" s="9">
        <v>1440</v>
      </c>
      <c r="D7" s="9">
        <v>499</v>
      </c>
      <c r="E7" s="9">
        <v>1</v>
      </c>
      <c r="F7" s="9"/>
      <c r="G7" s="9">
        <f t="shared" si="0"/>
        <v>1</v>
      </c>
      <c r="H7" s="7"/>
    </row>
    <row r="8" spans="1:8" ht="16.5" thickTop="1" thickBot="1" x14ac:dyDescent="0.3">
      <c r="A8" s="10"/>
      <c r="B8" s="11" t="s">
        <v>16</v>
      </c>
      <c r="C8" s="11">
        <v>1440</v>
      </c>
      <c r="D8" s="11">
        <v>803</v>
      </c>
      <c r="E8" s="11">
        <v>1</v>
      </c>
      <c r="F8" s="11"/>
      <c r="G8" s="11">
        <f t="shared" si="0"/>
        <v>1</v>
      </c>
      <c r="H8" s="7"/>
    </row>
    <row r="9" spans="1:8" ht="16.5" thickTop="1" thickBot="1" x14ac:dyDescent="0.3">
      <c r="A9" s="5" t="s">
        <v>17</v>
      </c>
      <c r="B9" s="6" t="s">
        <v>10</v>
      </c>
      <c r="C9" s="6">
        <v>1440</v>
      </c>
      <c r="D9" s="6">
        <v>221</v>
      </c>
      <c r="E9" s="6">
        <v>1</v>
      </c>
      <c r="F9" s="6"/>
      <c r="G9" s="6">
        <f t="shared" si="0"/>
        <v>1</v>
      </c>
      <c r="H9" s="7" t="s">
        <v>18</v>
      </c>
    </row>
    <row r="10" spans="1:8" ht="16.5" thickTop="1" thickBot="1" x14ac:dyDescent="0.3">
      <c r="A10" s="8"/>
      <c r="B10" s="9" t="s">
        <v>12</v>
      </c>
      <c r="C10" s="9">
        <v>1440</v>
      </c>
      <c r="D10" s="9">
        <v>259</v>
      </c>
      <c r="E10" s="9">
        <v>1</v>
      </c>
      <c r="F10" s="9">
        <v>1</v>
      </c>
      <c r="G10" s="9">
        <f t="shared" si="0"/>
        <v>0</v>
      </c>
      <c r="H10" s="7"/>
    </row>
    <row r="11" spans="1:8" ht="16.5" thickTop="1" thickBot="1" x14ac:dyDescent="0.3">
      <c r="A11" s="8"/>
      <c r="B11" s="9" t="s">
        <v>13</v>
      </c>
      <c r="C11" s="9">
        <v>1440</v>
      </c>
      <c r="D11" s="9">
        <v>281</v>
      </c>
      <c r="E11" s="9">
        <v>1</v>
      </c>
      <c r="F11" s="9"/>
      <c r="G11" s="9">
        <f t="shared" si="0"/>
        <v>1</v>
      </c>
      <c r="H11" s="7"/>
    </row>
    <row r="12" spans="1:8" ht="16.5" thickTop="1" thickBot="1" x14ac:dyDescent="0.3">
      <c r="A12" s="8"/>
      <c r="B12" s="9" t="s">
        <v>14</v>
      </c>
      <c r="C12" s="9">
        <v>1440</v>
      </c>
      <c r="D12" s="9">
        <v>391</v>
      </c>
      <c r="E12" s="9">
        <v>1</v>
      </c>
      <c r="F12" s="9"/>
      <c r="G12" s="9">
        <f t="shared" si="0"/>
        <v>1</v>
      </c>
      <c r="H12" s="7"/>
    </row>
    <row r="13" spans="1:8" ht="16.5" thickTop="1" thickBot="1" x14ac:dyDescent="0.3">
      <c r="A13" s="8"/>
      <c r="B13" s="9" t="s">
        <v>15</v>
      </c>
      <c r="C13" s="9">
        <v>1440</v>
      </c>
      <c r="D13" s="9">
        <v>499</v>
      </c>
      <c r="E13" s="9">
        <v>1</v>
      </c>
      <c r="F13" s="9"/>
      <c r="G13" s="9">
        <f t="shared" si="0"/>
        <v>1</v>
      </c>
      <c r="H13" s="7"/>
    </row>
    <row r="14" spans="1:8" ht="16.5" thickTop="1" thickBot="1" x14ac:dyDescent="0.3">
      <c r="A14" s="10"/>
      <c r="B14" s="11" t="s">
        <v>16</v>
      </c>
      <c r="C14" s="11">
        <v>1440</v>
      </c>
      <c r="D14" s="11">
        <v>803</v>
      </c>
      <c r="E14" s="11">
        <v>1</v>
      </c>
      <c r="F14" s="11"/>
      <c r="G14" s="11">
        <f t="shared" si="0"/>
        <v>1</v>
      </c>
      <c r="H14" s="7"/>
    </row>
    <row r="15" spans="1:8" ht="16.5" thickTop="1" thickBot="1" x14ac:dyDescent="0.3">
      <c r="A15" s="5" t="s">
        <v>19</v>
      </c>
      <c r="B15" s="6" t="s">
        <v>10</v>
      </c>
      <c r="C15" s="6">
        <v>1440</v>
      </c>
      <c r="D15" s="6">
        <v>221</v>
      </c>
      <c r="E15" s="6">
        <v>1</v>
      </c>
      <c r="F15" s="6"/>
      <c r="G15" s="6">
        <f t="shared" si="0"/>
        <v>1</v>
      </c>
      <c r="H15" s="7" t="s">
        <v>20</v>
      </c>
    </row>
    <row r="16" spans="1:8" ht="16.5" thickTop="1" thickBot="1" x14ac:dyDescent="0.3">
      <c r="A16" s="8"/>
      <c r="B16" s="9" t="s">
        <v>12</v>
      </c>
      <c r="C16" s="9">
        <v>1440</v>
      </c>
      <c r="D16" s="9">
        <v>259</v>
      </c>
      <c r="E16" s="9">
        <v>1</v>
      </c>
      <c r="F16" s="9"/>
      <c r="G16" s="9">
        <f t="shared" si="0"/>
        <v>1</v>
      </c>
      <c r="H16" s="7"/>
    </row>
    <row r="17" spans="1:8" ht="16.5" thickTop="1" thickBot="1" x14ac:dyDescent="0.3">
      <c r="A17" s="8"/>
      <c r="B17" s="9" t="s">
        <v>13</v>
      </c>
      <c r="C17" s="9">
        <v>1440</v>
      </c>
      <c r="D17" s="9">
        <v>281</v>
      </c>
      <c r="E17" s="9">
        <v>2</v>
      </c>
      <c r="F17" s="9">
        <v>2</v>
      </c>
      <c r="G17" s="9">
        <f t="shared" si="0"/>
        <v>0</v>
      </c>
      <c r="H17" s="7"/>
    </row>
    <row r="18" spans="1:8" ht="16.5" thickTop="1" thickBot="1" x14ac:dyDescent="0.3">
      <c r="A18" s="8"/>
      <c r="B18" s="9" t="s">
        <v>14</v>
      </c>
      <c r="C18" s="9">
        <v>1440</v>
      </c>
      <c r="D18" s="9">
        <v>391</v>
      </c>
      <c r="E18" s="9">
        <v>1</v>
      </c>
      <c r="F18" s="9">
        <v>1</v>
      </c>
      <c r="G18" s="9">
        <f t="shared" si="0"/>
        <v>0</v>
      </c>
      <c r="H18" s="7"/>
    </row>
    <row r="19" spans="1:8" ht="16.5" thickTop="1" thickBot="1" x14ac:dyDescent="0.3">
      <c r="A19" s="8"/>
      <c r="B19" s="9" t="s">
        <v>15</v>
      </c>
      <c r="C19" s="9">
        <v>1440</v>
      </c>
      <c r="D19" s="9">
        <v>499</v>
      </c>
      <c r="E19" s="9">
        <v>1</v>
      </c>
      <c r="F19" s="9"/>
      <c r="G19" s="9">
        <f t="shared" si="0"/>
        <v>1</v>
      </c>
      <c r="H19" s="7"/>
    </row>
    <row r="20" spans="1:8" ht="16.5" thickTop="1" thickBot="1" x14ac:dyDescent="0.3">
      <c r="A20" s="10"/>
      <c r="B20" s="11" t="s">
        <v>16</v>
      </c>
      <c r="C20" s="11">
        <v>1440</v>
      </c>
      <c r="D20" s="11">
        <v>803</v>
      </c>
      <c r="E20" s="11">
        <v>1</v>
      </c>
      <c r="F20" s="11"/>
      <c r="G20" s="11">
        <f t="shared" si="0"/>
        <v>1</v>
      </c>
      <c r="H20" s="7"/>
    </row>
    <row r="21" spans="1:8" ht="16.5" thickTop="1" thickBot="1" x14ac:dyDescent="0.3">
      <c r="A21" s="5" t="s">
        <v>21</v>
      </c>
      <c r="B21" s="6" t="s">
        <v>10</v>
      </c>
      <c r="C21" s="6">
        <v>1440</v>
      </c>
      <c r="D21" s="6">
        <v>221</v>
      </c>
      <c r="E21" s="6">
        <v>2</v>
      </c>
      <c r="F21" s="6">
        <v>1</v>
      </c>
      <c r="G21" s="6">
        <f t="shared" si="0"/>
        <v>1</v>
      </c>
      <c r="H21" s="7" t="s">
        <v>22</v>
      </c>
    </row>
    <row r="22" spans="1:8" ht="16.5" thickTop="1" thickBot="1" x14ac:dyDescent="0.3">
      <c r="A22" s="8"/>
      <c r="B22" s="9" t="s">
        <v>12</v>
      </c>
      <c r="C22" s="9">
        <v>1440</v>
      </c>
      <c r="D22" s="9">
        <v>259</v>
      </c>
      <c r="E22" s="9">
        <v>2</v>
      </c>
      <c r="F22" s="9">
        <v>1</v>
      </c>
      <c r="G22" s="9">
        <f t="shared" si="0"/>
        <v>1</v>
      </c>
      <c r="H22" s="7"/>
    </row>
    <row r="23" spans="1:8" ht="16.5" thickTop="1" thickBot="1" x14ac:dyDescent="0.3">
      <c r="A23" s="8"/>
      <c r="B23" s="9" t="s">
        <v>13</v>
      </c>
      <c r="C23" s="9">
        <v>1440</v>
      </c>
      <c r="D23" s="9">
        <v>281</v>
      </c>
      <c r="E23" s="9">
        <v>2</v>
      </c>
      <c r="F23" s="9"/>
      <c r="G23" s="9">
        <f t="shared" si="0"/>
        <v>2</v>
      </c>
      <c r="H23" s="7"/>
    </row>
    <row r="24" spans="1:8" ht="16.5" thickTop="1" thickBot="1" x14ac:dyDescent="0.3">
      <c r="A24" s="8"/>
      <c r="B24" s="9" t="s">
        <v>14</v>
      </c>
      <c r="C24" s="9">
        <v>1440</v>
      </c>
      <c r="D24" s="9">
        <v>391</v>
      </c>
      <c r="E24" s="9">
        <v>2</v>
      </c>
      <c r="F24" s="9"/>
      <c r="G24" s="9">
        <f t="shared" si="0"/>
        <v>2</v>
      </c>
      <c r="H24" s="7"/>
    </row>
    <row r="25" spans="1:8" ht="16.5" thickTop="1" thickBot="1" x14ac:dyDescent="0.3">
      <c r="A25" s="8"/>
      <c r="B25" s="9" t="s">
        <v>15</v>
      </c>
      <c r="C25" s="9">
        <v>1440</v>
      </c>
      <c r="D25" s="9">
        <v>499</v>
      </c>
      <c r="E25" s="9">
        <v>1</v>
      </c>
      <c r="F25" s="9"/>
      <c r="G25" s="9">
        <f t="shared" si="0"/>
        <v>1</v>
      </c>
      <c r="H25" s="7"/>
    </row>
    <row r="26" spans="1:8" ht="16.5" thickTop="1" thickBot="1" x14ac:dyDescent="0.3">
      <c r="A26" s="8"/>
      <c r="B26" s="9" t="s">
        <v>16</v>
      </c>
      <c r="C26" s="9">
        <v>1440</v>
      </c>
      <c r="D26" s="9">
        <v>803</v>
      </c>
      <c r="E26" s="9">
        <v>1</v>
      </c>
      <c r="F26" s="9"/>
      <c r="G26" s="9">
        <f t="shared" si="0"/>
        <v>1</v>
      </c>
      <c r="H26" s="7"/>
    </row>
    <row r="27" spans="1:8" ht="16.5" thickTop="1" thickBot="1" x14ac:dyDescent="0.3">
      <c r="A27" s="10"/>
      <c r="B27" s="11" t="s">
        <v>23</v>
      </c>
      <c r="C27" s="11">
        <v>288</v>
      </c>
      <c r="D27" s="11">
        <v>471</v>
      </c>
      <c r="E27" s="11">
        <v>1</v>
      </c>
      <c r="F27" s="11"/>
      <c r="G27" s="11">
        <f t="shared" si="0"/>
        <v>1</v>
      </c>
      <c r="H27" s="7"/>
    </row>
    <row r="28" spans="1:8" ht="15.75" thickTop="1" x14ac:dyDescent="0.25">
      <c r="A28" s="12" t="s">
        <v>24</v>
      </c>
      <c r="B28" s="6" t="s">
        <v>15</v>
      </c>
      <c r="C28" s="6">
        <v>1440</v>
      </c>
      <c r="D28" s="6">
        <v>453</v>
      </c>
      <c r="E28" s="6">
        <v>5</v>
      </c>
      <c r="F28" s="6">
        <v>1</v>
      </c>
      <c r="G28" s="6">
        <f t="shared" si="0"/>
        <v>4</v>
      </c>
      <c r="H28" s="13" t="s">
        <v>25</v>
      </c>
    </row>
    <row r="29" spans="1:8" x14ac:dyDescent="0.25">
      <c r="A29" s="14"/>
      <c r="B29" s="9" t="s">
        <v>16</v>
      </c>
      <c r="C29" s="9">
        <v>1440</v>
      </c>
      <c r="D29" s="9">
        <v>726</v>
      </c>
      <c r="E29" s="9">
        <f>5+1</f>
        <v>6</v>
      </c>
      <c r="F29" s="15">
        <v>1</v>
      </c>
      <c r="G29" s="9">
        <f t="shared" si="0"/>
        <v>5</v>
      </c>
      <c r="H29" s="16"/>
    </row>
    <row r="30" spans="1:8" ht="15.75" thickBot="1" x14ac:dyDescent="0.3">
      <c r="A30" s="17"/>
      <c r="B30" s="11" t="s">
        <v>23</v>
      </c>
      <c r="C30" s="11">
        <v>288</v>
      </c>
      <c r="D30" s="11">
        <v>424</v>
      </c>
      <c r="E30" s="11">
        <v>5</v>
      </c>
      <c r="F30" s="18">
        <v>1</v>
      </c>
      <c r="G30" s="11">
        <f>E30-F30</f>
        <v>4</v>
      </c>
      <c r="H30" s="19"/>
    </row>
    <row r="31" spans="1:8" ht="16.5" thickTop="1" thickBot="1" x14ac:dyDescent="0.3">
      <c r="A31" s="12" t="s">
        <v>26</v>
      </c>
      <c r="B31" s="6" t="s">
        <v>10</v>
      </c>
      <c r="C31" s="20">
        <v>1440</v>
      </c>
      <c r="D31" s="6">
        <v>369</v>
      </c>
      <c r="E31" s="21">
        <v>50</v>
      </c>
      <c r="F31" s="20">
        <f>1+1+1</f>
        <v>3</v>
      </c>
      <c r="G31" s="6">
        <f t="shared" si="0"/>
        <v>47</v>
      </c>
      <c r="H31" s="22" t="s">
        <v>27</v>
      </c>
    </row>
    <row r="32" spans="1:8" ht="16.5" thickTop="1" thickBot="1" x14ac:dyDescent="0.3">
      <c r="A32" s="14"/>
      <c r="B32" s="9" t="s">
        <v>13</v>
      </c>
      <c r="C32" s="23">
        <v>1440</v>
      </c>
      <c r="D32" s="9">
        <v>545</v>
      </c>
      <c r="E32" s="24">
        <v>20</v>
      </c>
      <c r="F32" s="23">
        <f>1+1+1+1</f>
        <v>4</v>
      </c>
      <c r="G32" s="9">
        <f t="shared" si="0"/>
        <v>16</v>
      </c>
      <c r="H32" s="22"/>
    </row>
    <row r="33" spans="1:8" ht="16.5" thickTop="1" thickBot="1" x14ac:dyDescent="0.3">
      <c r="A33" s="14"/>
      <c r="B33" s="9" t="s">
        <v>14</v>
      </c>
      <c r="C33" s="23">
        <v>1440</v>
      </c>
      <c r="D33" s="9">
        <v>749</v>
      </c>
      <c r="E33" s="24">
        <v>30</v>
      </c>
      <c r="F33" s="23">
        <f>1+1</f>
        <v>2</v>
      </c>
      <c r="G33" s="9">
        <f t="shared" si="0"/>
        <v>28</v>
      </c>
      <c r="H33" s="22"/>
    </row>
    <row r="34" spans="1:8" ht="16.5" thickTop="1" thickBot="1" x14ac:dyDescent="0.3">
      <c r="A34" s="17"/>
      <c r="B34" s="11" t="s">
        <v>16</v>
      </c>
      <c r="C34" s="25">
        <v>1440</v>
      </c>
      <c r="D34" s="11">
        <v>1513</v>
      </c>
      <c r="E34" s="26">
        <v>30</v>
      </c>
      <c r="F34" s="25">
        <f>1+1</f>
        <v>2</v>
      </c>
      <c r="G34" s="11">
        <f t="shared" si="0"/>
        <v>28</v>
      </c>
      <c r="H34" s="22"/>
    </row>
    <row r="35" spans="1:8" ht="31.5" thickTop="1" thickBot="1" x14ac:dyDescent="0.3">
      <c r="A35" s="27" t="s">
        <v>28</v>
      </c>
      <c r="B35" s="28" t="s">
        <v>16</v>
      </c>
      <c r="C35" s="28">
        <v>1440</v>
      </c>
      <c r="D35" s="29">
        <v>628</v>
      </c>
      <c r="E35" s="28">
        <v>1</v>
      </c>
      <c r="F35" s="30"/>
      <c r="G35" s="28">
        <f t="shared" si="0"/>
        <v>1</v>
      </c>
      <c r="H35" s="31"/>
    </row>
    <row r="36" spans="1:8" ht="16.5" thickTop="1" thickBot="1" x14ac:dyDescent="0.3">
      <c r="A36" s="12" t="s">
        <v>29</v>
      </c>
      <c r="B36" s="6" t="s">
        <v>30</v>
      </c>
      <c r="C36" s="20">
        <v>1440</v>
      </c>
      <c r="D36" s="6">
        <v>166</v>
      </c>
      <c r="E36" s="20">
        <v>47</v>
      </c>
      <c r="F36" s="32"/>
      <c r="G36" s="6">
        <f t="shared" si="0"/>
        <v>47</v>
      </c>
      <c r="H36" s="7">
        <v>110</v>
      </c>
    </row>
    <row r="37" spans="1:8" ht="16.5" thickTop="1" thickBot="1" x14ac:dyDescent="0.3">
      <c r="A37" s="17"/>
      <c r="B37" s="11" t="s">
        <v>31</v>
      </c>
      <c r="C37" s="11">
        <v>1440</v>
      </c>
      <c r="D37" s="11">
        <v>166</v>
      </c>
      <c r="E37" s="11">
        <v>40</v>
      </c>
      <c r="F37" s="18"/>
      <c r="G37" s="11">
        <f>E37-F37</f>
        <v>40</v>
      </c>
      <c r="H37" s="7"/>
    </row>
    <row r="38" spans="1:8" ht="16.5" thickTop="1" thickBot="1" x14ac:dyDescent="0.3">
      <c r="A38" s="5" t="s">
        <v>32</v>
      </c>
      <c r="B38" s="6" t="s">
        <v>10</v>
      </c>
      <c r="C38" s="6">
        <v>1440</v>
      </c>
      <c r="D38" s="6">
        <v>319</v>
      </c>
      <c r="E38" s="6">
        <v>20</v>
      </c>
      <c r="F38" s="32">
        <f>2+1+3+1+1+1+1+2</f>
        <v>12</v>
      </c>
      <c r="G38" s="6">
        <f t="shared" ref="G38:G77" si="1">E38-F38</f>
        <v>8</v>
      </c>
      <c r="H38" s="7" t="s">
        <v>33</v>
      </c>
    </row>
    <row r="39" spans="1:8" ht="16.5" thickTop="1" thickBot="1" x14ac:dyDescent="0.3">
      <c r="A39" s="8"/>
      <c r="B39" s="9" t="s">
        <v>12</v>
      </c>
      <c r="C39" s="9">
        <v>1440</v>
      </c>
      <c r="D39" s="9">
        <v>413</v>
      </c>
      <c r="E39" s="9">
        <v>20</v>
      </c>
      <c r="F39" s="15"/>
      <c r="G39" s="9">
        <f t="shared" si="1"/>
        <v>20</v>
      </c>
      <c r="H39" s="7"/>
    </row>
    <row r="40" spans="1:8" ht="16.5" thickTop="1" thickBot="1" x14ac:dyDescent="0.3">
      <c r="A40" s="8"/>
      <c r="B40" s="9" t="s">
        <v>13</v>
      </c>
      <c r="C40" s="9">
        <v>1440</v>
      </c>
      <c r="D40" s="9">
        <v>457</v>
      </c>
      <c r="E40" s="9">
        <v>20</v>
      </c>
      <c r="F40" s="15">
        <v>1</v>
      </c>
      <c r="G40" s="9">
        <f t="shared" si="1"/>
        <v>19</v>
      </c>
      <c r="H40" s="7"/>
    </row>
    <row r="41" spans="1:8" ht="16.5" thickTop="1" thickBot="1" x14ac:dyDescent="0.3">
      <c r="A41" s="8"/>
      <c r="B41" s="9" t="s">
        <v>14</v>
      </c>
      <c r="C41" s="9">
        <v>1440</v>
      </c>
      <c r="D41" s="9">
        <v>558</v>
      </c>
      <c r="E41" s="9">
        <v>20</v>
      </c>
      <c r="F41" s="15"/>
      <c r="G41" s="9">
        <f t="shared" si="1"/>
        <v>20</v>
      </c>
      <c r="H41" s="7"/>
    </row>
    <row r="42" spans="1:8" ht="16.5" thickTop="1" thickBot="1" x14ac:dyDescent="0.3">
      <c r="A42" s="8"/>
      <c r="B42" s="9" t="s">
        <v>15</v>
      </c>
      <c r="C42" s="9">
        <v>1440</v>
      </c>
      <c r="D42" s="9">
        <v>803</v>
      </c>
      <c r="E42" s="9">
        <v>20</v>
      </c>
      <c r="F42" s="15"/>
      <c r="G42" s="9">
        <f t="shared" si="1"/>
        <v>20</v>
      </c>
      <c r="H42" s="7"/>
    </row>
    <row r="43" spans="1:8" ht="16.5" thickTop="1" thickBot="1" x14ac:dyDescent="0.3">
      <c r="A43" s="8"/>
      <c r="B43" s="9" t="s">
        <v>16</v>
      </c>
      <c r="C43" s="9">
        <v>1440</v>
      </c>
      <c r="D43" s="9">
        <v>969</v>
      </c>
      <c r="E43" s="9">
        <v>14</v>
      </c>
      <c r="F43" s="9"/>
      <c r="G43" s="9">
        <f t="shared" si="1"/>
        <v>14</v>
      </c>
      <c r="H43" s="7"/>
    </row>
    <row r="44" spans="1:8" ht="16.5" thickTop="1" thickBot="1" x14ac:dyDescent="0.3">
      <c r="A44" s="10"/>
      <c r="B44" s="11" t="s">
        <v>23</v>
      </c>
      <c r="C44" s="11">
        <v>288</v>
      </c>
      <c r="D44" s="11">
        <v>773</v>
      </c>
      <c r="E44" s="11">
        <v>19</v>
      </c>
      <c r="F44" s="11"/>
      <c r="G44" s="11">
        <f t="shared" si="1"/>
        <v>19</v>
      </c>
      <c r="H44" s="7"/>
    </row>
    <row r="45" spans="1:8" ht="16.5" thickTop="1" thickBot="1" x14ac:dyDescent="0.3">
      <c r="A45" s="12" t="s">
        <v>34</v>
      </c>
      <c r="B45" s="6" t="s">
        <v>10</v>
      </c>
      <c r="C45" s="6">
        <v>1440</v>
      </c>
      <c r="D45" s="6">
        <v>319</v>
      </c>
      <c r="E45" s="6">
        <f>10+20</f>
        <v>30</v>
      </c>
      <c r="F45" s="6">
        <f>1+1+1+2+2+1+5+2+1+1+1+1</f>
        <v>19</v>
      </c>
      <c r="G45" s="6">
        <f t="shared" si="1"/>
        <v>11</v>
      </c>
      <c r="H45" s="7" t="s">
        <v>35</v>
      </c>
    </row>
    <row r="46" spans="1:8" ht="16.5" thickTop="1" thickBot="1" x14ac:dyDescent="0.3">
      <c r="A46" s="14"/>
      <c r="B46" s="33" t="s">
        <v>12</v>
      </c>
      <c r="C46" s="33">
        <v>1440</v>
      </c>
      <c r="D46" s="33">
        <v>400</v>
      </c>
      <c r="E46" s="33">
        <v>10</v>
      </c>
      <c r="F46" s="33"/>
      <c r="G46" s="33">
        <f>E46-F46</f>
        <v>10</v>
      </c>
      <c r="H46" s="7"/>
    </row>
    <row r="47" spans="1:8" ht="16.5" thickTop="1" thickBot="1" x14ac:dyDescent="0.3">
      <c r="A47" s="14"/>
      <c r="B47" s="9" t="s">
        <v>13</v>
      </c>
      <c r="C47" s="9">
        <v>1440</v>
      </c>
      <c r="D47" s="9">
        <v>457</v>
      </c>
      <c r="E47" s="9">
        <f>10+20</f>
        <v>30</v>
      </c>
      <c r="F47" s="9">
        <f>1+1+1+1+1+1+1+1+1</f>
        <v>9</v>
      </c>
      <c r="G47" s="9">
        <f t="shared" si="1"/>
        <v>21</v>
      </c>
      <c r="H47" s="7"/>
    </row>
    <row r="48" spans="1:8" ht="16.5" thickTop="1" thickBot="1" x14ac:dyDescent="0.3">
      <c r="A48" s="14"/>
      <c r="B48" s="9" t="s">
        <v>14</v>
      </c>
      <c r="C48" s="9">
        <v>1440</v>
      </c>
      <c r="D48" s="9">
        <v>601</v>
      </c>
      <c r="E48" s="9">
        <v>10</v>
      </c>
      <c r="F48" s="9"/>
      <c r="G48" s="9">
        <f t="shared" si="1"/>
        <v>10</v>
      </c>
      <c r="H48" s="7"/>
    </row>
    <row r="49" spans="1:8" ht="16.5" thickTop="1" thickBot="1" x14ac:dyDescent="0.3">
      <c r="A49" s="14"/>
      <c r="B49" s="9" t="s">
        <v>15</v>
      </c>
      <c r="C49" s="9">
        <v>1440</v>
      </c>
      <c r="D49" s="9">
        <v>802</v>
      </c>
      <c r="E49" s="9">
        <f>10+20</f>
        <v>30</v>
      </c>
      <c r="F49" s="9">
        <f>1+1+2+1+1+1+1+1+1+1</f>
        <v>11</v>
      </c>
      <c r="G49" s="9">
        <f t="shared" si="1"/>
        <v>19</v>
      </c>
      <c r="H49" s="7"/>
    </row>
    <row r="50" spans="1:8" ht="16.5" thickTop="1" thickBot="1" x14ac:dyDescent="0.3">
      <c r="A50" s="14"/>
      <c r="B50" s="9" t="s">
        <v>16</v>
      </c>
      <c r="C50" s="9">
        <v>1440</v>
      </c>
      <c r="D50" s="9">
        <v>1023</v>
      </c>
      <c r="E50" s="9">
        <f>10+11</f>
        <v>21</v>
      </c>
      <c r="F50" s="9">
        <f>1+1+1+7+1+1</f>
        <v>12</v>
      </c>
      <c r="G50" s="9">
        <f t="shared" si="1"/>
        <v>9</v>
      </c>
      <c r="H50" s="7"/>
    </row>
    <row r="51" spans="1:8" ht="16.5" thickTop="1" thickBot="1" x14ac:dyDescent="0.3">
      <c r="A51" s="14"/>
      <c r="B51" s="34" t="s">
        <v>23</v>
      </c>
      <c r="C51" s="34">
        <v>288</v>
      </c>
      <c r="D51" s="34">
        <v>773</v>
      </c>
      <c r="E51" s="34">
        <v>20</v>
      </c>
      <c r="F51" s="34">
        <v>1</v>
      </c>
      <c r="G51" s="34">
        <f t="shared" si="1"/>
        <v>19</v>
      </c>
      <c r="H51" s="7"/>
    </row>
    <row r="52" spans="1:8" ht="16.5" thickTop="1" thickBot="1" x14ac:dyDescent="0.3">
      <c r="A52" s="5" t="s">
        <v>36</v>
      </c>
      <c r="B52" s="6" t="s">
        <v>12</v>
      </c>
      <c r="C52" s="6">
        <v>1440</v>
      </c>
      <c r="D52" s="6">
        <v>413</v>
      </c>
      <c r="E52" s="6">
        <f>10+20</f>
        <v>30</v>
      </c>
      <c r="F52" s="6">
        <f>1+1+3+1</f>
        <v>6</v>
      </c>
      <c r="G52" s="6">
        <f t="shared" si="1"/>
        <v>24</v>
      </c>
      <c r="H52" s="7" t="s">
        <v>37</v>
      </c>
    </row>
    <row r="53" spans="1:8" ht="16.5" thickTop="1" thickBot="1" x14ac:dyDescent="0.3">
      <c r="A53" s="8"/>
      <c r="B53" s="9" t="s">
        <v>13</v>
      </c>
      <c r="C53" s="9">
        <v>1440</v>
      </c>
      <c r="D53" s="9">
        <v>468</v>
      </c>
      <c r="E53" s="9">
        <f>10+20</f>
        <v>30</v>
      </c>
      <c r="F53" s="9">
        <f>1+1+1+1</f>
        <v>4</v>
      </c>
      <c r="G53" s="9">
        <f t="shared" si="1"/>
        <v>26</v>
      </c>
      <c r="H53" s="7"/>
    </row>
    <row r="54" spans="1:8" ht="16.5" thickTop="1" thickBot="1" x14ac:dyDescent="0.3">
      <c r="A54" s="8"/>
      <c r="B54" s="9" t="s">
        <v>14</v>
      </c>
      <c r="C54" s="9">
        <v>1440</v>
      </c>
      <c r="D54" s="9">
        <v>558</v>
      </c>
      <c r="E54" s="9">
        <f>10+20</f>
        <v>30</v>
      </c>
      <c r="F54" s="9">
        <v>1</v>
      </c>
      <c r="G54" s="9">
        <f t="shared" si="1"/>
        <v>29</v>
      </c>
      <c r="H54" s="7"/>
    </row>
    <row r="55" spans="1:8" ht="16.5" thickTop="1" thickBot="1" x14ac:dyDescent="0.3">
      <c r="A55" s="8"/>
      <c r="B55" s="9" t="s">
        <v>15</v>
      </c>
      <c r="C55" s="9">
        <v>1440</v>
      </c>
      <c r="D55" s="9">
        <v>803</v>
      </c>
      <c r="E55" s="9">
        <f>10+20</f>
        <v>30</v>
      </c>
      <c r="F55" s="9">
        <f>1+1+1</f>
        <v>3</v>
      </c>
      <c r="G55" s="9">
        <f t="shared" si="1"/>
        <v>27</v>
      </c>
      <c r="H55" s="7"/>
    </row>
    <row r="56" spans="1:8" ht="16.5" thickTop="1" thickBot="1" x14ac:dyDescent="0.3">
      <c r="A56" s="10"/>
      <c r="B56" s="11" t="s">
        <v>16</v>
      </c>
      <c r="C56" s="11">
        <v>1440</v>
      </c>
      <c r="D56" s="11">
        <v>1023</v>
      </c>
      <c r="E56" s="11">
        <f>10+11</f>
        <v>21</v>
      </c>
      <c r="F56" s="11">
        <f>1+1</f>
        <v>2</v>
      </c>
      <c r="G56" s="11">
        <f t="shared" si="1"/>
        <v>19</v>
      </c>
      <c r="H56" s="7"/>
    </row>
    <row r="57" spans="1:8" ht="16.5" thickTop="1" thickBot="1" x14ac:dyDescent="0.3">
      <c r="A57" s="12" t="s">
        <v>38</v>
      </c>
      <c r="B57" s="6" t="s">
        <v>10</v>
      </c>
      <c r="C57" s="6">
        <v>1440</v>
      </c>
      <c r="D57" s="6">
        <v>319</v>
      </c>
      <c r="E57" s="6">
        <v>20</v>
      </c>
      <c r="F57" s="6">
        <f>1+1</f>
        <v>2</v>
      </c>
      <c r="G57" s="6">
        <f t="shared" si="1"/>
        <v>18</v>
      </c>
      <c r="H57" s="7" t="s">
        <v>39</v>
      </c>
    </row>
    <row r="58" spans="1:8" ht="16.5" thickTop="1" thickBot="1" x14ac:dyDescent="0.3">
      <c r="A58" s="14"/>
      <c r="B58" s="9" t="s">
        <v>12</v>
      </c>
      <c r="C58" s="9">
        <v>1440</v>
      </c>
      <c r="D58" s="9">
        <v>413</v>
      </c>
      <c r="E58" s="9">
        <v>20</v>
      </c>
      <c r="F58" s="9"/>
      <c r="G58" s="9">
        <f t="shared" si="1"/>
        <v>20</v>
      </c>
      <c r="H58" s="7"/>
    </row>
    <row r="59" spans="1:8" ht="16.5" thickTop="1" thickBot="1" x14ac:dyDescent="0.3">
      <c r="A59" s="14"/>
      <c r="B59" s="9" t="s">
        <v>13</v>
      </c>
      <c r="C59" s="9">
        <v>1440</v>
      </c>
      <c r="D59" s="9">
        <v>457</v>
      </c>
      <c r="E59" s="9">
        <v>20</v>
      </c>
      <c r="F59" s="9"/>
      <c r="G59" s="9">
        <f t="shared" si="1"/>
        <v>20</v>
      </c>
      <c r="H59" s="7"/>
    </row>
    <row r="60" spans="1:8" ht="16.5" thickTop="1" thickBot="1" x14ac:dyDescent="0.3">
      <c r="A60" s="14"/>
      <c r="B60" s="9" t="s">
        <v>14</v>
      </c>
      <c r="C60" s="9">
        <v>1440</v>
      </c>
      <c r="D60" s="9">
        <v>558</v>
      </c>
      <c r="E60" s="9">
        <v>20</v>
      </c>
      <c r="F60" s="9"/>
      <c r="G60" s="9">
        <f t="shared" si="1"/>
        <v>20</v>
      </c>
      <c r="H60" s="7"/>
    </row>
    <row r="61" spans="1:8" ht="16.5" thickTop="1" thickBot="1" x14ac:dyDescent="0.3">
      <c r="A61" s="14"/>
      <c r="B61" s="24" t="s">
        <v>15</v>
      </c>
      <c r="C61" s="9">
        <v>1440</v>
      </c>
      <c r="D61" s="9">
        <v>803</v>
      </c>
      <c r="E61" s="9">
        <v>20</v>
      </c>
      <c r="F61" s="9"/>
      <c r="G61" s="9">
        <f t="shared" si="1"/>
        <v>20</v>
      </c>
      <c r="H61" s="7"/>
    </row>
    <row r="62" spans="1:8" ht="16.5" thickTop="1" thickBot="1" x14ac:dyDescent="0.3">
      <c r="A62" s="14"/>
      <c r="B62" s="9" t="s">
        <v>16</v>
      </c>
      <c r="C62" s="9">
        <v>1440</v>
      </c>
      <c r="D62" s="9">
        <v>1023</v>
      </c>
      <c r="E62" s="9">
        <v>19</v>
      </c>
      <c r="F62" s="9">
        <v>1</v>
      </c>
      <c r="G62" s="9">
        <f t="shared" si="1"/>
        <v>18</v>
      </c>
      <c r="H62" s="7"/>
    </row>
    <row r="63" spans="1:8" ht="16.5" thickTop="1" thickBot="1" x14ac:dyDescent="0.3">
      <c r="A63" s="17"/>
      <c r="B63" s="11" t="s">
        <v>23</v>
      </c>
      <c r="C63" s="11">
        <v>288</v>
      </c>
      <c r="D63" s="11">
        <v>773</v>
      </c>
      <c r="E63" s="11">
        <v>20</v>
      </c>
      <c r="F63" s="11"/>
      <c r="G63" s="11">
        <f t="shared" si="1"/>
        <v>20</v>
      </c>
      <c r="H63" s="7"/>
    </row>
    <row r="64" spans="1:8" ht="16.5" thickTop="1" thickBot="1" x14ac:dyDescent="0.3">
      <c r="A64" s="12" t="s">
        <v>40</v>
      </c>
      <c r="B64" s="6" t="s">
        <v>10</v>
      </c>
      <c r="C64" s="6">
        <v>1440</v>
      </c>
      <c r="D64" s="6">
        <v>319</v>
      </c>
      <c r="E64" s="6">
        <v>20</v>
      </c>
      <c r="F64" s="6">
        <f>1+1+1+1+1</f>
        <v>5</v>
      </c>
      <c r="G64" s="33">
        <f t="shared" si="1"/>
        <v>15</v>
      </c>
      <c r="H64" s="7" t="s">
        <v>41</v>
      </c>
    </row>
    <row r="65" spans="1:8" ht="16.5" thickTop="1" thickBot="1" x14ac:dyDescent="0.3">
      <c r="A65" s="14"/>
      <c r="B65" s="9" t="s">
        <v>12</v>
      </c>
      <c r="C65" s="9">
        <v>1440</v>
      </c>
      <c r="D65" s="9">
        <v>413</v>
      </c>
      <c r="E65" s="9">
        <f>20</f>
        <v>20</v>
      </c>
      <c r="F65" s="9">
        <f>1+1</f>
        <v>2</v>
      </c>
      <c r="G65" s="9">
        <f t="shared" si="1"/>
        <v>18</v>
      </c>
      <c r="H65" s="7"/>
    </row>
    <row r="66" spans="1:8" ht="16.5" thickTop="1" thickBot="1" x14ac:dyDescent="0.3">
      <c r="A66" s="14"/>
      <c r="B66" s="9" t="s">
        <v>13</v>
      </c>
      <c r="C66" s="9">
        <v>1440</v>
      </c>
      <c r="D66" s="9">
        <v>457</v>
      </c>
      <c r="E66" s="9">
        <v>20</v>
      </c>
      <c r="F66" s="9">
        <v>1</v>
      </c>
      <c r="G66" s="9">
        <f t="shared" si="1"/>
        <v>19</v>
      </c>
      <c r="H66" s="7"/>
    </row>
    <row r="67" spans="1:8" ht="16.5" thickTop="1" thickBot="1" x14ac:dyDescent="0.3">
      <c r="A67" s="14"/>
      <c r="B67" s="9" t="s">
        <v>14</v>
      </c>
      <c r="C67" s="9">
        <v>1440</v>
      </c>
      <c r="D67" s="9">
        <v>558</v>
      </c>
      <c r="E67" s="9">
        <v>20</v>
      </c>
      <c r="F67" s="9">
        <v>1</v>
      </c>
      <c r="G67" s="9">
        <f t="shared" si="1"/>
        <v>19</v>
      </c>
      <c r="H67" s="7"/>
    </row>
    <row r="68" spans="1:8" ht="16.5" thickTop="1" thickBot="1" x14ac:dyDescent="0.3">
      <c r="A68" s="14"/>
      <c r="B68" s="9" t="s">
        <v>15</v>
      </c>
      <c r="C68" s="9">
        <v>1440</v>
      </c>
      <c r="D68" s="9">
        <v>803</v>
      </c>
      <c r="E68" s="9">
        <v>19</v>
      </c>
      <c r="F68" s="9">
        <v>1</v>
      </c>
      <c r="G68" s="9">
        <f t="shared" si="1"/>
        <v>18</v>
      </c>
      <c r="H68" s="7"/>
    </row>
    <row r="69" spans="1:8" ht="16.5" thickTop="1" thickBot="1" x14ac:dyDescent="0.3">
      <c r="A69" s="14"/>
      <c r="B69" s="9" t="s">
        <v>16</v>
      </c>
      <c r="C69" s="9">
        <v>1440</v>
      </c>
      <c r="D69" s="9">
        <v>1023</v>
      </c>
      <c r="E69" s="9">
        <v>19</v>
      </c>
      <c r="F69" s="9">
        <v>1</v>
      </c>
      <c r="G69" s="9">
        <f t="shared" si="1"/>
        <v>18</v>
      </c>
      <c r="H69" s="7"/>
    </row>
    <row r="70" spans="1:8" ht="16.5" thickTop="1" thickBot="1" x14ac:dyDescent="0.3">
      <c r="A70" s="17"/>
      <c r="B70" s="11" t="s">
        <v>23</v>
      </c>
      <c r="C70" s="11">
        <v>288</v>
      </c>
      <c r="D70" s="11">
        <v>773</v>
      </c>
      <c r="E70" s="11">
        <v>20</v>
      </c>
      <c r="F70" s="11">
        <f>1+1</f>
        <v>2</v>
      </c>
      <c r="G70" s="11">
        <f t="shared" si="1"/>
        <v>18</v>
      </c>
      <c r="H70" s="7"/>
    </row>
    <row r="71" spans="1:8" ht="16.5" thickTop="1" thickBot="1" x14ac:dyDescent="0.3">
      <c r="A71" s="5" t="s">
        <v>42</v>
      </c>
      <c r="B71" s="6" t="s">
        <v>10</v>
      </c>
      <c r="C71" s="6">
        <v>1440</v>
      </c>
      <c r="D71" s="6">
        <v>319</v>
      </c>
      <c r="E71" s="6">
        <v>19</v>
      </c>
      <c r="F71" s="6">
        <v>2</v>
      </c>
      <c r="G71" s="6">
        <f t="shared" si="1"/>
        <v>17</v>
      </c>
      <c r="H71" s="7" t="s">
        <v>43</v>
      </c>
    </row>
    <row r="72" spans="1:8" ht="16.5" thickTop="1" thickBot="1" x14ac:dyDescent="0.3">
      <c r="A72" s="35"/>
      <c r="B72" s="9" t="s">
        <v>12</v>
      </c>
      <c r="C72" s="9">
        <v>1440</v>
      </c>
      <c r="D72" s="33">
        <v>413</v>
      </c>
      <c r="E72" s="33">
        <v>21</v>
      </c>
      <c r="F72" s="33"/>
      <c r="G72" s="33">
        <f t="shared" si="1"/>
        <v>21</v>
      </c>
      <c r="H72" s="7"/>
    </row>
    <row r="73" spans="1:8" ht="16.5" thickTop="1" thickBot="1" x14ac:dyDescent="0.3">
      <c r="A73" s="8"/>
      <c r="B73" s="9" t="s">
        <v>13</v>
      </c>
      <c r="C73" s="9">
        <v>1440</v>
      </c>
      <c r="D73" s="9">
        <v>457</v>
      </c>
      <c r="E73" s="9">
        <v>20</v>
      </c>
      <c r="F73" s="9"/>
      <c r="G73" s="9">
        <f t="shared" si="1"/>
        <v>20</v>
      </c>
      <c r="H73" s="7"/>
    </row>
    <row r="74" spans="1:8" ht="16.5" thickTop="1" thickBot="1" x14ac:dyDescent="0.3">
      <c r="A74" s="8"/>
      <c r="B74" s="9" t="s">
        <v>14</v>
      </c>
      <c r="C74" s="9">
        <v>1440</v>
      </c>
      <c r="D74" s="9">
        <v>558</v>
      </c>
      <c r="E74" s="9">
        <v>20</v>
      </c>
      <c r="F74" s="9"/>
      <c r="G74" s="9">
        <f t="shared" si="1"/>
        <v>20</v>
      </c>
      <c r="H74" s="7"/>
    </row>
    <row r="75" spans="1:8" ht="16.5" thickTop="1" thickBot="1" x14ac:dyDescent="0.3">
      <c r="A75" s="8"/>
      <c r="B75" s="9" t="s">
        <v>15</v>
      </c>
      <c r="C75" s="9">
        <v>1440</v>
      </c>
      <c r="D75" s="9">
        <v>803</v>
      </c>
      <c r="E75" s="9">
        <v>20</v>
      </c>
      <c r="F75" s="9"/>
      <c r="G75" s="9">
        <f t="shared" si="1"/>
        <v>20</v>
      </c>
      <c r="H75" s="7"/>
    </row>
    <row r="76" spans="1:8" ht="16.5" thickTop="1" thickBot="1" x14ac:dyDescent="0.3">
      <c r="A76" s="8"/>
      <c r="B76" s="9" t="s">
        <v>16</v>
      </c>
      <c r="C76" s="9">
        <v>1440</v>
      </c>
      <c r="D76" s="9">
        <v>1023</v>
      </c>
      <c r="E76" s="9">
        <v>19</v>
      </c>
      <c r="F76" s="9"/>
      <c r="G76" s="9">
        <f t="shared" si="1"/>
        <v>19</v>
      </c>
      <c r="H76" s="7"/>
    </row>
    <row r="77" spans="1:8" ht="16.5" thickTop="1" thickBot="1" x14ac:dyDescent="0.3">
      <c r="A77" s="10"/>
      <c r="B77" s="11" t="s">
        <v>23</v>
      </c>
      <c r="C77" s="11">
        <v>288</v>
      </c>
      <c r="D77" s="11">
        <v>773</v>
      </c>
      <c r="E77" s="11">
        <f>10+10</f>
        <v>20</v>
      </c>
      <c r="F77" s="11"/>
      <c r="G77" s="11">
        <f t="shared" si="1"/>
        <v>20</v>
      </c>
      <c r="H77" s="7"/>
    </row>
    <row r="78" spans="1:8" ht="15.75" thickTop="1" x14ac:dyDescent="0.25">
      <c r="A78" s="3"/>
      <c r="B78" s="3"/>
      <c r="C78" s="3"/>
      <c r="D78" s="3"/>
      <c r="E78" s="3"/>
      <c r="F78" s="3"/>
      <c r="G78" s="3"/>
      <c r="H78" s="3"/>
    </row>
    <row r="79" spans="1:8" x14ac:dyDescent="0.25">
      <c r="A79" s="3"/>
      <c r="B79" s="3"/>
      <c r="C79" s="3"/>
      <c r="D79" s="3"/>
      <c r="E79" s="3"/>
      <c r="F79" s="3"/>
      <c r="G79" s="3"/>
      <c r="H79" s="3"/>
    </row>
  </sheetData>
  <mergeCells count="27">
    <mergeCell ref="A71:A77"/>
    <mergeCell ref="H71:H77"/>
    <mergeCell ref="A52:A56"/>
    <mergeCell ref="H52:H56"/>
    <mergeCell ref="A57:A63"/>
    <mergeCell ref="H57:H63"/>
    <mergeCell ref="A64:A70"/>
    <mergeCell ref="H64:H70"/>
    <mergeCell ref="A36:A37"/>
    <mergeCell ref="H36:H37"/>
    <mergeCell ref="A38:A44"/>
    <mergeCell ref="H38:H44"/>
    <mergeCell ref="A45:A51"/>
    <mergeCell ref="H45:H51"/>
    <mergeCell ref="A21:A27"/>
    <mergeCell ref="H21:H27"/>
    <mergeCell ref="A28:A30"/>
    <mergeCell ref="H28:H30"/>
    <mergeCell ref="A31:A34"/>
    <mergeCell ref="H31:H34"/>
    <mergeCell ref="A1:D1"/>
    <mergeCell ref="A3:A8"/>
    <mergeCell ref="H3:H8"/>
    <mergeCell ref="A9:A14"/>
    <mergeCell ref="H9:H14"/>
    <mergeCell ref="A15:A20"/>
    <mergeCell ref="H15:H20"/>
  </mergeCells>
  <pageMargins left="0.70866141732283472" right="0.70866141732283472" top="0.74803149606299213" bottom="0.74803149606299213" header="0.31496062992125984" footer="0.31496062992125984"/>
  <pageSetup paperSize="9" scale="95" fitToHeight="2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12 граней горячие АВ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2026-07-01T11:23:43Z</dcterms:created>
  <dcterms:modified xsi:type="dcterms:W3CDTF">2026-07-01T11:23:54Z</dcterms:modified>
</cp:coreProperties>
</file>