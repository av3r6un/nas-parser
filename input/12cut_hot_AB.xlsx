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2 граней горячие А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3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49" fontId="3" fillId="0" borderId="46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3" fillId="0" borderId="27" applyAlignment="1" pivotButton="0" quotePrefix="0" xfId="0">
      <alignment horizontal="center" vertical="center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49" fontId="3" fillId="0" borderId="36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3" fillId="0" borderId="5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3" pivotButton="0" quotePrefix="0" xfId="0"/>
    <xf numFmtId="0" fontId="0" fillId="0" borderId="29" pivotButton="0" quotePrefix="0" xfId="0"/>
    <xf numFmtId="0" fontId="0" fillId="0" borderId="4" pivotButton="0" quotePrefix="0" xfId="0"/>
    <xf numFmtId="0" fontId="0" fillId="0" borderId="30" pivotButton="0" quotePrefix="0" xfId="0"/>
    <xf numFmtId="0" fontId="0" fillId="0" borderId="8" pivotButton="0" quotePrefix="0" xfId="0"/>
    <xf numFmtId="0" fontId="0" fillId="0" borderId="50" pivotButton="0" quotePrefix="0" xfId="0"/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80"/>
  <sheetViews>
    <sheetView workbookViewId="0">
      <selection activeCell="G30" sqref="G30"/>
    </sheetView>
  </sheetViews>
  <sheetFormatPr baseColWidth="8" defaultRowHeight="15"/>
  <cols>
    <col width="20.42578125" customWidth="1" min="1" max="1"/>
    <col width="9.5703125" customWidth="1" min="2" max="2"/>
    <col width="11.42578125" customWidth="1" min="3" max="3"/>
    <col width="10.85546875" customWidth="1" min="4" max="4"/>
    <col width="9.85546875" customWidth="1" min="5" max="6"/>
    <col width="10.140625" customWidth="1" min="7" max="7"/>
    <col width="36.7109375" customWidth="1" style="282" min="8" max="8"/>
  </cols>
  <sheetData>
    <row r="1" ht="15.75" customHeight="1">
      <c r="A1" s="343" t="inlineStr">
        <is>
          <t>12 граней горячая фиксация с эффектом АВ</t>
        </is>
      </c>
      <c r="B1" s="427" t="n"/>
      <c r="C1" s="427" t="n"/>
      <c r="D1" s="427" t="n"/>
      <c r="E1" s="162" t="n"/>
      <c r="F1" s="162" t="n"/>
      <c r="G1" s="162" t="n"/>
      <c r="I1" s="161" t="n"/>
    </row>
    <row r="2" ht="43.5" customHeight="1" thickBot="1">
      <c r="A2" s="25" t="inlineStr">
        <is>
          <t>цвет</t>
        </is>
      </c>
      <c r="B2" s="25" t="inlineStr">
        <is>
          <t>размер</t>
        </is>
      </c>
      <c r="C2" s="25" t="inlineStr">
        <is>
          <t>штук в пачке</t>
        </is>
      </c>
      <c r="D2" s="25" t="inlineStr">
        <is>
          <t>цена продажи в руб</t>
        </is>
      </c>
      <c r="E2" s="25" t="inlineStr">
        <is>
          <t>всего шт пришло</t>
        </is>
      </c>
      <c r="F2" s="25" t="inlineStr">
        <is>
          <t>продано</t>
        </is>
      </c>
      <c r="G2" s="25" t="inlineStr">
        <is>
          <t>остаток на складе</t>
        </is>
      </c>
      <c r="H2" s="283" t="inlineStr">
        <is>
          <t>артикул</t>
        </is>
      </c>
      <c r="I2" s="25" t="inlineStr">
        <is>
          <t>код цвета</t>
        </is>
      </c>
    </row>
    <row r="3" ht="15.75" customHeight="1" thickBot="1" thickTop="1">
      <c r="A3" s="303" t="inlineStr">
        <is>
          <t xml:space="preserve">TOPAZ AB </t>
        </is>
      </c>
      <c r="B3" s="303" t="inlineStr">
        <is>
          <t>SS6</t>
        </is>
      </c>
      <c r="C3" s="303" t="n">
        <v>1440</v>
      </c>
      <c r="D3" s="303" t="n">
        <v>221</v>
      </c>
      <c r="E3" s="303" t="n">
        <v>2</v>
      </c>
      <c r="F3" s="303" t="n"/>
      <c r="G3" s="243">
        <f>E3-F3</f>
        <v/>
      </c>
      <c r="H3" s="284" t="inlineStr">
        <is>
          <t>12cut/Topaz AB/SS6/Hot/008+</t>
        </is>
      </c>
      <c r="I3" s="362" t="inlineStr">
        <is>
          <t>008+</t>
        </is>
      </c>
    </row>
    <row r="4" ht="16.5" customHeight="1" thickBot="1" thickTop="1">
      <c r="A4" s="428" t="n"/>
      <c r="B4" s="301" t="inlineStr">
        <is>
          <t>SS8</t>
        </is>
      </c>
      <c r="C4" s="301" t="n">
        <v>1440</v>
      </c>
      <c r="D4" s="301" t="n">
        <v>259</v>
      </c>
      <c r="E4" s="301" t="n">
        <v>2</v>
      </c>
      <c r="F4" s="301" t="n"/>
      <c r="G4" s="245">
        <f>E4-F4</f>
        <v/>
      </c>
      <c r="H4" s="285" t="inlineStr">
        <is>
          <t>12cut/Topaz AB/SS8/Hot/008+</t>
        </is>
      </c>
      <c r="I4" s="429" t="n"/>
    </row>
    <row r="5" ht="16.5" customHeight="1" thickBot="1" thickTop="1">
      <c r="A5" s="428" t="n"/>
      <c r="B5" s="301" t="inlineStr">
        <is>
          <t>SS10</t>
        </is>
      </c>
      <c r="C5" s="301" t="n">
        <v>1440</v>
      </c>
      <c r="D5" s="301" t="n">
        <v>281</v>
      </c>
      <c r="E5" s="301" t="n">
        <v>2</v>
      </c>
      <c r="F5" s="301" t="n"/>
      <c r="G5" s="245">
        <f>E5-F5</f>
        <v/>
      </c>
      <c r="H5" s="285" t="inlineStr">
        <is>
          <t>12cut/Topaz AB/SS10/Hot/008+</t>
        </is>
      </c>
      <c r="I5" s="429" t="n"/>
    </row>
    <row r="6" ht="16.5" customHeight="1" thickBot="1" thickTop="1">
      <c r="A6" s="428" t="n"/>
      <c r="B6" s="301" t="inlineStr">
        <is>
          <t>SS12</t>
        </is>
      </c>
      <c r="C6" s="301" t="n">
        <v>1440</v>
      </c>
      <c r="D6" s="301" t="n">
        <v>391</v>
      </c>
      <c r="E6" s="301" t="n">
        <v>2</v>
      </c>
      <c r="F6" s="301" t="n">
        <v>1</v>
      </c>
      <c r="G6" s="245">
        <f>E6-F6</f>
        <v/>
      </c>
      <c r="H6" s="285" t="inlineStr">
        <is>
          <t>12cut/Topaz AB/SS12/Hot/008+</t>
        </is>
      </c>
      <c r="I6" s="429" t="n"/>
    </row>
    <row r="7" ht="16.5" customHeight="1" thickBot="1" thickTop="1">
      <c r="A7" s="428" t="n"/>
      <c r="B7" s="301" t="inlineStr">
        <is>
          <t>SS16</t>
        </is>
      </c>
      <c r="C7" s="301" t="n">
        <v>1440</v>
      </c>
      <c r="D7" s="301" t="n">
        <v>499</v>
      </c>
      <c r="E7" s="301" t="n">
        <v>1</v>
      </c>
      <c r="F7" s="301" t="n"/>
      <c r="G7" s="245">
        <f>E7-F7</f>
        <v/>
      </c>
      <c r="H7" s="285" t="inlineStr">
        <is>
          <t>12cut/Topaz AB/SS16/Hot/008+</t>
        </is>
      </c>
      <c r="I7" s="429" t="n"/>
    </row>
    <row r="8" ht="16.5" customHeight="1" thickBot="1" thickTop="1">
      <c r="A8" s="430" t="n"/>
      <c r="B8" s="302" t="inlineStr">
        <is>
          <t>SS20</t>
        </is>
      </c>
      <c r="C8" s="302" t="n">
        <v>1440</v>
      </c>
      <c r="D8" s="302" t="n">
        <v>803</v>
      </c>
      <c r="E8" s="302" t="n">
        <v>1</v>
      </c>
      <c r="F8" s="302" t="n"/>
      <c r="G8" s="246">
        <f>E8-F8</f>
        <v/>
      </c>
      <c r="H8" s="287" t="inlineStr">
        <is>
          <t>12cut/Topaz AB/SS20/Hot/008+</t>
        </is>
      </c>
      <c r="I8" s="431" t="n"/>
    </row>
    <row r="9" ht="16.5" customHeight="1" thickBot="1" thickTop="1">
      <c r="A9" s="303" t="inlineStr">
        <is>
          <t xml:space="preserve">SAPPHIRE AB </t>
        </is>
      </c>
      <c r="B9" s="303" t="inlineStr">
        <is>
          <t>SS6</t>
        </is>
      </c>
      <c r="C9" s="303" t="n">
        <v>1440</v>
      </c>
      <c r="D9" s="303" t="n">
        <v>221</v>
      </c>
      <c r="E9" s="303" t="n">
        <v>1</v>
      </c>
      <c r="F9" s="303" t="n"/>
      <c r="G9" s="243">
        <f>E9-F9</f>
        <v/>
      </c>
      <c r="H9" s="291" t="inlineStr">
        <is>
          <t>12cut/Sapphire AB/SS6/Hot/013+</t>
        </is>
      </c>
      <c r="I9" s="362" t="inlineStr">
        <is>
          <t>013+</t>
        </is>
      </c>
    </row>
    <row r="10" ht="16.5" customHeight="1" thickBot="1" thickTop="1">
      <c r="A10" s="428" t="n"/>
      <c r="B10" s="301" t="inlineStr">
        <is>
          <t>SS8</t>
        </is>
      </c>
      <c r="C10" s="301" t="n">
        <v>1440</v>
      </c>
      <c r="D10" s="301" t="n">
        <v>259</v>
      </c>
      <c r="E10" s="301" t="n">
        <v>1</v>
      </c>
      <c r="F10" s="301" t="n">
        <v>1</v>
      </c>
      <c r="G10" s="245">
        <f>E10-F10</f>
        <v/>
      </c>
      <c r="H10" s="292" t="inlineStr">
        <is>
          <t>12cut/Sapphire AB/SS8/Hot/013+</t>
        </is>
      </c>
      <c r="I10" s="429" t="n"/>
    </row>
    <row r="11" ht="16.5" customHeight="1" thickBot="1" thickTop="1">
      <c r="A11" s="428" t="n"/>
      <c r="B11" s="301" t="inlineStr">
        <is>
          <t>SS10</t>
        </is>
      </c>
      <c r="C11" s="301" t="n">
        <v>1440</v>
      </c>
      <c r="D11" s="301" t="n">
        <v>281</v>
      </c>
      <c r="E11" s="301" t="n">
        <v>1</v>
      </c>
      <c r="F11" s="301" t="n"/>
      <c r="G11" s="245">
        <f>E11-F11</f>
        <v/>
      </c>
      <c r="H11" s="292" t="inlineStr">
        <is>
          <t>12cut/Sapphire AB/SS10/Hot/013+</t>
        </is>
      </c>
      <c r="I11" s="429" t="n"/>
    </row>
    <row r="12" ht="16.5" customHeight="1" thickBot="1" thickTop="1">
      <c r="A12" s="428" t="n"/>
      <c r="B12" s="301" t="inlineStr">
        <is>
          <t>SS12</t>
        </is>
      </c>
      <c r="C12" s="301" t="n">
        <v>1440</v>
      </c>
      <c r="D12" s="301" t="n">
        <v>391</v>
      </c>
      <c r="E12" s="301" t="n">
        <v>1</v>
      </c>
      <c r="F12" s="301" t="n"/>
      <c r="G12" s="245">
        <f>E12-F12</f>
        <v/>
      </c>
      <c r="H12" s="292" t="inlineStr">
        <is>
          <t>12cut/Sapphire AB/SS12/Hot/013+</t>
        </is>
      </c>
      <c r="I12" s="429" t="n"/>
    </row>
    <row r="13" ht="16.5" customHeight="1" thickBot="1" thickTop="1">
      <c r="A13" s="428" t="n"/>
      <c r="B13" s="301" t="inlineStr">
        <is>
          <t>SS16</t>
        </is>
      </c>
      <c r="C13" s="301" t="n">
        <v>1440</v>
      </c>
      <c r="D13" s="301" t="n">
        <v>499</v>
      </c>
      <c r="E13" s="301" t="n">
        <v>1</v>
      </c>
      <c r="F13" s="301" t="n"/>
      <c r="G13" s="245">
        <f>E13-F13</f>
        <v/>
      </c>
      <c r="H13" s="292" t="inlineStr">
        <is>
          <t>12cut/Sapphire AB/SS16/Hot/013+</t>
        </is>
      </c>
      <c r="I13" s="429" t="n"/>
    </row>
    <row r="14" ht="16.5" customHeight="1" thickBot="1" thickTop="1">
      <c r="A14" s="430" t="n"/>
      <c r="B14" s="302" t="inlineStr">
        <is>
          <t>SS20</t>
        </is>
      </c>
      <c r="C14" s="302" t="n">
        <v>1440</v>
      </c>
      <c r="D14" s="302" t="n">
        <v>803</v>
      </c>
      <c r="E14" s="302" t="n">
        <v>1</v>
      </c>
      <c r="F14" s="302" t="n"/>
      <c r="G14" s="246">
        <f>E14-F14</f>
        <v/>
      </c>
      <c r="H14" s="295" t="inlineStr">
        <is>
          <t>12cut/Sapphire AB/SS20/Hot/013+</t>
        </is>
      </c>
      <c r="I14" s="431" t="n"/>
    </row>
    <row r="15" ht="16.5" customHeight="1" thickBot="1" thickTop="1">
      <c r="A15" s="303" t="inlineStr">
        <is>
          <t xml:space="preserve">Indicolite AB </t>
        </is>
      </c>
      <c r="B15" s="303" t="inlineStr">
        <is>
          <t>SS6</t>
        </is>
      </c>
      <c r="C15" s="303" t="n">
        <v>1440</v>
      </c>
      <c r="D15" s="303" t="n">
        <v>221</v>
      </c>
      <c r="E15" s="303" t="n">
        <v>1</v>
      </c>
      <c r="F15" s="303" t="n"/>
      <c r="G15" s="243">
        <f>E15-F15</f>
        <v/>
      </c>
      <c r="H15" s="291" t="inlineStr">
        <is>
          <t>12cut/Indicolite AB/SS6/Hot/014+</t>
        </is>
      </c>
      <c r="I15" s="362" t="inlineStr">
        <is>
          <t>014+</t>
        </is>
      </c>
    </row>
    <row r="16" ht="16.5" customHeight="1" thickBot="1" thickTop="1">
      <c r="A16" s="428" t="n"/>
      <c r="B16" s="301" t="inlineStr">
        <is>
          <t>SS8</t>
        </is>
      </c>
      <c r="C16" s="301" t="n">
        <v>1440</v>
      </c>
      <c r="D16" s="301" t="n">
        <v>259</v>
      </c>
      <c r="E16" s="301" t="n">
        <v>1</v>
      </c>
      <c r="F16" s="301" t="n"/>
      <c r="G16" s="245">
        <f>E16-F16</f>
        <v/>
      </c>
      <c r="H16" s="292" t="inlineStr">
        <is>
          <t>12cut/Indicolite AB/SS8/Hot/014+</t>
        </is>
      </c>
      <c r="I16" s="429" t="n"/>
    </row>
    <row r="17" ht="16.5" customHeight="1" thickBot="1" thickTop="1">
      <c r="A17" s="428" t="n"/>
      <c r="B17" s="301" t="inlineStr">
        <is>
          <t>SS10</t>
        </is>
      </c>
      <c r="C17" s="301" t="n">
        <v>1440</v>
      </c>
      <c r="D17" s="301" t="n">
        <v>281</v>
      </c>
      <c r="E17" s="301" t="n">
        <v>2</v>
      </c>
      <c r="F17" s="301" t="n">
        <v>2</v>
      </c>
      <c r="G17" s="245">
        <f>E17-F17</f>
        <v/>
      </c>
      <c r="H17" s="292" t="inlineStr">
        <is>
          <t>12cut/Indicolite AB/SS10/Hot/014+</t>
        </is>
      </c>
      <c r="I17" s="429" t="n"/>
    </row>
    <row r="18" ht="16.5" customHeight="1" thickBot="1" thickTop="1">
      <c r="A18" s="428" t="n"/>
      <c r="B18" s="301" t="inlineStr">
        <is>
          <t>SS12</t>
        </is>
      </c>
      <c r="C18" s="301" t="n">
        <v>1440</v>
      </c>
      <c r="D18" s="301" t="n">
        <v>391</v>
      </c>
      <c r="E18" s="301" t="n">
        <v>1</v>
      </c>
      <c r="F18" s="301" t="n">
        <v>1</v>
      </c>
      <c r="G18" s="245">
        <f>E18-F18</f>
        <v/>
      </c>
      <c r="H18" s="292" t="inlineStr">
        <is>
          <t>12cut/Indicolite AB/SS12/Hot/014+</t>
        </is>
      </c>
      <c r="I18" s="429" t="n"/>
    </row>
    <row r="19" ht="16.5" customHeight="1" thickBot="1" thickTop="1">
      <c r="A19" s="428" t="n"/>
      <c r="B19" s="301" t="inlineStr">
        <is>
          <t>SS16</t>
        </is>
      </c>
      <c r="C19" s="301" t="n">
        <v>1440</v>
      </c>
      <c r="D19" s="301" t="n">
        <v>499</v>
      </c>
      <c r="E19" s="301" t="n">
        <v>1</v>
      </c>
      <c r="F19" s="301" t="n"/>
      <c r="G19" s="245">
        <f>E19-F19</f>
        <v/>
      </c>
      <c r="H19" s="292" t="inlineStr">
        <is>
          <t>12cut/Indicolite AB/SS16/Hot/014+</t>
        </is>
      </c>
      <c r="I19" s="429" t="n"/>
    </row>
    <row r="20" ht="16.5" customHeight="1" thickBot="1" thickTop="1">
      <c r="A20" s="430" t="n"/>
      <c r="B20" s="302" t="inlineStr">
        <is>
          <t>SS20</t>
        </is>
      </c>
      <c r="C20" s="302" t="n">
        <v>1440</v>
      </c>
      <c r="D20" s="302" t="n">
        <v>803</v>
      </c>
      <c r="E20" s="302" t="n">
        <v>1</v>
      </c>
      <c r="F20" s="302" t="n"/>
      <c r="G20" s="246">
        <f>E20-F20</f>
        <v/>
      </c>
      <c r="H20" s="295" t="inlineStr">
        <is>
          <t>12cut/Indicolite AB/SS20/Hot/014+</t>
        </is>
      </c>
      <c r="I20" s="431" t="n"/>
    </row>
    <row r="21" ht="16.5" customHeight="1" thickBot="1" thickTop="1">
      <c r="A21" s="303" t="inlineStr">
        <is>
          <t xml:space="preserve">Lt. Peridot AB </t>
        </is>
      </c>
      <c r="B21" s="303" t="inlineStr">
        <is>
          <t>SS6</t>
        </is>
      </c>
      <c r="C21" s="303" t="n">
        <v>1440</v>
      </c>
      <c r="D21" s="303" t="n">
        <v>221</v>
      </c>
      <c r="E21" s="303" t="n">
        <v>2</v>
      </c>
      <c r="F21" s="303" t="n">
        <v>1</v>
      </c>
      <c r="G21" s="243">
        <f>E21-F21</f>
        <v/>
      </c>
      <c r="H21" s="291" t="inlineStr">
        <is>
          <t>12cut/Lt. Peridot AB/SS6/Hot/024+</t>
        </is>
      </c>
      <c r="I21" s="362" t="inlineStr">
        <is>
          <t>024+</t>
        </is>
      </c>
    </row>
    <row r="22" ht="16.5" customHeight="1" thickBot="1" thickTop="1">
      <c r="A22" s="428" t="n"/>
      <c r="B22" s="301" t="inlineStr">
        <is>
          <t>SS8</t>
        </is>
      </c>
      <c r="C22" s="301" t="n">
        <v>1440</v>
      </c>
      <c r="D22" s="301" t="n">
        <v>259</v>
      </c>
      <c r="E22" s="301" t="n">
        <v>2</v>
      </c>
      <c r="F22" s="301" t="n">
        <v>1</v>
      </c>
      <c r="G22" s="245">
        <f>E22-F22</f>
        <v/>
      </c>
      <c r="H22" s="292" t="inlineStr">
        <is>
          <t>12cut/Lt. Peridot AB/SS8/Hot/024+</t>
        </is>
      </c>
      <c r="I22" s="429" t="n"/>
    </row>
    <row r="23" ht="16.5" customHeight="1" thickBot="1" thickTop="1">
      <c r="A23" s="428" t="n"/>
      <c r="B23" s="301" t="inlineStr">
        <is>
          <t>SS10</t>
        </is>
      </c>
      <c r="C23" s="301" t="n">
        <v>1440</v>
      </c>
      <c r="D23" s="301" t="n">
        <v>281</v>
      </c>
      <c r="E23" s="301" t="n">
        <v>2</v>
      </c>
      <c r="F23" s="301" t="n"/>
      <c r="G23" s="245">
        <f>E23-F23</f>
        <v/>
      </c>
      <c r="H23" s="292" t="inlineStr">
        <is>
          <t>12cut/Lt. Peridot AB/SS10/Hot/024+</t>
        </is>
      </c>
      <c r="I23" s="429" t="n"/>
    </row>
    <row r="24" ht="16.5" customHeight="1" thickBot="1" thickTop="1">
      <c r="A24" s="428" t="n"/>
      <c r="B24" s="301" t="inlineStr">
        <is>
          <t>SS12</t>
        </is>
      </c>
      <c r="C24" s="301" t="n">
        <v>1440</v>
      </c>
      <c r="D24" s="301" t="n">
        <v>391</v>
      </c>
      <c r="E24" s="301" t="n">
        <v>2</v>
      </c>
      <c r="F24" s="301" t="n"/>
      <c r="G24" s="245">
        <f>E24-F24</f>
        <v/>
      </c>
      <c r="H24" s="292" t="inlineStr">
        <is>
          <t>12cut/Lt. Peridot AB/SS12/Hot/024+</t>
        </is>
      </c>
      <c r="I24" s="429" t="n"/>
    </row>
    <row r="25" ht="16.5" customHeight="1" thickBot="1" thickTop="1">
      <c r="A25" s="428" t="n"/>
      <c r="B25" s="301" t="inlineStr">
        <is>
          <t>SS16</t>
        </is>
      </c>
      <c r="C25" s="301" t="n">
        <v>1440</v>
      </c>
      <c r="D25" s="301" t="n">
        <v>499</v>
      </c>
      <c r="E25" s="301" t="n">
        <v>1</v>
      </c>
      <c r="F25" s="301" t="n"/>
      <c r="G25" s="245">
        <f>E25-F25</f>
        <v/>
      </c>
      <c r="H25" s="292" t="inlineStr">
        <is>
          <t>12cut/Lt. Peridot AB/SS16/Hot/024+</t>
        </is>
      </c>
      <c r="I25" s="429" t="n"/>
    </row>
    <row r="26" ht="16.5" customHeight="1" thickBot="1" thickTop="1">
      <c r="A26" s="428" t="n"/>
      <c r="B26" s="301" t="inlineStr">
        <is>
          <t>SS20</t>
        </is>
      </c>
      <c r="C26" s="301" t="n">
        <v>1440</v>
      </c>
      <c r="D26" s="301" t="n">
        <v>803</v>
      </c>
      <c r="E26" s="301" t="n">
        <v>1</v>
      </c>
      <c r="F26" s="301" t="n"/>
      <c r="G26" s="245">
        <f>E26-F26</f>
        <v/>
      </c>
      <c r="H26" s="292" t="inlineStr">
        <is>
          <t>12cut/Lt. Peridot AB/SS20/Hot/024+</t>
        </is>
      </c>
      <c r="I26" s="429" t="n"/>
    </row>
    <row r="27" ht="16.5" customHeight="1" thickBot="1" thickTop="1">
      <c r="A27" s="430" t="n"/>
      <c r="B27" s="302" t="inlineStr">
        <is>
          <t>SS30</t>
        </is>
      </c>
      <c r="C27" s="302" t="n">
        <v>288</v>
      </c>
      <c r="D27" s="302" t="n">
        <v>471</v>
      </c>
      <c r="E27" s="302" t="n">
        <v>1</v>
      </c>
      <c r="F27" s="302" t="n"/>
      <c r="G27" s="246">
        <f>E27-F27</f>
        <v/>
      </c>
      <c r="H27" s="295" t="inlineStr">
        <is>
          <t>12cut/Lt. Peridot AB/SS30/Hot/024+</t>
        </is>
      </c>
      <c r="I27" s="431" t="n"/>
    </row>
    <row r="28" ht="15.75" customHeight="1" thickTop="1">
      <c r="A28" s="31" t="inlineStr">
        <is>
          <t xml:space="preserve">Tanzanite AB </t>
        </is>
      </c>
      <c r="B28" s="303" t="inlineStr">
        <is>
          <t>SS16</t>
        </is>
      </c>
      <c r="C28" s="303" t="n">
        <v>1440</v>
      </c>
      <c r="D28" s="303" t="n">
        <v>453</v>
      </c>
      <c r="E28" s="303" t="n">
        <v>5</v>
      </c>
      <c r="F28" s="303" t="n">
        <v>1</v>
      </c>
      <c r="G28" s="243">
        <f>E28-F28</f>
        <v/>
      </c>
      <c r="H28" s="291" t="inlineStr">
        <is>
          <t>12cut/Tanzanite AB/SS16/Hot/028+</t>
        </is>
      </c>
      <c r="I28" s="362" t="inlineStr">
        <is>
          <t>028+</t>
        </is>
      </c>
    </row>
    <row r="29">
      <c r="A29" s="428" t="n"/>
      <c r="B29" s="301" t="inlineStr">
        <is>
          <t>SS20</t>
        </is>
      </c>
      <c r="C29" s="301" t="n">
        <v>1440</v>
      </c>
      <c r="D29" s="301" t="n">
        <v>726</v>
      </c>
      <c r="E29" s="301">
        <f>5+1</f>
        <v/>
      </c>
      <c r="F29" s="34" t="n">
        <v>1</v>
      </c>
      <c r="G29" s="245">
        <f>E29-F29</f>
        <v/>
      </c>
      <c r="H29" s="292" t="inlineStr">
        <is>
          <t>12cut/Tanzanite AB/SS20/Hot/028+</t>
        </is>
      </c>
      <c r="I29" s="429" t="n"/>
    </row>
    <row r="30" ht="15.75" customHeight="1" thickBot="1">
      <c r="A30" s="432" t="n"/>
      <c r="B30" s="302" t="inlineStr">
        <is>
          <t>SS30</t>
        </is>
      </c>
      <c r="C30" s="302" t="n">
        <v>288</v>
      </c>
      <c r="D30" s="302" t="n">
        <v>424</v>
      </c>
      <c r="E30" s="302" t="n">
        <v>5</v>
      </c>
      <c r="F30" s="33" t="n">
        <v>1</v>
      </c>
      <c r="G30" s="246">
        <f>E30-F30</f>
        <v/>
      </c>
      <c r="H30" s="295" t="inlineStr">
        <is>
          <t>12cut/Tanzanite AB/SS30/Hot/028+</t>
        </is>
      </c>
      <c r="I30" s="431" t="n"/>
    </row>
    <row r="31" ht="16.5" customHeight="1" thickBot="1" thickTop="1">
      <c r="A31" s="31" t="inlineStr">
        <is>
          <t>FUCHSIA AB</t>
        </is>
      </c>
      <c r="B31" s="303" t="inlineStr">
        <is>
          <t>SS6</t>
        </is>
      </c>
      <c r="C31" s="311" t="n">
        <v>1440</v>
      </c>
      <c r="D31" s="303" t="n">
        <v>369</v>
      </c>
      <c r="E31" s="338" t="n">
        <v>50</v>
      </c>
      <c r="F31" s="311">
        <f>1+1+1</f>
        <v/>
      </c>
      <c r="G31" s="243">
        <f>E31-F31</f>
        <v/>
      </c>
      <c r="H31" s="291" t="inlineStr">
        <is>
          <t>12cut/Fuchsia Shimmer/SS6/Hot/062</t>
        </is>
      </c>
      <c r="I31" s="369" t="inlineStr">
        <is>
          <t>062</t>
        </is>
      </c>
    </row>
    <row r="32" ht="16.5" customHeight="1" thickBot="1" thickTop="1">
      <c r="A32" s="428" t="n"/>
      <c r="B32" s="301" t="inlineStr">
        <is>
          <t>SS10</t>
        </is>
      </c>
      <c r="C32" s="312" t="n">
        <v>1440</v>
      </c>
      <c r="D32" s="301" t="n">
        <v>545</v>
      </c>
      <c r="E32" s="336" t="n">
        <v>20</v>
      </c>
      <c r="F32" s="312">
        <f>1+1+1+1</f>
        <v/>
      </c>
      <c r="G32" s="245">
        <f>E32-F32</f>
        <v/>
      </c>
      <c r="H32" s="292" t="inlineStr">
        <is>
          <t>12cut/Fuchsia Shimmer/SS10/Hot/062</t>
        </is>
      </c>
      <c r="I32" s="429" t="n"/>
    </row>
    <row r="33" ht="16.5" customHeight="1" thickBot="1" thickTop="1">
      <c r="A33" s="428" t="n"/>
      <c r="B33" s="301" t="inlineStr">
        <is>
          <t>SS12</t>
        </is>
      </c>
      <c r="C33" s="312" t="n">
        <v>1440</v>
      </c>
      <c r="D33" s="301" t="n">
        <v>749</v>
      </c>
      <c r="E33" s="336" t="n">
        <v>30</v>
      </c>
      <c r="F33" s="312">
        <f>1+1</f>
        <v/>
      </c>
      <c r="G33" s="245">
        <f>E33-F33</f>
        <v/>
      </c>
      <c r="H33" s="292" t="inlineStr">
        <is>
          <t>12cut/Fuchsia Shimmer/SS12/Hot/062</t>
        </is>
      </c>
      <c r="I33" s="429" t="n"/>
    </row>
    <row r="34" ht="16.5" customHeight="1" thickBot="1" thickTop="1">
      <c r="A34" s="432" t="n"/>
      <c r="B34" s="302" t="inlineStr">
        <is>
          <t>SS20</t>
        </is>
      </c>
      <c r="C34" s="313" t="n">
        <v>1440</v>
      </c>
      <c r="D34" s="302" t="n">
        <v>1513</v>
      </c>
      <c r="E34" s="339" t="n">
        <v>30</v>
      </c>
      <c r="F34" s="313">
        <f>1+1</f>
        <v/>
      </c>
      <c r="G34" s="246">
        <f>E34-F34</f>
        <v/>
      </c>
      <c r="H34" s="295" t="inlineStr">
        <is>
          <t>12cut/Fuchsia Shimmer/SS20/Hot/062</t>
        </is>
      </c>
      <c r="I34" s="431" t="n"/>
    </row>
    <row r="35" ht="31.5" customHeight="1" thickBot="1" thickTop="1">
      <c r="A35" s="36" t="inlineStr">
        <is>
          <t>PURPLE RED FANTASY BLUE</t>
        </is>
      </c>
      <c r="B35" s="31" t="inlineStr">
        <is>
          <t>SS20</t>
        </is>
      </c>
      <c r="C35" s="31" t="n">
        <v>1440</v>
      </c>
      <c r="D35" s="304" t="n">
        <v>628</v>
      </c>
      <c r="E35" s="31" t="n">
        <v>1</v>
      </c>
      <c r="F35" s="35" t="n"/>
      <c r="G35" s="256">
        <f>E35-F35</f>
        <v/>
      </c>
      <c r="H35" s="288" t="inlineStr">
        <is>
          <t>12cut/PRFB/SS20/Hot/255</t>
        </is>
      </c>
      <c r="I35" s="362" t="n">
        <v>255</v>
      </c>
    </row>
    <row r="36" ht="16.5" customHeight="1" thickBot="1" thickTop="1">
      <c r="A36" s="31" t="inlineStr">
        <is>
          <t>SEFFAF AB</t>
        </is>
      </c>
      <c r="B36" s="303" t="inlineStr">
        <is>
          <t>SS3</t>
        </is>
      </c>
      <c r="C36" s="311" t="n">
        <v>1440</v>
      </c>
      <c r="D36" s="303" t="n">
        <v>166</v>
      </c>
      <c r="E36" s="311" t="n">
        <v>47</v>
      </c>
      <c r="F36" s="32" t="n"/>
      <c r="G36" s="243">
        <f>E36-F36</f>
        <v/>
      </c>
      <c r="H36" s="291" t="inlineStr">
        <is>
          <t>12cut/Crystal TRA HFT/SS3/Hot/110</t>
        </is>
      </c>
      <c r="I36" s="362" t="n">
        <v>110</v>
      </c>
    </row>
    <row r="37" ht="16.5" customHeight="1" thickBot="1" thickTop="1">
      <c r="A37" s="432" t="n"/>
      <c r="B37" s="302" t="inlineStr">
        <is>
          <t>SS4</t>
        </is>
      </c>
      <c r="C37" s="302" t="n">
        <v>1440</v>
      </c>
      <c r="D37" s="302" t="n">
        <v>166</v>
      </c>
      <c r="E37" s="302" t="n">
        <v>40</v>
      </c>
      <c r="F37" s="33" t="n"/>
      <c r="G37" s="246">
        <f>E37-F37</f>
        <v/>
      </c>
      <c r="H37" s="295" t="inlineStr">
        <is>
          <t>12cut/Crystal TRA HFT/SS4/Hot/110</t>
        </is>
      </c>
      <c r="I37" s="431" t="n"/>
    </row>
    <row r="38" ht="16.5" customHeight="1" thickBot="1" thickTop="1">
      <c r="A38" s="303" t="inlineStr">
        <is>
          <t>NEON WHITE AB</t>
        </is>
      </c>
      <c r="B38" s="303" t="inlineStr">
        <is>
          <t>SS6</t>
        </is>
      </c>
      <c r="C38" s="303" t="n">
        <v>1440</v>
      </c>
      <c r="D38" s="303" t="n">
        <v>319</v>
      </c>
      <c r="E38" s="303" t="n">
        <v>20</v>
      </c>
      <c r="F38" s="32">
        <f>2+1+3+1+1+1+1+2</f>
        <v/>
      </c>
      <c r="G38" s="243">
        <f>E38-F38</f>
        <v/>
      </c>
      <c r="H38" s="291" t="inlineStr">
        <is>
          <t>12cut/Neon White AB/SS6/Hot/067+</t>
        </is>
      </c>
      <c r="I38" s="362" t="inlineStr">
        <is>
          <t>067+</t>
        </is>
      </c>
    </row>
    <row r="39" ht="16.5" customHeight="1" thickBot="1" thickTop="1">
      <c r="A39" s="428" t="n"/>
      <c r="B39" s="301" t="inlineStr">
        <is>
          <t>SS8</t>
        </is>
      </c>
      <c r="C39" s="301" t="n">
        <v>1440</v>
      </c>
      <c r="D39" s="301" t="n">
        <v>413</v>
      </c>
      <c r="E39" s="301" t="n">
        <v>20</v>
      </c>
      <c r="F39" s="34" t="n"/>
      <c r="G39" s="245">
        <f>E39-F39</f>
        <v/>
      </c>
      <c r="H39" s="292" t="inlineStr">
        <is>
          <t>12cut/Neon White AB/SS8/Hot/067+</t>
        </is>
      </c>
      <c r="I39" s="429" t="n"/>
    </row>
    <row r="40" ht="16.5" customHeight="1" thickBot="1" thickTop="1">
      <c r="A40" s="428" t="n"/>
      <c r="B40" s="301" t="inlineStr">
        <is>
          <t>SS10</t>
        </is>
      </c>
      <c r="C40" s="301" t="n">
        <v>1440</v>
      </c>
      <c r="D40" s="301" t="n">
        <v>457</v>
      </c>
      <c r="E40" s="301" t="n">
        <v>20</v>
      </c>
      <c r="F40" s="34" t="n">
        <v>1</v>
      </c>
      <c r="G40" s="245">
        <f>E40-F40</f>
        <v/>
      </c>
      <c r="H40" s="292" t="inlineStr">
        <is>
          <t>12cut/Neon White AB/SS10/Hot/067+</t>
        </is>
      </c>
      <c r="I40" s="429" t="n"/>
    </row>
    <row r="41" ht="16.5" customHeight="1" thickBot="1" thickTop="1">
      <c r="A41" s="428" t="n"/>
      <c r="B41" s="301" t="inlineStr">
        <is>
          <t>SS12</t>
        </is>
      </c>
      <c r="C41" s="301" t="n">
        <v>1440</v>
      </c>
      <c r="D41" s="301" t="n">
        <v>558</v>
      </c>
      <c r="E41" s="301" t="n">
        <v>20</v>
      </c>
      <c r="F41" s="34" t="n"/>
      <c r="G41" s="245">
        <f>E41-F41</f>
        <v/>
      </c>
      <c r="H41" s="292" t="inlineStr">
        <is>
          <t>12cut/Neon White AB/SS12/Hot/067+</t>
        </is>
      </c>
      <c r="I41" s="429" t="n"/>
    </row>
    <row r="42" ht="16.5" customHeight="1" thickBot="1" thickTop="1">
      <c r="A42" s="428" t="n"/>
      <c r="B42" s="301" t="inlineStr">
        <is>
          <t>SS16</t>
        </is>
      </c>
      <c r="C42" s="301" t="n">
        <v>1440</v>
      </c>
      <c r="D42" s="301" t="n">
        <v>803</v>
      </c>
      <c r="E42" s="301" t="n">
        <v>20</v>
      </c>
      <c r="F42" s="34" t="n"/>
      <c r="G42" s="245">
        <f>E42-F42</f>
        <v/>
      </c>
      <c r="H42" s="292" t="inlineStr">
        <is>
          <t>12cut/Neon White AB/SS16/Hot/067+</t>
        </is>
      </c>
      <c r="I42" s="429" t="n"/>
    </row>
    <row r="43" ht="16.5" customHeight="1" thickBot="1" thickTop="1">
      <c r="A43" s="428" t="n"/>
      <c r="B43" s="301" t="inlineStr">
        <is>
          <t>SS20</t>
        </is>
      </c>
      <c r="C43" s="301" t="n">
        <v>1440</v>
      </c>
      <c r="D43" s="301" t="n">
        <v>969</v>
      </c>
      <c r="E43" s="301" t="n">
        <v>14</v>
      </c>
      <c r="F43" s="301" t="n"/>
      <c r="G43" s="245">
        <f>E43-F43</f>
        <v/>
      </c>
      <c r="H43" s="292" t="inlineStr">
        <is>
          <t>12cut/Neon White AB/SS20/Hot/067+</t>
        </is>
      </c>
      <c r="I43" s="429" t="n"/>
    </row>
    <row r="44" ht="16.5" customHeight="1" thickBot="1" thickTop="1">
      <c r="A44" s="430" t="n"/>
      <c r="B44" s="302" t="inlineStr">
        <is>
          <t>SS30</t>
        </is>
      </c>
      <c r="C44" s="302" t="n">
        <v>288</v>
      </c>
      <c r="D44" s="302" t="n">
        <v>773</v>
      </c>
      <c r="E44" s="302" t="n">
        <v>19</v>
      </c>
      <c r="F44" s="302" t="n"/>
      <c r="G44" s="246">
        <f>E44-F44</f>
        <v/>
      </c>
      <c r="H44" s="295" t="inlineStr">
        <is>
          <t>12cut/Neon White AB/SS30/Hot/067+</t>
        </is>
      </c>
      <c r="I44" s="431" t="n"/>
    </row>
    <row r="45" ht="16.5" customHeight="1" thickBot="1" thickTop="1">
      <c r="A45" s="304" t="inlineStr">
        <is>
          <t>NEON PINK AB</t>
        </is>
      </c>
      <c r="B45" s="303" t="inlineStr">
        <is>
          <t>SS6</t>
        </is>
      </c>
      <c r="C45" s="303" t="n">
        <v>1440</v>
      </c>
      <c r="D45" s="303" t="n">
        <v>319</v>
      </c>
      <c r="E45" s="303">
        <f>10+20</f>
        <v/>
      </c>
      <c r="F45" s="303">
        <f>1+1+1+2+2+1+5+2+1+1+1+1</f>
        <v/>
      </c>
      <c r="G45" s="243">
        <f>E45-F45</f>
        <v/>
      </c>
      <c r="H45" s="291" t="inlineStr">
        <is>
          <t>12cut/Neon Pink AB/SS6/Hot/068+</t>
        </is>
      </c>
      <c r="I45" s="362" t="inlineStr">
        <is>
          <t>068+</t>
        </is>
      </c>
    </row>
    <row r="46" ht="16.5" customHeight="1" thickBot="1" thickTop="1">
      <c r="A46" s="428" t="n"/>
      <c r="B46" s="317" t="inlineStr">
        <is>
          <t>SS8</t>
        </is>
      </c>
      <c r="C46" s="317" t="n">
        <v>1440</v>
      </c>
      <c r="D46" s="317" t="n">
        <v>400</v>
      </c>
      <c r="E46" s="317" t="n">
        <v>10</v>
      </c>
      <c r="F46" s="317" t="n"/>
      <c r="G46" s="244">
        <f>E46-F46</f>
        <v/>
      </c>
      <c r="H46" s="292" t="inlineStr">
        <is>
          <t>12cut/Neon Pink AB/SS8/Hot/068+</t>
        </is>
      </c>
      <c r="I46" s="429" t="n"/>
    </row>
    <row r="47" ht="16.5" customHeight="1" thickBot="1" thickTop="1">
      <c r="A47" s="428" t="n"/>
      <c r="B47" s="301" t="inlineStr">
        <is>
          <t>SS10</t>
        </is>
      </c>
      <c r="C47" s="301" t="n">
        <v>1440</v>
      </c>
      <c r="D47" s="301" t="n">
        <v>457</v>
      </c>
      <c r="E47" s="301">
        <f>10+20</f>
        <v/>
      </c>
      <c r="F47" s="301">
        <f>1+1+1+1+1+1+1+1+1</f>
        <v/>
      </c>
      <c r="G47" s="245">
        <f>E47-F47</f>
        <v/>
      </c>
      <c r="H47" s="292" t="inlineStr">
        <is>
          <t>12cut/Neon Pink AB/SS10/Hot/068+</t>
        </is>
      </c>
      <c r="I47" s="429" t="n"/>
    </row>
    <row r="48" ht="16.5" customHeight="1" thickBot="1" thickTop="1">
      <c r="A48" s="428" t="n"/>
      <c r="B48" s="301" t="inlineStr">
        <is>
          <t>SS12</t>
        </is>
      </c>
      <c r="C48" s="301" t="n">
        <v>1440</v>
      </c>
      <c r="D48" s="301" t="n">
        <v>601</v>
      </c>
      <c r="E48" s="301" t="n">
        <v>10</v>
      </c>
      <c r="F48" s="301" t="n"/>
      <c r="G48" s="245">
        <f>E48-F48</f>
        <v/>
      </c>
      <c r="H48" s="292" t="inlineStr">
        <is>
          <t>12cut/Neon Pink AB/SS12/Hot/068+</t>
        </is>
      </c>
      <c r="I48" s="429" t="n"/>
    </row>
    <row r="49" ht="16.5" customHeight="1" thickBot="1" thickTop="1">
      <c r="A49" s="428" t="n"/>
      <c r="B49" s="301" t="inlineStr">
        <is>
          <t>SS16</t>
        </is>
      </c>
      <c r="C49" s="301" t="n">
        <v>1440</v>
      </c>
      <c r="D49" s="301" t="n">
        <v>802</v>
      </c>
      <c r="E49" s="301">
        <f>10+20</f>
        <v/>
      </c>
      <c r="F49" s="301">
        <f>1+1+2+1+1+1+1+1+1+1</f>
        <v/>
      </c>
      <c r="G49" s="245">
        <f>E49-F49</f>
        <v/>
      </c>
      <c r="H49" s="292" t="inlineStr">
        <is>
          <t>12cut/Neon Pink AB/SS16/Hot/068+</t>
        </is>
      </c>
      <c r="I49" s="429" t="n"/>
    </row>
    <row r="50" ht="16.5" customHeight="1" thickBot="1" thickTop="1">
      <c r="A50" s="428" t="n"/>
      <c r="B50" s="301" t="inlineStr">
        <is>
          <t>SS20</t>
        </is>
      </c>
      <c r="C50" s="301" t="n">
        <v>1440</v>
      </c>
      <c r="D50" s="301" t="n">
        <v>1023</v>
      </c>
      <c r="E50" s="301">
        <f>10+11</f>
        <v/>
      </c>
      <c r="F50" s="301">
        <f>1+1+1+7+1+1+1</f>
        <v/>
      </c>
      <c r="G50" s="245">
        <f>E50-F50</f>
        <v/>
      </c>
      <c r="H50" s="292" t="inlineStr">
        <is>
          <t>12cut/Neon Pink AB/SS20/Hot/068+</t>
        </is>
      </c>
      <c r="I50" s="429" t="n"/>
    </row>
    <row r="51" ht="16.5" customHeight="1" thickBot="1" thickTop="1">
      <c r="A51" s="428" t="n"/>
      <c r="B51" s="318" t="inlineStr">
        <is>
          <t>SS30</t>
        </is>
      </c>
      <c r="C51" s="318" t="n">
        <v>288</v>
      </c>
      <c r="D51" s="318" t="n">
        <v>773</v>
      </c>
      <c r="E51" s="318" t="n">
        <v>20</v>
      </c>
      <c r="F51" s="318">
        <f>1+1</f>
        <v/>
      </c>
      <c r="G51" s="247">
        <f>E51-F51</f>
        <v/>
      </c>
      <c r="H51" s="295" t="inlineStr">
        <is>
          <t>12cut/Neon Pink AB/SS30/Hot/068+</t>
        </is>
      </c>
      <c r="I51" s="431" t="n"/>
    </row>
    <row r="52" ht="15.75" customHeight="1" thickTop="1">
      <c r="A52" s="303" t="inlineStr">
        <is>
          <t>NEON PURPLE AB</t>
        </is>
      </c>
      <c r="B52" s="303" t="inlineStr">
        <is>
          <t>SS6</t>
        </is>
      </c>
      <c r="C52" s="303" t="n">
        <v>1440</v>
      </c>
      <c r="D52" s="303" t="n">
        <v>319</v>
      </c>
      <c r="E52" s="303" t="n">
        <v>10</v>
      </c>
      <c r="F52" s="303" t="n"/>
      <c r="G52" s="243">
        <f>E52-F52</f>
        <v/>
      </c>
      <c r="H52" s="291" t="inlineStr">
        <is>
          <t>12cut/Neon Purple AB/SS6/Hot/073+</t>
        </is>
      </c>
      <c r="I52" s="364" t="inlineStr">
        <is>
          <t>073+</t>
        </is>
      </c>
    </row>
    <row r="53">
      <c r="A53" s="428" t="n"/>
      <c r="B53" s="317" t="inlineStr">
        <is>
          <t>SS8</t>
        </is>
      </c>
      <c r="C53" s="317" t="n">
        <v>1440</v>
      </c>
      <c r="D53" s="317" t="n">
        <v>413</v>
      </c>
      <c r="E53" s="317">
        <f>10+20</f>
        <v/>
      </c>
      <c r="F53" s="317">
        <f>1+1+3+1+1</f>
        <v/>
      </c>
      <c r="G53" s="245">
        <f>E53-F53</f>
        <v/>
      </c>
      <c r="H53" s="292" t="inlineStr">
        <is>
          <t>12cut/Neon Purple AB/SS8/Hot/073+</t>
        </is>
      </c>
      <c r="I53" s="429" t="n"/>
    </row>
    <row r="54">
      <c r="A54" s="428" t="n"/>
      <c r="B54" s="301" t="inlineStr">
        <is>
          <t>SS10</t>
        </is>
      </c>
      <c r="C54" s="301" t="n">
        <v>1440</v>
      </c>
      <c r="D54" s="301" t="n">
        <v>468</v>
      </c>
      <c r="E54" s="301">
        <f>10+20</f>
        <v/>
      </c>
      <c r="F54" s="301">
        <f>1+1+1+1</f>
        <v/>
      </c>
      <c r="G54" s="245">
        <f>E54-F54</f>
        <v/>
      </c>
      <c r="H54" s="292" t="inlineStr">
        <is>
          <t>12cut/Neon Purple AB/SS10/Hot/073+</t>
        </is>
      </c>
      <c r="I54" s="429" t="n"/>
    </row>
    <row r="55">
      <c r="A55" s="428" t="n"/>
      <c r="B55" s="301" t="inlineStr">
        <is>
          <t>SS12</t>
        </is>
      </c>
      <c r="C55" s="301" t="n">
        <v>1440</v>
      </c>
      <c r="D55" s="301" t="n">
        <v>558</v>
      </c>
      <c r="E55" s="301">
        <f>10+20</f>
        <v/>
      </c>
      <c r="F55" s="301" t="n">
        <v>1</v>
      </c>
      <c r="G55" s="245">
        <f>E55-F55</f>
        <v/>
      </c>
      <c r="H55" s="292" t="inlineStr">
        <is>
          <t>12cut/Neon Purple AB/SS12/Hot/073+</t>
        </is>
      </c>
      <c r="I55" s="429" t="n"/>
    </row>
    <row r="56">
      <c r="A56" s="428" t="n"/>
      <c r="B56" s="301" t="inlineStr">
        <is>
          <t>SS16</t>
        </is>
      </c>
      <c r="C56" s="301" t="n">
        <v>1440</v>
      </c>
      <c r="D56" s="301" t="n">
        <v>803</v>
      </c>
      <c r="E56" s="301">
        <f>10+20</f>
        <v/>
      </c>
      <c r="F56" s="301">
        <f>1+1+1+1</f>
        <v/>
      </c>
      <c r="G56" s="245">
        <f>E56-F56</f>
        <v/>
      </c>
      <c r="H56" s="292" t="inlineStr">
        <is>
          <t>12cut/Neon Purple AB/SS16/Hot/073+</t>
        </is>
      </c>
      <c r="I56" s="429" t="n"/>
    </row>
    <row r="57" ht="15.75" customHeight="1" thickBot="1">
      <c r="A57" s="430" t="n"/>
      <c r="B57" s="302" t="inlineStr">
        <is>
          <t>SS20</t>
        </is>
      </c>
      <c r="C57" s="302" t="n">
        <v>1440</v>
      </c>
      <c r="D57" s="302" t="n">
        <v>1023</v>
      </c>
      <c r="E57" s="302">
        <f>10+11</f>
        <v/>
      </c>
      <c r="F57" s="302">
        <f>1+1</f>
        <v/>
      </c>
      <c r="G57" s="246">
        <f>E57-F57</f>
        <v/>
      </c>
      <c r="H57" s="295" t="inlineStr">
        <is>
          <t>12cut/Neon Purple AB/SS20/Hot/073+</t>
        </is>
      </c>
      <c r="I57" s="433" t="n"/>
    </row>
    <row r="58" ht="16.5" customHeight="1" thickBot="1" thickTop="1">
      <c r="A58" s="31" t="inlineStr">
        <is>
          <t>NEON YELLOW AB</t>
        </is>
      </c>
      <c r="B58" s="303" t="inlineStr">
        <is>
          <t>SS6</t>
        </is>
      </c>
      <c r="C58" s="303" t="n">
        <v>1440</v>
      </c>
      <c r="D58" s="303" t="n">
        <v>319</v>
      </c>
      <c r="E58" s="303" t="n">
        <v>20</v>
      </c>
      <c r="F58" s="303">
        <f>1+1</f>
        <v/>
      </c>
      <c r="G58" s="243">
        <f>E58-F58</f>
        <v/>
      </c>
      <c r="H58" s="291" t="inlineStr">
        <is>
          <t>12cut/Neon Yellow AB/SS3/Hot/069+</t>
        </is>
      </c>
      <c r="I58" s="362" t="inlineStr">
        <is>
          <t>069+</t>
        </is>
      </c>
    </row>
    <row r="59" ht="16.5" customHeight="1" thickBot="1" thickTop="1">
      <c r="A59" s="428" t="n"/>
      <c r="B59" s="301" t="inlineStr">
        <is>
          <t>SS8</t>
        </is>
      </c>
      <c r="C59" s="301" t="n">
        <v>1440</v>
      </c>
      <c r="D59" s="301" t="n">
        <v>413</v>
      </c>
      <c r="E59" s="301" t="n">
        <v>20</v>
      </c>
      <c r="F59" s="301" t="n"/>
      <c r="G59" s="245">
        <f>E59-F59</f>
        <v/>
      </c>
      <c r="H59" s="292" t="inlineStr">
        <is>
          <t>12cut/Neon Yellow AB/SS3/Hot/069+</t>
        </is>
      </c>
      <c r="I59" s="429" t="n"/>
    </row>
    <row r="60" ht="16.5" customHeight="1" thickBot="1" thickTop="1">
      <c r="A60" s="428" t="n"/>
      <c r="B60" s="301" t="inlineStr">
        <is>
          <t>SS10</t>
        </is>
      </c>
      <c r="C60" s="301" t="n">
        <v>1440</v>
      </c>
      <c r="D60" s="301" t="n">
        <v>457</v>
      </c>
      <c r="E60" s="301" t="n">
        <v>20</v>
      </c>
      <c r="F60" s="301" t="n"/>
      <c r="G60" s="245">
        <f>E60-F60</f>
        <v/>
      </c>
      <c r="H60" s="292" t="inlineStr">
        <is>
          <t>12cut/Neon Yellow AB/SS3/Hot/069+</t>
        </is>
      </c>
      <c r="I60" s="429" t="n"/>
    </row>
    <row r="61" ht="16.5" customHeight="1" thickBot="1" thickTop="1">
      <c r="A61" s="428" t="n"/>
      <c r="B61" s="301" t="inlineStr">
        <is>
          <t>SS12</t>
        </is>
      </c>
      <c r="C61" s="301" t="n">
        <v>1440</v>
      </c>
      <c r="D61" s="301" t="n">
        <v>558</v>
      </c>
      <c r="E61" s="301" t="n">
        <v>20</v>
      </c>
      <c r="F61" s="301" t="n"/>
      <c r="G61" s="245">
        <f>E61-F61</f>
        <v/>
      </c>
      <c r="H61" s="292" t="inlineStr">
        <is>
          <t>12cut/Neon Yellow AB/SS3/Hot/069+</t>
        </is>
      </c>
      <c r="I61" s="429" t="n"/>
    </row>
    <row r="62" ht="16.5" customHeight="1" thickBot="1" thickTop="1">
      <c r="A62" s="428" t="n"/>
      <c r="B62" s="336" t="inlineStr">
        <is>
          <t>SS16</t>
        </is>
      </c>
      <c r="C62" s="301" t="n">
        <v>1440</v>
      </c>
      <c r="D62" s="301" t="n">
        <v>803</v>
      </c>
      <c r="E62" s="301" t="n">
        <v>20</v>
      </c>
      <c r="F62" s="301" t="n"/>
      <c r="G62" s="245">
        <f>E62-F62</f>
        <v/>
      </c>
      <c r="H62" s="292" t="inlineStr">
        <is>
          <t>12cut/Neon Yellow AB/SS3/Hot/069+</t>
        </is>
      </c>
      <c r="I62" s="429" t="n"/>
    </row>
    <row r="63" ht="16.5" customHeight="1" thickBot="1" thickTop="1">
      <c r="A63" s="428" t="n"/>
      <c r="B63" s="301" t="inlineStr">
        <is>
          <t>SS20</t>
        </is>
      </c>
      <c r="C63" s="301" t="n">
        <v>1440</v>
      </c>
      <c r="D63" s="301" t="n">
        <v>1023</v>
      </c>
      <c r="E63" s="301" t="n">
        <v>19</v>
      </c>
      <c r="F63" s="301" t="n">
        <v>1</v>
      </c>
      <c r="G63" s="245">
        <f>E63-F63</f>
        <v/>
      </c>
      <c r="H63" s="292" t="inlineStr">
        <is>
          <t>12cut/Neon Yellow AB/SS3/Hot/069+</t>
        </is>
      </c>
      <c r="I63" s="429" t="n"/>
    </row>
    <row r="64" ht="16.5" customHeight="1" thickBot="1" thickTop="1">
      <c r="A64" s="432" t="n"/>
      <c r="B64" s="302" t="inlineStr">
        <is>
          <t>SS30</t>
        </is>
      </c>
      <c r="C64" s="302" t="n">
        <v>288</v>
      </c>
      <c r="D64" s="302" t="n">
        <v>773</v>
      </c>
      <c r="E64" s="302" t="n">
        <v>20</v>
      </c>
      <c r="F64" s="302" t="n"/>
      <c r="G64" s="246">
        <f>E64-F64</f>
        <v/>
      </c>
      <c r="H64" s="295" t="inlineStr">
        <is>
          <t>12cut/Neon Yellow AB/SS3/Hot/069+</t>
        </is>
      </c>
      <c r="I64" s="431" t="n"/>
    </row>
    <row r="65" ht="16.5" customHeight="1" thickBot="1" thickTop="1">
      <c r="A65" s="31" t="inlineStr">
        <is>
          <t>NEON BLUE AB</t>
        </is>
      </c>
      <c r="B65" s="303" t="inlineStr">
        <is>
          <t>SS6</t>
        </is>
      </c>
      <c r="C65" s="303" t="n">
        <v>1440</v>
      </c>
      <c r="D65" s="303" t="n">
        <v>319</v>
      </c>
      <c r="E65" s="303" t="n">
        <v>20</v>
      </c>
      <c r="F65" s="303">
        <f>1+1+1+1+1</f>
        <v/>
      </c>
      <c r="G65" s="244">
        <f>E65-F65</f>
        <v/>
      </c>
      <c r="H65" s="291" t="inlineStr">
        <is>
          <t>12cut/Neon Blue AB/SS6/Hot/070+</t>
        </is>
      </c>
      <c r="I65" s="362" t="inlineStr">
        <is>
          <t>070+</t>
        </is>
      </c>
    </row>
    <row r="66" ht="16.5" customHeight="1" thickBot="1" thickTop="1">
      <c r="A66" s="428" t="n"/>
      <c r="B66" s="301" t="inlineStr">
        <is>
          <t>SS8</t>
        </is>
      </c>
      <c r="C66" s="301" t="n">
        <v>1440</v>
      </c>
      <c r="D66" s="301" t="n">
        <v>413</v>
      </c>
      <c r="E66" s="301">
        <f>20</f>
        <v/>
      </c>
      <c r="F66" s="301">
        <f>1+1+1</f>
        <v/>
      </c>
      <c r="G66" s="245">
        <f>E66-F66</f>
        <v/>
      </c>
      <c r="H66" s="292" t="inlineStr">
        <is>
          <t>12cut/Neon Blue AB/SS8/Hot/070+</t>
        </is>
      </c>
      <c r="I66" s="429" t="n"/>
    </row>
    <row r="67" ht="16.5" customHeight="1" thickBot="1" thickTop="1">
      <c r="A67" s="428" t="n"/>
      <c r="B67" s="301" t="inlineStr">
        <is>
          <t>SS10</t>
        </is>
      </c>
      <c r="C67" s="301" t="n">
        <v>1440</v>
      </c>
      <c r="D67" s="301" t="n">
        <v>457</v>
      </c>
      <c r="E67" s="301" t="n">
        <v>20</v>
      </c>
      <c r="F67" s="301" t="n">
        <v>1</v>
      </c>
      <c r="G67" s="245">
        <f>E67-F67</f>
        <v/>
      </c>
      <c r="H67" s="292" t="inlineStr">
        <is>
          <t>12cut/Neon Blue AB/SS10/Hot/070+</t>
        </is>
      </c>
      <c r="I67" s="429" t="n"/>
    </row>
    <row r="68" ht="16.5" customHeight="1" thickBot="1" thickTop="1">
      <c r="A68" s="428" t="n"/>
      <c r="B68" s="301" t="inlineStr">
        <is>
          <t>SS12</t>
        </is>
      </c>
      <c r="C68" s="301" t="n">
        <v>1440</v>
      </c>
      <c r="D68" s="301" t="n">
        <v>558</v>
      </c>
      <c r="E68" s="301" t="n">
        <v>20</v>
      </c>
      <c r="F68" s="301" t="n">
        <v>1</v>
      </c>
      <c r="G68" s="245">
        <f>E68-F68</f>
        <v/>
      </c>
      <c r="H68" s="292" t="inlineStr">
        <is>
          <t>12cut/Neon Blue AB/SS12/Hot/070+</t>
        </is>
      </c>
      <c r="I68" s="429" t="n"/>
    </row>
    <row r="69" ht="16.5" customHeight="1" thickBot="1" thickTop="1">
      <c r="A69" s="428" t="n"/>
      <c r="B69" s="301" t="inlineStr">
        <is>
          <t>SS16</t>
        </is>
      </c>
      <c r="C69" s="301" t="n">
        <v>1440</v>
      </c>
      <c r="D69" s="301" t="n">
        <v>803</v>
      </c>
      <c r="E69" s="301" t="n">
        <v>19</v>
      </c>
      <c r="F69" s="301" t="n">
        <v>1</v>
      </c>
      <c r="G69" s="245">
        <f>E69-F69</f>
        <v/>
      </c>
      <c r="H69" s="292" t="inlineStr">
        <is>
          <t>12cut/Neon Blue AB/SS16/Hot/070+</t>
        </is>
      </c>
      <c r="I69" s="429" t="n"/>
    </row>
    <row r="70" ht="16.5" customHeight="1" thickBot="1" thickTop="1">
      <c r="A70" s="428" t="n"/>
      <c r="B70" s="301" t="inlineStr">
        <is>
          <t>SS20</t>
        </is>
      </c>
      <c r="C70" s="301" t="n">
        <v>1440</v>
      </c>
      <c r="D70" s="301" t="n">
        <v>1023</v>
      </c>
      <c r="E70" s="301" t="n">
        <v>19</v>
      </c>
      <c r="F70" s="301">
        <f>1+1+1</f>
        <v/>
      </c>
      <c r="G70" s="245">
        <f>E70-F70</f>
        <v/>
      </c>
      <c r="H70" s="292" t="inlineStr">
        <is>
          <t>12cut/Neon Blue AB/SS20/Hot/070+</t>
        </is>
      </c>
      <c r="I70" s="429" t="n"/>
    </row>
    <row r="71" ht="16.5" customHeight="1" thickBot="1" thickTop="1">
      <c r="A71" s="432" t="n"/>
      <c r="B71" s="302" t="inlineStr">
        <is>
          <t>SS30</t>
        </is>
      </c>
      <c r="C71" s="302" t="n">
        <v>288</v>
      </c>
      <c r="D71" s="302" t="n">
        <v>773</v>
      </c>
      <c r="E71" s="302" t="n">
        <v>20</v>
      </c>
      <c r="F71" s="302">
        <f>1+1</f>
        <v/>
      </c>
      <c r="G71" s="246">
        <f>E71-F71</f>
        <v/>
      </c>
      <c r="H71" s="295" t="inlineStr">
        <is>
          <t>12cut/Neon Blue AB/SS30/Hot/070+</t>
        </is>
      </c>
      <c r="I71" s="431" t="n"/>
    </row>
    <row r="72" ht="16.5" customHeight="1" thickBot="1" thickTop="1">
      <c r="A72" s="303" t="inlineStr">
        <is>
          <t>NEON GREEN AB</t>
        </is>
      </c>
      <c r="B72" s="303" t="inlineStr">
        <is>
          <t>SS6</t>
        </is>
      </c>
      <c r="C72" s="303" t="n">
        <v>1440</v>
      </c>
      <c r="D72" s="303" t="n">
        <v>319</v>
      </c>
      <c r="E72" s="303" t="n">
        <v>19</v>
      </c>
      <c r="F72" s="303" t="n">
        <v>2</v>
      </c>
      <c r="G72" s="243">
        <f>E72-F72</f>
        <v/>
      </c>
      <c r="H72" s="291" t="inlineStr">
        <is>
          <t>12cut/Neon Green AB/SS6/Hot/071+</t>
        </is>
      </c>
      <c r="I72" s="362" t="inlineStr">
        <is>
          <t>071+</t>
        </is>
      </c>
    </row>
    <row r="73" ht="16.5" customHeight="1" thickBot="1" thickTop="1">
      <c r="A73" s="428" t="n"/>
      <c r="B73" s="301" t="inlineStr">
        <is>
          <t>SS8</t>
        </is>
      </c>
      <c r="C73" s="301" t="n">
        <v>1440</v>
      </c>
      <c r="D73" s="317" t="n">
        <v>413</v>
      </c>
      <c r="E73" s="317" t="n">
        <v>21</v>
      </c>
      <c r="F73" s="317" t="n"/>
      <c r="G73" s="244">
        <f>E73-F73</f>
        <v/>
      </c>
      <c r="H73" s="292" t="inlineStr">
        <is>
          <t>12cut/Neon Green AB/SS8/Hot/071+</t>
        </is>
      </c>
      <c r="I73" s="429" t="n"/>
    </row>
    <row r="74" ht="16.5" customHeight="1" thickBot="1" thickTop="1">
      <c r="A74" s="428" t="n"/>
      <c r="B74" s="301" t="inlineStr">
        <is>
          <t>SS10</t>
        </is>
      </c>
      <c r="C74" s="301" t="n">
        <v>1440</v>
      </c>
      <c r="D74" s="301" t="n">
        <v>457</v>
      </c>
      <c r="E74" s="301" t="n">
        <v>20</v>
      </c>
      <c r="F74" s="301" t="n"/>
      <c r="G74" s="245">
        <f>E74-F74</f>
        <v/>
      </c>
      <c r="H74" s="292" t="inlineStr">
        <is>
          <t>12cut/Neon Green AB/SS10/Hot/071+</t>
        </is>
      </c>
      <c r="I74" s="429" t="n"/>
    </row>
    <row r="75" ht="16.5" customHeight="1" thickBot="1" thickTop="1">
      <c r="A75" s="428" t="n"/>
      <c r="B75" s="301" t="inlineStr">
        <is>
          <t>SS12</t>
        </is>
      </c>
      <c r="C75" s="301" t="n">
        <v>1440</v>
      </c>
      <c r="D75" s="301" t="n">
        <v>558</v>
      </c>
      <c r="E75" s="301" t="n">
        <v>20</v>
      </c>
      <c r="F75" s="301" t="n"/>
      <c r="G75" s="245">
        <f>E75-F75</f>
        <v/>
      </c>
      <c r="H75" s="292" t="inlineStr">
        <is>
          <t>12cut/Neon Green AB/SS12/Hot/071+</t>
        </is>
      </c>
      <c r="I75" s="429" t="n"/>
    </row>
    <row r="76" ht="16.5" customHeight="1" thickBot="1" thickTop="1">
      <c r="A76" s="428" t="n"/>
      <c r="B76" s="301" t="inlineStr">
        <is>
          <t>SS16</t>
        </is>
      </c>
      <c r="C76" s="301" t="n">
        <v>1440</v>
      </c>
      <c r="D76" s="301" t="n">
        <v>803</v>
      </c>
      <c r="E76" s="301" t="n">
        <v>20</v>
      </c>
      <c r="F76" s="301" t="n"/>
      <c r="G76" s="245">
        <f>E76-F76</f>
        <v/>
      </c>
      <c r="H76" s="292" t="inlineStr">
        <is>
          <t>12cut/Neon Green AB/SS16/Hot/071+</t>
        </is>
      </c>
      <c r="I76" s="429" t="n"/>
    </row>
    <row r="77" ht="16.5" customHeight="1" thickBot="1" thickTop="1">
      <c r="A77" s="428" t="n"/>
      <c r="B77" s="301" t="inlineStr">
        <is>
          <t>SS20</t>
        </is>
      </c>
      <c r="C77" s="301" t="n">
        <v>1440</v>
      </c>
      <c r="D77" s="301" t="n">
        <v>1023</v>
      </c>
      <c r="E77" s="301" t="n">
        <v>19</v>
      </c>
      <c r="F77" s="301" t="n"/>
      <c r="G77" s="245">
        <f>E77-F77</f>
        <v/>
      </c>
      <c r="H77" s="292" t="inlineStr">
        <is>
          <t>12cut/Neon Green AB/SS20/Hot/071+</t>
        </is>
      </c>
      <c r="I77" s="429" t="n"/>
    </row>
    <row r="78" ht="16.5" customHeight="1" thickBot="1" thickTop="1">
      <c r="A78" s="430" t="n"/>
      <c r="B78" s="302" t="inlineStr">
        <is>
          <t>SS30</t>
        </is>
      </c>
      <c r="C78" s="302" t="n">
        <v>288</v>
      </c>
      <c r="D78" s="302" t="n">
        <v>773</v>
      </c>
      <c r="E78" s="302">
        <f>10+10</f>
        <v/>
      </c>
      <c r="F78" s="302" t="n"/>
      <c r="G78" s="246">
        <f>E78-F78</f>
        <v/>
      </c>
      <c r="H78" s="295" t="inlineStr">
        <is>
          <t>12cut/Neon Green AB/SS30/Hot/071+</t>
        </is>
      </c>
      <c r="I78" s="431" t="n"/>
    </row>
    <row r="79" ht="15.75" customHeight="1" thickTop="1">
      <c r="A79" s="161" t="n"/>
      <c r="B79" s="161" t="n"/>
      <c r="C79" s="161" t="n"/>
      <c r="D79" s="161" t="n"/>
      <c r="E79" s="161" t="n"/>
      <c r="F79" s="161" t="n"/>
      <c r="G79" s="161" t="n"/>
      <c r="I79" s="161" t="n"/>
    </row>
    <row r="80">
      <c r="A80" s="161" t="n"/>
      <c r="B80" s="161" t="n"/>
      <c r="C80" s="161" t="n"/>
      <c r="D80" s="161" t="n"/>
      <c r="E80" s="161" t="n"/>
      <c r="F80" s="161" t="n"/>
      <c r="G80" s="161" t="n"/>
      <c r="I80" s="161" t="n"/>
    </row>
  </sheetData>
  <mergeCells count="27">
    <mergeCell ref="I9:I14"/>
    <mergeCell ref="A52:A57"/>
    <mergeCell ref="A9:A14"/>
    <mergeCell ref="A15:A20"/>
    <mergeCell ref="I21:I27"/>
    <mergeCell ref="I15:I20"/>
    <mergeCell ref="I36:I37"/>
    <mergeCell ref="A36:A37"/>
    <mergeCell ref="A72:A78"/>
    <mergeCell ref="I58:I64"/>
    <mergeCell ref="A21:A27"/>
    <mergeCell ref="A28:A30"/>
    <mergeCell ref="I38:I44"/>
    <mergeCell ref="A38:A44"/>
    <mergeCell ref="A1:D1"/>
    <mergeCell ref="A58:A64"/>
    <mergeCell ref="A3:A8"/>
    <mergeCell ref="I65:I71"/>
    <mergeCell ref="I3:I8"/>
    <mergeCell ref="I52:I57"/>
    <mergeCell ref="A45:A51"/>
    <mergeCell ref="I45:I51"/>
    <mergeCell ref="A31:A34"/>
    <mergeCell ref="I31:I34"/>
    <mergeCell ref="A65:A71"/>
    <mergeCell ref="I28:I30"/>
    <mergeCell ref="I72:I78"/>
  </mergeCells>
  <pageMargins left="0.7086614173228347" right="0.7086614173228347" top="0.7480314960629921" bottom="0.7480314960629921" header="0.3149606299212598" footer="0.3149606299212598"/>
  <pageSetup orientation="portrait" paperSize="9" scale="95" fitToHeight="2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2026-07-07T02:53:33Z</dcterms:modified>
  <cp:lastModifiedBy>Alexandr</cp:lastModifiedBy>
  <cp:lastPrinted>2026-04-22T12:43:34Z</cp:lastPrinted>
</cp:coreProperties>
</file>