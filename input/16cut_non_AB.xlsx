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3001"/>
  <workbookPr defaultThemeVersion="166925"/>
  <mc:AlternateContent xmlns:mc="http://schemas.openxmlformats.org/markup-compatibility/2006">
    <mc:Choice Requires="x15">
      <x15ac:absPath xmlns:x15ac="http://schemas.microsoft.com/office/spreadsheetml/2010/11/ac" url="C:\Users\USER\Desktop\nas_parser\input\"/>
    </mc:Choice>
  </mc:AlternateContent>
  <xr:revisionPtr revIDLastSave="0" documentId="8_{2E38F2B9-F109-4D4B-85BB-B9658B7F978D}" xr6:coauthVersionLast="45" xr6:coauthVersionMax="45" xr10:uidLastSave="{00000000-0000-0000-0000-000000000000}"/>
  <bookViews>
    <workbookView xWindow="-120" yWindow="-120" windowWidth="29040" windowHeight="15720" xr2:uid="{FD80D795-CA88-4C29-8538-51B7248E7118}"/>
  </bookViews>
  <sheets>
    <sheet name="16 граней холод АВ" sheetId="1" r:id="rId1"/>
  </sheets>
  <calcPr calcId="191029" refMode="R1C1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FV"/>
      </xcalcf:calcFeatures>
    </ext>
  </extLst>
</workbook>
</file>

<file path=xl/calcChain.xml><?xml version="1.0" encoding="utf-8"?>
<calcChain xmlns="http://schemas.openxmlformats.org/spreadsheetml/2006/main">
  <c r="E55" i="1" l="1"/>
  <c r="G55" i="1" s="1"/>
  <c r="F54" i="1"/>
  <c r="E54" i="1"/>
  <c r="G54" i="1" s="1"/>
  <c r="E53" i="1"/>
  <c r="G53" i="1" s="1"/>
  <c r="F52" i="1"/>
  <c r="G52" i="1" s="1"/>
  <c r="G51" i="1"/>
  <c r="F51" i="1"/>
  <c r="G50" i="1"/>
  <c r="G49" i="1"/>
  <c r="G48" i="1"/>
  <c r="F47" i="1"/>
  <c r="G47" i="1" s="1"/>
  <c r="F46" i="1"/>
  <c r="G46" i="1" s="1"/>
  <c r="F45" i="1"/>
  <c r="G45" i="1" s="1"/>
  <c r="E44" i="1"/>
  <c r="G44" i="1" s="1"/>
  <c r="E43" i="1"/>
  <c r="G43" i="1" s="1"/>
  <c r="E42" i="1"/>
  <c r="G42" i="1" s="1"/>
  <c r="E41" i="1"/>
  <c r="G41" i="1" s="1"/>
  <c r="E40" i="1"/>
  <c r="G40" i="1" s="1"/>
  <c r="E39" i="1"/>
  <c r="G39" i="1" s="1"/>
  <c r="G38" i="1"/>
  <c r="G37" i="1"/>
  <c r="G36" i="1"/>
  <c r="E35" i="1"/>
  <c r="G35" i="1" s="1"/>
  <c r="G34" i="1"/>
  <c r="E34" i="1"/>
  <c r="E33" i="1"/>
  <c r="G33" i="1" s="1"/>
  <c r="G32" i="1"/>
  <c r="F31" i="1"/>
  <c r="G31" i="1" s="1"/>
  <c r="G30" i="1"/>
  <c r="G29" i="1"/>
  <c r="F28" i="1"/>
  <c r="G28" i="1" s="1"/>
  <c r="F27" i="1"/>
  <c r="G27" i="1" s="1"/>
  <c r="G26" i="1"/>
  <c r="F25" i="1"/>
  <c r="G25" i="1" s="1"/>
  <c r="G24" i="1"/>
  <c r="G23" i="1"/>
  <c r="G22" i="1"/>
  <c r="G21" i="1"/>
  <c r="G20" i="1"/>
  <c r="G19" i="1"/>
  <c r="G18" i="1"/>
  <c r="G17" i="1"/>
  <c r="G16" i="1"/>
  <c r="E16" i="1"/>
  <c r="E15" i="1"/>
  <c r="G15" i="1" s="1"/>
  <c r="G14" i="1"/>
  <c r="F13" i="1"/>
  <c r="G13" i="1" s="1"/>
  <c r="F12" i="1"/>
  <c r="G12" i="1" s="1"/>
  <c r="G11" i="1"/>
  <c r="G10" i="1"/>
  <c r="G9" i="1"/>
  <c r="G8" i="1"/>
  <c r="F8" i="1"/>
  <c r="F7" i="1"/>
  <c r="G7" i="1" s="1"/>
  <c r="F6" i="1"/>
  <c r="G6" i="1" s="1"/>
  <c r="G5" i="1"/>
  <c r="G4" i="1"/>
  <c r="G3" i="1"/>
</calcChain>
</file>

<file path=xl/sharedStrings.xml><?xml version="1.0" encoding="utf-8"?>
<sst xmlns="http://schemas.openxmlformats.org/spreadsheetml/2006/main" count="96" uniqueCount="46">
  <si>
    <t>16 граней холодная фиксация с эффектом АВ</t>
  </si>
  <si>
    <t>цвет</t>
  </si>
  <si>
    <t>размер</t>
  </si>
  <si>
    <t>штук в пачке</t>
  </si>
  <si>
    <t>цена продажи в руб</t>
  </si>
  <si>
    <t>всего шт пришло</t>
  </si>
  <si>
    <t>продано</t>
  </si>
  <si>
    <t>остаток на складе</t>
  </si>
  <si>
    <t>код цвета</t>
  </si>
  <si>
    <t>JET AB</t>
  </si>
  <si>
    <t>SS16</t>
  </si>
  <si>
    <t>002+</t>
  </si>
  <si>
    <t>SS20</t>
  </si>
  <si>
    <t>SS30</t>
  </si>
  <si>
    <t>TOPAZ AB</t>
  </si>
  <si>
    <t>008+</t>
  </si>
  <si>
    <t>LCT AB</t>
  </si>
  <si>
    <t>010+</t>
  </si>
  <si>
    <t>LT SAPPHIRE AB</t>
  </si>
  <si>
    <t>011+</t>
  </si>
  <si>
    <t>SAPPHIRE AB</t>
  </si>
  <si>
    <t>013+</t>
  </si>
  <si>
    <t>CAPRI BLUE AB</t>
  </si>
  <si>
    <t>017+</t>
  </si>
  <si>
    <t>INDICOLITE AB</t>
  </si>
  <si>
    <t>014+</t>
  </si>
  <si>
    <t>BLUE ZIRCON AB</t>
  </si>
  <si>
    <t>015+</t>
  </si>
  <si>
    <t>AQUAMARINE AB</t>
  </si>
  <si>
    <t>016+</t>
  </si>
  <si>
    <t>LT PERIDOT AB</t>
  </si>
  <si>
    <t>024+</t>
  </si>
  <si>
    <t>EMERALD AB</t>
  </si>
  <si>
    <t>026+</t>
  </si>
  <si>
    <t>OLIVINE AB</t>
  </si>
  <si>
    <t>027+</t>
  </si>
  <si>
    <t>SIAM AB</t>
  </si>
  <si>
    <t>GARNET AB</t>
  </si>
  <si>
    <t>034+</t>
  </si>
  <si>
    <t>ORANGE AB</t>
  </si>
  <si>
    <t>031+</t>
  </si>
  <si>
    <t>CITRINE AB</t>
  </si>
  <si>
    <t>035+</t>
  </si>
  <si>
    <t xml:space="preserve">Lt.RoseAB </t>
  </si>
  <si>
    <t>038+</t>
  </si>
  <si>
    <t>AQUA SILVER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</si>
</sst>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7" x14ac:knownFonts="1">
    <font>
      <sz val="11"/>
      <color theme="1"/>
      <name val="Calibri"/>
      <family val="2"/>
      <charset val="204"/>
      <scheme val="minor"/>
    </font>
    <font>
      <sz val="11"/>
      <color theme="1"/>
      <name val="Calibri"/>
      <family val="2"/>
      <charset val="204"/>
      <scheme val="minor"/>
    </font>
    <font>
      <b/>
      <sz val="11"/>
      <name val="Times New Roman"/>
      <family val="1"/>
      <charset val="204"/>
    </font>
    <font>
      <b/>
      <sz val="12"/>
      <name val="Times New Roman"/>
      <family val="1"/>
      <charset val="204"/>
    </font>
    <font>
      <b/>
      <sz val="11"/>
      <color theme="1"/>
      <name val="Times New Roman"/>
      <family val="1"/>
      <charset val="204"/>
    </font>
    <font>
      <sz val="11"/>
      <color theme="1"/>
      <name val="Times New Roman"/>
      <family val="1"/>
      <charset val="204"/>
    </font>
    <font>
      <sz val="11"/>
      <name val="Times New Roman"/>
      <family val="1"/>
      <charset val="204"/>
    </font>
  </fonts>
  <fills count="2">
    <fill>
      <patternFill patternType="none"/>
    </fill>
    <fill>
      <patternFill patternType="gray125"/>
    </fill>
  </fills>
  <borders count="11">
    <border>
      <left/>
      <right/>
      <top/>
      <bottom/>
      <diagonal/>
    </border>
    <border>
      <left/>
      <right/>
      <top/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ck">
        <color auto="1"/>
      </bottom>
      <diagonal/>
    </border>
    <border>
      <left style="thin">
        <color auto="1"/>
      </left>
      <right style="thin">
        <color auto="1"/>
      </right>
      <top style="thick">
        <color auto="1"/>
      </top>
      <bottom/>
      <diagonal/>
    </border>
    <border>
      <left style="thin">
        <color auto="1"/>
      </left>
      <right style="thin">
        <color auto="1"/>
      </right>
      <top style="thick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ck">
        <color auto="1"/>
      </top>
      <bottom style="thick">
        <color auto="1"/>
      </bottom>
      <diagonal/>
    </border>
    <border>
      <left style="thin">
        <color auto="1"/>
      </left>
      <right style="thin">
        <color auto="1"/>
      </right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/>
      <bottom style="thick">
        <color auto="1"/>
      </bottom>
      <diagonal/>
    </border>
    <border>
      <left style="thin">
        <color auto="1"/>
      </left>
      <right style="thin">
        <color auto="1"/>
      </right>
      <top/>
      <bottom style="thin">
        <color auto="1"/>
      </bottom>
      <diagonal/>
    </border>
  </borders>
  <cellStyleXfs count="10">
    <xf numFmtId="0" fontId="0" fillId="0" borderId="0"/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</cellStyleXfs>
  <cellXfs count="63">
    <xf numFmtId="0" fontId="0" fillId="0" borderId="0" xfId="0"/>
    <xf numFmtId="0" fontId="2" fillId="0" borderId="1" xfId="0" applyFont="1" applyBorder="1" applyAlignment="1">
      <alignment vertical="center"/>
    </xf>
    <xf numFmtId="0" fontId="3" fillId="0" borderId="1" xfId="0" applyFont="1" applyBorder="1" applyAlignment="1">
      <alignment vertical="center"/>
    </xf>
    <xf numFmtId="0" fontId="2" fillId="0" borderId="1" xfId="0" applyFont="1" applyBorder="1" applyAlignment="1">
      <alignment horizontal="center" vertical="center"/>
    </xf>
    <xf numFmtId="0" fontId="4" fillId="0" borderId="1" xfId="0" applyFont="1" applyBorder="1" applyAlignment="1">
      <alignment vertical="center"/>
    </xf>
    <xf numFmtId="0" fontId="5" fillId="0" borderId="0" xfId="0" applyFont="1"/>
    <xf numFmtId="0" fontId="4" fillId="0" borderId="2" xfId="0" applyFont="1" applyBorder="1" applyAlignment="1">
      <alignment horizontal="center" vertical="center" wrapText="1"/>
    </xf>
    <xf numFmtId="0" fontId="4" fillId="0" borderId="3" xfId="0" applyFont="1" applyBorder="1" applyAlignment="1">
      <alignment horizontal="center" vertical="center" wrapText="1"/>
    </xf>
    <xf numFmtId="0" fontId="5" fillId="0" borderId="4" xfId="0" applyFont="1" applyBorder="1" applyAlignment="1">
      <alignment horizontal="center" vertical="center"/>
    </xf>
    <xf numFmtId="0" fontId="6" fillId="0" borderId="5" xfId="1" applyFont="1" applyBorder="1" applyAlignment="1">
      <alignment horizontal="center" vertical="center"/>
    </xf>
    <xf numFmtId="0" fontId="5" fillId="0" borderId="5" xfId="0" applyFont="1" applyBorder="1" applyAlignment="1">
      <alignment horizontal="center" vertical="center"/>
    </xf>
    <xf numFmtId="0" fontId="5" fillId="0" borderId="6" xfId="0" applyFont="1" applyBorder="1" applyAlignment="1">
      <alignment horizontal="center" vertical="center"/>
    </xf>
    <xf numFmtId="0" fontId="5" fillId="0" borderId="7" xfId="0" applyFont="1" applyBorder="1" applyAlignment="1">
      <alignment horizontal="center" vertical="center"/>
    </xf>
    <xf numFmtId="0" fontId="6" fillId="0" borderId="8" xfId="1" applyFont="1" applyBorder="1" applyAlignment="1">
      <alignment horizontal="center" vertical="center"/>
    </xf>
    <xf numFmtId="0" fontId="5" fillId="0" borderId="8" xfId="0" applyFont="1" applyBorder="1" applyAlignment="1">
      <alignment horizontal="center" vertical="center"/>
    </xf>
    <xf numFmtId="0" fontId="6" fillId="0" borderId="2" xfId="1" applyFont="1" applyBorder="1" applyAlignment="1">
      <alignment horizontal="center" vertical="center"/>
    </xf>
    <xf numFmtId="0" fontId="5" fillId="0" borderId="2" xfId="0" applyFont="1" applyBorder="1" applyAlignment="1">
      <alignment horizontal="center" vertical="center"/>
    </xf>
    <xf numFmtId="0" fontId="5" fillId="0" borderId="4" xfId="0" applyFont="1" applyBorder="1" applyAlignment="1">
      <alignment horizontal="center" vertical="center"/>
    </xf>
    <xf numFmtId="0" fontId="5" fillId="0" borderId="9" xfId="0" applyFont="1" applyBorder="1" applyAlignment="1">
      <alignment horizontal="center" vertical="center"/>
    </xf>
    <xf numFmtId="0" fontId="6" fillId="0" borderId="3" xfId="1" applyFont="1" applyBorder="1" applyAlignment="1">
      <alignment horizontal="center" vertical="center"/>
    </xf>
    <xf numFmtId="0" fontId="5" fillId="0" borderId="3" xfId="0" applyFont="1" applyBorder="1" applyAlignment="1">
      <alignment horizontal="center" vertical="center"/>
    </xf>
    <xf numFmtId="0" fontId="5" fillId="0" borderId="5" xfId="0" applyFont="1" applyBorder="1" applyAlignment="1">
      <alignment horizontal="center" vertical="center"/>
    </xf>
    <xf numFmtId="0" fontId="6" fillId="0" borderId="5" xfId="0" applyFont="1" applyBorder="1" applyAlignment="1">
      <alignment horizontal="center" vertical="center"/>
    </xf>
    <xf numFmtId="0" fontId="5" fillId="0" borderId="8" xfId="0" applyFont="1" applyBorder="1" applyAlignment="1">
      <alignment horizontal="center" vertical="center"/>
    </xf>
    <xf numFmtId="0" fontId="6" fillId="0" borderId="8" xfId="0" applyFont="1" applyBorder="1" applyAlignment="1">
      <alignment horizontal="center" vertical="center"/>
    </xf>
    <xf numFmtId="0" fontId="5" fillId="0" borderId="3" xfId="0" applyFont="1" applyBorder="1" applyAlignment="1">
      <alignment horizontal="center" vertical="center"/>
    </xf>
    <xf numFmtId="0" fontId="6" fillId="0" borderId="3" xfId="0" applyFont="1" applyBorder="1" applyAlignment="1">
      <alignment horizontal="center" vertical="center"/>
    </xf>
    <xf numFmtId="0" fontId="6" fillId="0" borderId="10" xfId="2" applyFont="1" applyBorder="1" applyAlignment="1">
      <alignment horizontal="center" vertical="center"/>
    </xf>
    <xf numFmtId="0" fontId="6" fillId="0" borderId="10" xfId="1" applyFont="1" applyBorder="1" applyAlignment="1">
      <alignment horizontal="center" vertical="center"/>
    </xf>
    <xf numFmtId="0" fontId="5" fillId="0" borderId="10" xfId="0" applyFont="1" applyBorder="1" applyAlignment="1">
      <alignment horizontal="center" vertical="center"/>
    </xf>
    <xf numFmtId="0" fontId="6" fillId="0" borderId="8" xfId="2" applyFont="1" applyBorder="1" applyAlignment="1">
      <alignment horizontal="center" vertical="center"/>
    </xf>
    <xf numFmtId="0" fontId="6" fillId="0" borderId="2" xfId="2" applyFont="1" applyBorder="1" applyAlignment="1">
      <alignment horizontal="center" vertical="center"/>
    </xf>
    <xf numFmtId="0" fontId="5" fillId="0" borderId="5" xfId="0" applyFont="1" applyBorder="1" applyAlignment="1">
      <alignment horizontal="center" vertical="center" wrapText="1"/>
    </xf>
    <xf numFmtId="0" fontId="5" fillId="0" borderId="8" xfId="0" applyFont="1" applyBorder="1" applyAlignment="1">
      <alignment horizontal="center" vertical="center" wrapText="1"/>
    </xf>
    <xf numFmtId="0" fontId="5" fillId="0" borderId="3" xfId="0" applyFont="1" applyBorder="1" applyAlignment="1">
      <alignment horizontal="center" vertical="center" wrapText="1"/>
    </xf>
    <xf numFmtId="0" fontId="6" fillId="0" borderId="10" xfId="3" applyFont="1" applyBorder="1" applyAlignment="1">
      <alignment horizontal="center" vertical="center"/>
    </xf>
    <xf numFmtId="0" fontId="6" fillId="0" borderId="8" xfId="4" applyFont="1" applyBorder="1" applyAlignment="1">
      <alignment horizontal="center" vertical="center"/>
    </xf>
    <xf numFmtId="0" fontId="6" fillId="0" borderId="3" xfId="5" applyFont="1" applyBorder="1" applyAlignment="1">
      <alignment horizontal="center" vertical="center"/>
    </xf>
    <xf numFmtId="0" fontId="6" fillId="0" borderId="4" xfId="6" applyFont="1" applyBorder="1" applyAlignment="1">
      <alignment horizontal="center" vertical="center"/>
    </xf>
    <xf numFmtId="0" fontId="6" fillId="0" borderId="10" xfId="6" applyFont="1" applyBorder="1" applyAlignment="1">
      <alignment horizontal="center" vertical="center"/>
    </xf>
    <xf numFmtId="0" fontId="6" fillId="0" borderId="7" xfId="6" applyFont="1" applyBorder="1" applyAlignment="1">
      <alignment horizontal="center" vertical="center"/>
    </xf>
    <xf numFmtId="0" fontId="6" fillId="0" borderId="8" xfId="6" applyFont="1" applyBorder="1" applyAlignment="1">
      <alignment horizontal="center" vertical="center"/>
    </xf>
    <xf numFmtId="0" fontId="6" fillId="0" borderId="9" xfId="6" applyFont="1" applyBorder="1" applyAlignment="1">
      <alignment horizontal="center" vertical="center"/>
    </xf>
    <xf numFmtId="0" fontId="6" fillId="0" borderId="2" xfId="6" applyFont="1" applyBorder="1" applyAlignment="1">
      <alignment horizontal="center" vertical="center"/>
    </xf>
    <xf numFmtId="0" fontId="6" fillId="0" borderId="5" xfId="6" applyFont="1" applyBorder="1" applyAlignment="1">
      <alignment horizontal="center" vertical="center"/>
    </xf>
    <xf numFmtId="0" fontId="6" fillId="0" borderId="3" xfId="6" applyFont="1" applyBorder="1" applyAlignment="1">
      <alignment horizontal="center" vertical="center"/>
    </xf>
    <xf numFmtId="0" fontId="5" fillId="0" borderId="5" xfId="0" applyFont="1" applyBorder="1" applyAlignment="1">
      <alignment horizontal="center" vertical="center" wrapText="1"/>
    </xf>
    <xf numFmtId="0" fontId="5" fillId="0" borderId="8" xfId="0" applyFont="1" applyBorder="1" applyAlignment="1">
      <alignment horizontal="center" vertical="center" wrapText="1"/>
    </xf>
    <xf numFmtId="0" fontId="5" fillId="0" borderId="3" xfId="0" applyFont="1" applyBorder="1" applyAlignment="1">
      <alignment horizontal="center" vertical="center" wrapText="1"/>
    </xf>
    <xf numFmtId="0" fontId="6" fillId="0" borderId="7" xfId="7" applyFont="1" applyBorder="1" applyAlignment="1">
      <alignment horizontal="center" vertical="center"/>
    </xf>
    <xf numFmtId="0" fontId="6" fillId="0" borderId="10" xfId="8" applyFont="1" applyBorder="1" applyAlignment="1">
      <alignment horizontal="center" vertical="center"/>
    </xf>
    <xf numFmtId="0" fontId="6" fillId="0" borderId="7" xfId="8" applyFont="1" applyBorder="1" applyAlignment="1">
      <alignment horizontal="center" vertical="center"/>
    </xf>
    <xf numFmtId="0" fontId="6" fillId="0" borderId="7" xfId="1" applyFont="1" applyBorder="1" applyAlignment="1">
      <alignment horizontal="center" vertical="center"/>
    </xf>
    <xf numFmtId="0" fontId="5" fillId="0" borderId="7" xfId="0" applyFont="1" applyBorder="1" applyAlignment="1">
      <alignment horizontal="center" vertical="center"/>
    </xf>
    <xf numFmtId="0" fontId="6" fillId="0" borderId="10" xfId="9" applyFont="1" applyBorder="1" applyAlignment="1">
      <alignment horizontal="center" vertical="center"/>
    </xf>
    <xf numFmtId="0" fontId="6" fillId="0" borderId="8" xfId="9" applyFont="1" applyBorder="1" applyAlignment="1">
      <alignment horizontal="center" vertical="center"/>
    </xf>
    <xf numFmtId="0" fontId="6" fillId="0" borderId="3" xfId="9" applyFont="1" applyBorder="1" applyAlignment="1">
      <alignment horizontal="center" vertical="center"/>
    </xf>
    <xf numFmtId="0" fontId="6" fillId="0" borderId="5" xfId="0" applyFont="1" applyBorder="1" applyAlignment="1">
      <alignment horizontal="center" vertical="center" wrapText="1"/>
    </xf>
    <xf numFmtId="0" fontId="5" fillId="0" borderId="5" xfId="0" applyFont="1" applyBorder="1"/>
    <xf numFmtId="0" fontId="6" fillId="0" borderId="8" xfId="0" applyFont="1" applyBorder="1" applyAlignment="1">
      <alignment horizontal="center" vertical="center" wrapText="1"/>
    </xf>
    <xf numFmtId="0" fontId="5" fillId="0" borderId="8" xfId="0" applyFont="1" applyBorder="1"/>
    <xf numFmtId="0" fontId="6" fillId="0" borderId="3" xfId="0" applyFont="1" applyBorder="1" applyAlignment="1">
      <alignment horizontal="center" vertical="center" wrapText="1"/>
    </xf>
    <xf numFmtId="0" fontId="5" fillId="0" borderId="3" xfId="0" applyFont="1" applyBorder="1"/>
  </cellXfs>
  <cellStyles count="10">
    <cellStyle name="Обычный" xfId="0" builtinId="0"/>
    <cellStyle name="Обычный 51" xfId="1" xr:uid="{ED263657-93DA-47C0-B7CD-D86230F6AAC5}"/>
    <cellStyle name="Обычный 52" xfId="2" xr:uid="{86144E6A-4D29-4EAC-AE6D-B22CAC627947}"/>
    <cellStyle name="Обычный 53" xfId="3" xr:uid="{085ADC6A-740A-473A-83DC-7B4169CA26DF}"/>
    <cellStyle name="Обычный 54" xfId="4" xr:uid="{6832C7C3-1372-45C7-B90F-03B91E5A47D7}"/>
    <cellStyle name="Обычный 56" xfId="5" xr:uid="{04DAA318-65A8-4AFF-BB69-BC45FB08F5BE}"/>
    <cellStyle name="Обычный 57" xfId="6" xr:uid="{F6C2716B-9AAB-497D-8088-536A1FCD4B71}"/>
    <cellStyle name="Обычный 58" xfId="7" xr:uid="{1CB78B32-A64C-4E59-868A-A8D9FEC480BE}"/>
    <cellStyle name="Обычный 59" xfId="8" xr:uid="{BC425D73-1BDA-43F8-A43B-4F526DBEA492}"/>
    <cellStyle name="Обычный 62" xfId="9" xr:uid="{191A6DAE-6DF4-49B2-A23D-DEBE23037607}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Тема Office">
  <a:themeElements>
    <a:clrScheme name="Стандартная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Стандартная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Стандартная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DD3A69C-7013-469B-9C73-C86F5E4A3030}">
  <dimension ref="A1:H56"/>
  <sheetViews>
    <sheetView tabSelected="1" topLeftCell="A4" workbookViewId="0">
      <selection activeCell="F15" sqref="F15"/>
    </sheetView>
  </sheetViews>
  <sheetFormatPr defaultRowHeight="15" x14ac:dyDescent="0.25"/>
  <cols>
    <col min="1" max="1" width="23.140625" customWidth="1"/>
  </cols>
  <sheetData>
    <row r="1" spans="1:8" ht="15.75" x14ac:dyDescent="0.25">
      <c r="A1" s="1" t="s">
        <v>0</v>
      </c>
      <c r="B1" s="2"/>
      <c r="C1" s="1"/>
      <c r="D1" s="3"/>
      <c r="E1" s="4"/>
      <c r="F1" s="4"/>
      <c r="G1" s="4"/>
      <c r="H1" s="5"/>
    </row>
    <row r="2" spans="1:8" ht="43.5" thickBot="1" x14ac:dyDescent="0.3">
      <c r="A2" s="6" t="s">
        <v>1</v>
      </c>
      <c r="B2" s="6" t="s">
        <v>2</v>
      </c>
      <c r="C2" s="6" t="s">
        <v>3</v>
      </c>
      <c r="D2" s="6" t="s">
        <v>4</v>
      </c>
      <c r="E2" s="6" t="s">
        <v>5</v>
      </c>
      <c r="F2" s="6" t="s">
        <v>6</v>
      </c>
      <c r="G2" s="6" t="s">
        <v>7</v>
      </c>
      <c r="H2" s="7" t="s">
        <v>8</v>
      </c>
    </row>
    <row r="3" spans="1:8" ht="16.5" customHeight="1" thickTop="1" thickBot="1" x14ac:dyDescent="0.3">
      <c r="A3" s="8" t="s">
        <v>9</v>
      </c>
      <c r="B3" s="9" t="s">
        <v>10</v>
      </c>
      <c r="C3" s="9">
        <v>1440</v>
      </c>
      <c r="D3" s="9">
        <v>1485</v>
      </c>
      <c r="E3" s="10">
        <v>40</v>
      </c>
      <c r="F3" s="10"/>
      <c r="G3" s="10">
        <f t="shared" ref="G3:G55" si="0">E3-F3</f>
        <v>40</v>
      </c>
      <c r="H3" s="11" t="s">
        <v>11</v>
      </c>
    </row>
    <row r="4" spans="1:8" ht="16.5" thickTop="1" thickBot="1" x14ac:dyDescent="0.3">
      <c r="A4" s="12"/>
      <c r="B4" s="13" t="s">
        <v>12</v>
      </c>
      <c r="C4" s="13">
        <v>1440</v>
      </c>
      <c r="D4" s="13">
        <v>1972</v>
      </c>
      <c r="E4" s="14">
        <v>49</v>
      </c>
      <c r="F4" s="14"/>
      <c r="G4" s="14">
        <f t="shared" si="0"/>
        <v>49</v>
      </c>
      <c r="H4" s="11"/>
    </row>
    <row r="5" spans="1:8" ht="16.5" thickTop="1" thickBot="1" x14ac:dyDescent="0.3">
      <c r="A5" s="12"/>
      <c r="B5" s="15" t="s">
        <v>13</v>
      </c>
      <c r="C5" s="15">
        <v>288</v>
      </c>
      <c r="D5" s="15">
        <v>1485</v>
      </c>
      <c r="E5" s="16">
        <v>39</v>
      </c>
      <c r="F5" s="16"/>
      <c r="G5" s="16">
        <f t="shared" si="0"/>
        <v>39</v>
      </c>
      <c r="H5" s="11"/>
    </row>
    <row r="6" spans="1:8" ht="16.5" thickTop="1" thickBot="1" x14ac:dyDescent="0.3">
      <c r="A6" s="8" t="s">
        <v>14</v>
      </c>
      <c r="B6" s="9" t="s">
        <v>10</v>
      </c>
      <c r="C6" s="9">
        <v>1440</v>
      </c>
      <c r="D6" s="9">
        <v>1647</v>
      </c>
      <c r="E6" s="10">
        <v>50</v>
      </c>
      <c r="F6" s="10">
        <f>1+1+2+1</f>
        <v>5</v>
      </c>
      <c r="G6" s="17">
        <f t="shared" si="0"/>
        <v>45</v>
      </c>
      <c r="H6" s="11" t="s">
        <v>15</v>
      </c>
    </row>
    <row r="7" spans="1:8" ht="16.5" thickTop="1" thickBot="1" x14ac:dyDescent="0.3">
      <c r="A7" s="12"/>
      <c r="B7" s="15" t="s">
        <v>12</v>
      </c>
      <c r="C7" s="15">
        <v>1440</v>
      </c>
      <c r="D7" s="15">
        <v>2133</v>
      </c>
      <c r="E7" s="16">
        <v>80</v>
      </c>
      <c r="F7" s="14">
        <f>6+2+2+3+2</f>
        <v>15</v>
      </c>
      <c r="G7" s="16">
        <f t="shared" si="0"/>
        <v>65</v>
      </c>
      <c r="H7" s="11"/>
    </row>
    <row r="8" spans="1:8" ht="16.5" thickTop="1" thickBot="1" x14ac:dyDescent="0.3">
      <c r="A8" s="18"/>
      <c r="B8" s="19" t="s">
        <v>13</v>
      </c>
      <c r="C8" s="19">
        <v>288</v>
      </c>
      <c r="D8" s="19">
        <v>1647</v>
      </c>
      <c r="E8" s="20">
        <v>50</v>
      </c>
      <c r="F8" s="20">
        <f>1+1+2+1</f>
        <v>5</v>
      </c>
      <c r="G8" s="20">
        <f t="shared" si="0"/>
        <v>45</v>
      </c>
      <c r="H8" s="11"/>
    </row>
    <row r="9" spans="1:8" ht="16.5" thickTop="1" thickBot="1" x14ac:dyDescent="0.3">
      <c r="A9" s="21" t="s">
        <v>16</v>
      </c>
      <c r="B9" s="10" t="s">
        <v>10</v>
      </c>
      <c r="C9" s="10">
        <v>1440</v>
      </c>
      <c r="D9" s="9">
        <v>1647</v>
      </c>
      <c r="E9" s="22">
        <v>52</v>
      </c>
      <c r="F9" s="10"/>
      <c r="G9" s="10">
        <f t="shared" si="0"/>
        <v>52</v>
      </c>
      <c r="H9" s="11" t="s">
        <v>17</v>
      </c>
    </row>
    <row r="10" spans="1:8" ht="16.5" thickTop="1" thickBot="1" x14ac:dyDescent="0.3">
      <c r="A10" s="23"/>
      <c r="B10" s="14" t="s">
        <v>12</v>
      </c>
      <c r="C10" s="14">
        <v>1440</v>
      </c>
      <c r="D10" s="13">
        <v>2133</v>
      </c>
      <c r="E10" s="24">
        <v>79</v>
      </c>
      <c r="F10" s="14"/>
      <c r="G10" s="14">
        <f t="shared" si="0"/>
        <v>79</v>
      </c>
      <c r="H10" s="11"/>
    </row>
    <row r="11" spans="1:8" ht="16.5" thickTop="1" thickBot="1" x14ac:dyDescent="0.3">
      <c r="A11" s="25"/>
      <c r="B11" s="20" t="s">
        <v>13</v>
      </c>
      <c r="C11" s="20">
        <v>288</v>
      </c>
      <c r="D11" s="19">
        <v>1647</v>
      </c>
      <c r="E11" s="26">
        <v>50</v>
      </c>
      <c r="F11" s="20"/>
      <c r="G11" s="20">
        <f t="shared" si="0"/>
        <v>50</v>
      </c>
      <c r="H11" s="11"/>
    </row>
    <row r="12" spans="1:8" ht="16.5" thickTop="1" thickBot="1" x14ac:dyDescent="0.3">
      <c r="A12" s="8" t="s">
        <v>18</v>
      </c>
      <c r="B12" s="27" t="s">
        <v>10</v>
      </c>
      <c r="C12" s="27">
        <v>1440</v>
      </c>
      <c r="D12" s="28">
        <v>1647</v>
      </c>
      <c r="E12" s="29">
        <v>50</v>
      </c>
      <c r="F12" s="29">
        <f>1+2+1</f>
        <v>4</v>
      </c>
      <c r="G12" s="29">
        <f t="shared" si="0"/>
        <v>46</v>
      </c>
      <c r="H12" s="11" t="s">
        <v>19</v>
      </c>
    </row>
    <row r="13" spans="1:8" ht="16.5" thickTop="1" thickBot="1" x14ac:dyDescent="0.3">
      <c r="A13" s="12"/>
      <c r="B13" s="30" t="s">
        <v>12</v>
      </c>
      <c r="C13" s="30">
        <v>1440</v>
      </c>
      <c r="D13" s="13">
        <v>2133</v>
      </c>
      <c r="E13" s="14">
        <v>73</v>
      </c>
      <c r="F13" s="14">
        <f>4+2+1+1</f>
        <v>8</v>
      </c>
      <c r="G13" s="14">
        <f t="shared" si="0"/>
        <v>65</v>
      </c>
      <c r="H13" s="11"/>
    </row>
    <row r="14" spans="1:8" ht="16.5" thickTop="1" thickBot="1" x14ac:dyDescent="0.3">
      <c r="A14" s="12"/>
      <c r="B14" s="31" t="s">
        <v>13</v>
      </c>
      <c r="C14" s="31">
        <v>288</v>
      </c>
      <c r="D14" s="15">
        <v>1647</v>
      </c>
      <c r="E14" s="16">
        <v>10</v>
      </c>
      <c r="F14" s="16">
        <v>1</v>
      </c>
      <c r="G14" s="16">
        <f t="shared" si="0"/>
        <v>9</v>
      </c>
      <c r="H14" s="11"/>
    </row>
    <row r="15" spans="1:8" ht="16.5" thickTop="1" thickBot="1" x14ac:dyDescent="0.3">
      <c r="A15" s="21" t="s">
        <v>20</v>
      </c>
      <c r="B15" s="10" t="s">
        <v>10</v>
      </c>
      <c r="C15" s="32">
        <v>1440</v>
      </c>
      <c r="D15" s="32">
        <v>1647</v>
      </c>
      <c r="E15" s="32">
        <f>2*25</f>
        <v>50</v>
      </c>
      <c r="F15" s="10"/>
      <c r="G15" s="10">
        <f t="shared" si="0"/>
        <v>50</v>
      </c>
      <c r="H15" s="11" t="s">
        <v>21</v>
      </c>
    </row>
    <row r="16" spans="1:8" ht="16.5" thickTop="1" thickBot="1" x14ac:dyDescent="0.3">
      <c r="A16" s="23"/>
      <c r="B16" s="14" t="s">
        <v>12</v>
      </c>
      <c r="C16" s="33">
        <v>1440</v>
      </c>
      <c r="D16" s="33">
        <v>2133</v>
      </c>
      <c r="E16" s="33">
        <f>3*15</f>
        <v>45</v>
      </c>
      <c r="F16" s="14"/>
      <c r="G16" s="14">
        <f t="shared" si="0"/>
        <v>45</v>
      </c>
      <c r="H16" s="11"/>
    </row>
    <row r="17" spans="1:8" ht="16.5" thickTop="1" thickBot="1" x14ac:dyDescent="0.3">
      <c r="A17" s="25"/>
      <c r="B17" s="20" t="s">
        <v>13</v>
      </c>
      <c r="C17" s="34">
        <v>288</v>
      </c>
      <c r="D17" s="34">
        <v>1647</v>
      </c>
      <c r="E17" s="34">
        <v>46</v>
      </c>
      <c r="F17" s="20"/>
      <c r="G17" s="20">
        <f>E17-F17</f>
        <v>46</v>
      </c>
      <c r="H17" s="11"/>
    </row>
    <row r="18" spans="1:8" ht="16.5" thickTop="1" thickBot="1" x14ac:dyDescent="0.3">
      <c r="A18" s="12" t="s">
        <v>22</v>
      </c>
      <c r="B18" s="35" t="s">
        <v>10</v>
      </c>
      <c r="C18" s="35">
        <v>1440</v>
      </c>
      <c r="D18" s="28">
        <v>1647</v>
      </c>
      <c r="E18" s="29">
        <v>50</v>
      </c>
      <c r="F18" s="29">
        <v>1</v>
      </c>
      <c r="G18" s="29">
        <f t="shared" si="0"/>
        <v>49</v>
      </c>
      <c r="H18" s="11" t="s">
        <v>23</v>
      </c>
    </row>
    <row r="19" spans="1:8" ht="16.5" thickTop="1" thickBot="1" x14ac:dyDescent="0.3">
      <c r="A19" s="12"/>
      <c r="B19" s="36" t="s">
        <v>12</v>
      </c>
      <c r="C19" s="36">
        <v>1440</v>
      </c>
      <c r="D19" s="13">
        <v>2133</v>
      </c>
      <c r="E19" s="14">
        <v>76</v>
      </c>
      <c r="F19" s="14">
        <v>1</v>
      </c>
      <c r="G19" s="14">
        <f t="shared" si="0"/>
        <v>75</v>
      </c>
      <c r="H19" s="11"/>
    </row>
    <row r="20" spans="1:8" ht="16.5" thickTop="1" thickBot="1" x14ac:dyDescent="0.3">
      <c r="A20" s="18"/>
      <c r="B20" s="37" t="s">
        <v>13</v>
      </c>
      <c r="C20" s="37">
        <v>288</v>
      </c>
      <c r="D20" s="19">
        <v>1647</v>
      </c>
      <c r="E20" s="20">
        <v>50</v>
      </c>
      <c r="F20" s="16">
        <v>1</v>
      </c>
      <c r="G20" s="20">
        <f t="shared" si="0"/>
        <v>49</v>
      </c>
      <c r="H20" s="11"/>
    </row>
    <row r="21" spans="1:8" ht="16.5" thickTop="1" thickBot="1" x14ac:dyDescent="0.3">
      <c r="A21" s="38" t="s">
        <v>24</v>
      </c>
      <c r="B21" s="39" t="s">
        <v>10</v>
      </c>
      <c r="C21" s="39">
        <v>1440</v>
      </c>
      <c r="D21" s="28">
        <v>1647</v>
      </c>
      <c r="E21" s="29">
        <v>50</v>
      </c>
      <c r="F21" s="10">
        <v>1</v>
      </c>
      <c r="G21" s="10">
        <f t="shared" si="0"/>
        <v>49</v>
      </c>
      <c r="H21" s="11" t="s">
        <v>25</v>
      </c>
    </row>
    <row r="22" spans="1:8" ht="16.5" thickTop="1" thickBot="1" x14ac:dyDescent="0.3">
      <c r="A22" s="40"/>
      <c r="B22" s="41" t="s">
        <v>12</v>
      </c>
      <c r="C22" s="41">
        <v>1440</v>
      </c>
      <c r="D22" s="13">
        <v>2133</v>
      </c>
      <c r="E22" s="14">
        <v>78</v>
      </c>
      <c r="F22" s="14">
        <v>1</v>
      </c>
      <c r="G22" s="14">
        <f t="shared" si="0"/>
        <v>77</v>
      </c>
      <c r="H22" s="11"/>
    </row>
    <row r="23" spans="1:8" ht="16.5" thickTop="1" thickBot="1" x14ac:dyDescent="0.3">
      <c r="A23" s="42"/>
      <c r="B23" s="43" t="s">
        <v>13</v>
      </c>
      <c r="C23" s="43">
        <v>288</v>
      </c>
      <c r="D23" s="15">
        <v>1647</v>
      </c>
      <c r="E23" s="16">
        <v>50</v>
      </c>
      <c r="F23" s="16">
        <v>1</v>
      </c>
      <c r="G23" s="16">
        <f t="shared" si="0"/>
        <v>49</v>
      </c>
      <c r="H23" s="11"/>
    </row>
    <row r="24" spans="1:8" ht="16.5" thickTop="1" thickBot="1" x14ac:dyDescent="0.3">
      <c r="A24" s="21" t="s">
        <v>26</v>
      </c>
      <c r="B24" s="10" t="s">
        <v>10</v>
      </c>
      <c r="C24" s="10">
        <v>1440</v>
      </c>
      <c r="D24" s="9">
        <v>1647</v>
      </c>
      <c r="E24" s="10">
        <v>50</v>
      </c>
      <c r="F24" s="10"/>
      <c r="G24" s="10">
        <f t="shared" si="0"/>
        <v>50</v>
      </c>
      <c r="H24" s="11" t="s">
        <v>27</v>
      </c>
    </row>
    <row r="25" spans="1:8" ht="16.5" thickTop="1" thickBot="1" x14ac:dyDescent="0.3">
      <c r="A25" s="23"/>
      <c r="B25" s="14" t="s">
        <v>12</v>
      </c>
      <c r="C25" s="14">
        <v>1440</v>
      </c>
      <c r="D25" s="13">
        <v>2133</v>
      </c>
      <c r="E25" s="14">
        <v>76</v>
      </c>
      <c r="F25" s="14">
        <f>2+4</f>
        <v>6</v>
      </c>
      <c r="G25" s="14">
        <f t="shared" si="0"/>
        <v>70</v>
      </c>
      <c r="H25" s="11"/>
    </row>
    <row r="26" spans="1:8" ht="16.5" thickTop="1" thickBot="1" x14ac:dyDescent="0.3">
      <c r="A26" s="25"/>
      <c r="B26" s="20" t="s">
        <v>13</v>
      </c>
      <c r="C26" s="20">
        <v>288</v>
      </c>
      <c r="D26" s="19">
        <v>1647</v>
      </c>
      <c r="E26" s="20">
        <v>50</v>
      </c>
      <c r="F26" s="20"/>
      <c r="G26" s="20">
        <f t="shared" si="0"/>
        <v>50</v>
      </c>
      <c r="H26" s="11"/>
    </row>
    <row r="27" spans="1:8" ht="16.5" thickTop="1" thickBot="1" x14ac:dyDescent="0.3">
      <c r="A27" s="38" t="s">
        <v>28</v>
      </c>
      <c r="B27" s="44" t="s">
        <v>10</v>
      </c>
      <c r="C27" s="44">
        <v>1440</v>
      </c>
      <c r="D27" s="9">
        <v>1252</v>
      </c>
      <c r="E27" s="10">
        <v>49</v>
      </c>
      <c r="F27" s="10">
        <f>1+1+3+1</f>
        <v>6</v>
      </c>
      <c r="G27" s="10">
        <f t="shared" si="0"/>
        <v>43</v>
      </c>
      <c r="H27" s="11" t="s">
        <v>29</v>
      </c>
    </row>
    <row r="28" spans="1:8" ht="16.5" thickTop="1" thickBot="1" x14ac:dyDescent="0.3">
      <c r="A28" s="40"/>
      <c r="B28" s="41" t="s">
        <v>12</v>
      </c>
      <c r="C28" s="41">
        <v>1440</v>
      </c>
      <c r="D28" s="13">
        <v>1858</v>
      </c>
      <c r="E28" s="14">
        <v>77</v>
      </c>
      <c r="F28" s="14">
        <f>8+2+5</f>
        <v>15</v>
      </c>
      <c r="G28" s="14">
        <f t="shared" si="0"/>
        <v>62</v>
      </c>
      <c r="H28" s="11"/>
    </row>
    <row r="29" spans="1:8" ht="16.5" thickTop="1" thickBot="1" x14ac:dyDescent="0.3">
      <c r="A29" s="42"/>
      <c r="B29" s="45" t="s">
        <v>13</v>
      </c>
      <c r="C29" s="45">
        <v>288</v>
      </c>
      <c r="D29" s="19">
        <v>1252</v>
      </c>
      <c r="E29" s="20">
        <v>50</v>
      </c>
      <c r="F29" s="20">
        <v>3</v>
      </c>
      <c r="G29" s="20">
        <f t="shared" si="0"/>
        <v>47</v>
      </c>
      <c r="H29" s="11"/>
    </row>
    <row r="30" spans="1:8" ht="16.5" thickTop="1" thickBot="1" x14ac:dyDescent="0.3">
      <c r="A30" s="38" t="s">
        <v>30</v>
      </c>
      <c r="B30" s="44" t="s">
        <v>10</v>
      </c>
      <c r="C30" s="44">
        <v>1440</v>
      </c>
      <c r="D30" s="9">
        <v>1647</v>
      </c>
      <c r="E30" s="10">
        <v>49</v>
      </c>
      <c r="F30" s="10"/>
      <c r="G30" s="10">
        <f t="shared" si="0"/>
        <v>49</v>
      </c>
      <c r="H30" s="11" t="s">
        <v>31</v>
      </c>
    </row>
    <row r="31" spans="1:8" ht="16.5" thickTop="1" thickBot="1" x14ac:dyDescent="0.3">
      <c r="A31" s="40"/>
      <c r="B31" s="41" t="s">
        <v>12</v>
      </c>
      <c r="C31" s="41">
        <v>1440</v>
      </c>
      <c r="D31" s="13">
        <v>2133</v>
      </c>
      <c r="E31" s="14">
        <v>79</v>
      </c>
      <c r="F31" s="14">
        <f>2+1</f>
        <v>3</v>
      </c>
      <c r="G31" s="14">
        <f t="shared" si="0"/>
        <v>76</v>
      </c>
      <c r="H31" s="11"/>
    </row>
    <row r="32" spans="1:8" ht="16.5" thickTop="1" thickBot="1" x14ac:dyDescent="0.3">
      <c r="A32" s="42"/>
      <c r="B32" s="45" t="s">
        <v>13</v>
      </c>
      <c r="C32" s="45">
        <v>288</v>
      </c>
      <c r="D32" s="19">
        <v>1647</v>
      </c>
      <c r="E32" s="20">
        <v>50</v>
      </c>
      <c r="F32" s="20">
        <v>2</v>
      </c>
      <c r="G32" s="20">
        <f t="shared" si="0"/>
        <v>48</v>
      </c>
      <c r="H32" s="11"/>
    </row>
    <row r="33" spans="1:8" ht="16.5" thickTop="1" thickBot="1" x14ac:dyDescent="0.3">
      <c r="A33" s="46" t="s">
        <v>32</v>
      </c>
      <c r="B33" s="10" t="s">
        <v>10</v>
      </c>
      <c r="C33" s="32">
        <v>1440</v>
      </c>
      <c r="D33" s="32">
        <v>1647</v>
      </c>
      <c r="E33" s="32">
        <f>2*25</f>
        <v>50</v>
      </c>
      <c r="F33" s="10"/>
      <c r="G33" s="10">
        <f t="shared" si="0"/>
        <v>50</v>
      </c>
      <c r="H33" s="11" t="s">
        <v>33</v>
      </c>
    </row>
    <row r="34" spans="1:8" ht="16.5" thickTop="1" thickBot="1" x14ac:dyDescent="0.3">
      <c r="A34" s="47"/>
      <c r="B34" s="14" t="s">
        <v>12</v>
      </c>
      <c r="C34" s="33">
        <v>1440</v>
      </c>
      <c r="D34" s="33">
        <v>2133</v>
      </c>
      <c r="E34" s="33">
        <f>3*15</f>
        <v>45</v>
      </c>
      <c r="F34" s="14">
        <v>1</v>
      </c>
      <c r="G34" s="14">
        <f t="shared" si="0"/>
        <v>44</v>
      </c>
      <c r="H34" s="11"/>
    </row>
    <row r="35" spans="1:8" ht="16.5" thickTop="1" thickBot="1" x14ac:dyDescent="0.3">
      <c r="A35" s="48"/>
      <c r="B35" s="20" t="s">
        <v>13</v>
      </c>
      <c r="C35" s="34">
        <v>288</v>
      </c>
      <c r="D35" s="34">
        <v>1647</v>
      </c>
      <c r="E35" s="34">
        <f>25+25</f>
        <v>50</v>
      </c>
      <c r="F35" s="20"/>
      <c r="G35" s="20">
        <f t="shared" si="0"/>
        <v>50</v>
      </c>
      <c r="H35" s="11"/>
    </row>
    <row r="36" spans="1:8" ht="16.5" thickTop="1" thickBot="1" x14ac:dyDescent="0.3">
      <c r="A36" s="49" t="s">
        <v>34</v>
      </c>
      <c r="B36" s="50" t="s">
        <v>10</v>
      </c>
      <c r="C36" s="50">
        <v>1440</v>
      </c>
      <c r="D36" s="28">
        <v>1647</v>
      </c>
      <c r="E36" s="29">
        <v>49</v>
      </c>
      <c r="F36" s="29"/>
      <c r="G36" s="29">
        <f t="shared" si="0"/>
        <v>49</v>
      </c>
      <c r="H36" s="11" t="s">
        <v>35</v>
      </c>
    </row>
    <row r="37" spans="1:8" ht="16.5" thickTop="1" thickBot="1" x14ac:dyDescent="0.3">
      <c r="A37" s="49"/>
      <c r="B37" s="51" t="s">
        <v>12</v>
      </c>
      <c r="C37" s="51">
        <v>1440</v>
      </c>
      <c r="D37" s="52">
        <v>2133</v>
      </c>
      <c r="E37" s="53">
        <v>79</v>
      </c>
      <c r="F37" s="53"/>
      <c r="G37" s="29">
        <f>E37-F37</f>
        <v>79</v>
      </c>
      <c r="H37" s="11"/>
    </row>
    <row r="38" spans="1:8" ht="16.5" thickTop="1" thickBot="1" x14ac:dyDescent="0.3">
      <c r="A38" s="49"/>
      <c r="B38" s="43" t="s">
        <v>13</v>
      </c>
      <c r="C38" s="43">
        <v>288</v>
      </c>
      <c r="D38" s="15">
        <v>1647</v>
      </c>
      <c r="E38" s="16">
        <v>50</v>
      </c>
      <c r="F38" s="16"/>
      <c r="G38" s="53">
        <f>E38-F38</f>
        <v>50</v>
      </c>
      <c r="H38" s="11"/>
    </row>
    <row r="39" spans="1:8" ht="16.5" thickTop="1" thickBot="1" x14ac:dyDescent="0.3">
      <c r="A39" s="46" t="s">
        <v>36</v>
      </c>
      <c r="B39" s="10" t="s">
        <v>10</v>
      </c>
      <c r="C39" s="32">
        <v>1440</v>
      </c>
      <c r="D39" s="32">
        <v>1679</v>
      </c>
      <c r="E39" s="32">
        <f>2*25</f>
        <v>50</v>
      </c>
      <c r="F39" s="10"/>
      <c r="G39" s="10">
        <f t="shared" ref="G39:G44" si="1">E39-F39</f>
        <v>50</v>
      </c>
      <c r="H39" s="11"/>
    </row>
    <row r="40" spans="1:8" ht="16.5" thickTop="1" thickBot="1" x14ac:dyDescent="0.3">
      <c r="A40" s="47"/>
      <c r="B40" s="14" t="s">
        <v>12</v>
      </c>
      <c r="C40" s="33">
        <v>1440</v>
      </c>
      <c r="D40" s="33">
        <v>2166</v>
      </c>
      <c r="E40" s="33">
        <f>3*15</f>
        <v>45</v>
      </c>
      <c r="F40" s="14"/>
      <c r="G40" s="14">
        <f t="shared" si="1"/>
        <v>45</v>
      </c>
      <c r="H40" s="11"/>
    </row>
    <row r="41" spans="1:8" ht="16.5" thickTop="1" thickBot="1" x14ac:dyDescent="0.3">
      <c r="A41" s="48"/>
      <c r="B41" s="20" t="s">
        <v>13</v>
      </c>
      <c r="C41" s="34">
        <v>288</v>
      </c>
      <c r="D41" s="34">
        <v>1679</v>
      </c>
      <c r="E41" s="34">
        <f>2*25</f>
        <v>50</v>
      </c>
      <c r="F41" s="20"/>
      <c r="G41" s="20">
        <f t="shared" si="1"/>
        <v>50</v>
      </c>
      <c r="H41" s="11"/>
    </row>
    <row r="42" spans="1:8" ht="16.5" thickTop="1" thickBot="1" x14ac:dyDescent="0.3">
      <c r="A42" s="21" t="s">
        <v>37</v>
      </c>
      <c r="B42" s="10" t="s">
        <v>10</v>
      </c>
      <c r="C42" s="10">
        <v>1440</v>
      </c>
      <c r="D42" s="10">
        <v>1679</v>
      </c>
      <c r="E42" s="10">
        <f>2*25</f>
        <v>50</v>
      </c>
      <c r="F42" s="10"/>
      <c r="G42" s="10">
        <f t="shared" si="1"/>
        <v>50</v>
      </c>
      <c r="H42" s="11" t="s">
        <v>38</v>
      </c>
    </row>
    <row r="43" spans="1:8" ht="16.5" thickTop="1" thickBot="1" x14ac:dyDescent="0.3">
      <c r="A43" s="23"/>
      <c r="B43" s="14" t="s">
        <v>12</v>
      </c>
      <c r="C43" s="14">
        <v>1440</v>
      </c>
      <c r="D43" s="14">
        <v>2166</v>
      </c>
      <c r="E43" s="14">
        <f>3*15</f>
        <v>45</v>
      </c>
      <c r="F43" s="14"/>
      <c r="G43" s="14">
        <f t="shared" si="1"/>
        <v>45</v>
      </c>
      <c r="H43" s="11"/>
    </row>
    <row r="44" spans="1:8" ht="16.5" thickTop="1" thickBot="1" x14ac:dyDescent="0.3">
      <c r="A44" s="25"/>
      <c r="B44" s="20" t="s">
        <v>13</v>
      </c>
      <c r="C44" s="20">
        <v>288</v>
      </c>
      <c r="D44" s="20">
        <v>1679</v>
      </c>
      <c r="E44" s="20">
        <f>2*25</f>
        <v>50</v>
      </c>
      <c r="F44" s="20"/>
      <c r="G44" s="20">
        <f t="shared" si="1"/>
        <v>50</v>
      </c>
      <c r="H44" s="11"/>
    </row>
    <row r="45" spans="1:8" ht="16.5" thickTop="1" thickBot="1" x14ac:dyDescent="0.3">
      <c r="A45" s="12" t="s">
        <v>39</v>
      </c>
      <c r="B45" s="54" t="s">
        <v>10</v>
      </c>
      <c r="C45" s="54">
        <v>1440</v>
      </c>
      <c r="D45" s="28">
        <v>1679</v>
      </c>
      <c r="E45" s="29">
        <v>49</v>
      </c>
      <c r="F45" s="29">
        <f>1+1+1</f>
        <v>3</v>
      </c>
      <c r="G45" s="29">
        <f t="shared" si="0"/>
        <v>46</v>
      </c>
      <c r="H45" s="11" t="s">
        <v>40</v>
      </c>
    </row>
    <row r="46" spans="1:8" ht="16.5" thickTop="1" thickBot="1" x14ac:dyDescent="0.3">
      <c r="A46" s="12"/>
      <c r="B46" s="55" t="s">
        <v>12</v>
      </c>
      <c r="C46" s="55">
        <v>1440</v>
      </c>
      <c r="D46" s="13">
        <v>2166</v>
      </c>
      <c r="E46" s="14">
        <v>78</v>
      </c>
      <c r="F46" s="14">
        <f>1+1+1+1</f>
        <v>4</v>
      </c>
      <c r="G46" s="14">
        <f t="shared" si="0"/>
        <v>74</v>
      </c>
      <c r="H46" s="11"/>
    </row>
    <row r="47" spans="1:8" ht="16.5" thickTop="1" thickBot="1" x14ac:dyDescent="0.3">
      <c r="A47" s="18"/>
      <c r="B47" s="56" t="s">
        <v>13</v>
      </c>
      <c r="C47" s="56">
        <v>288</v>
      </c>
      <c r="D47" s="19">
        <v>1679</v>
      </c>
      <c r="E47" s="20">
        <v>90</v>
      </c>
      <c r="F47" s="20">
        <f>1+1+1</f>
        <v>3</v>
      </c>
      <c r="G47" s="20">
        <f t="shared" si="0"/>
        <v>87</v>
      </c>
      <c r="H47" s="11"/>
    </row>
    <row r="48" spans="1:8" ht="16.5" thickTop="1" thickBot="1" x14ac:dyDescent="0.3">
      <c r="A48" s="21" t="s">
        <v>41</v>
      </c>
      <c r="B48" s="10" t="s">
        <v>10</v>
      </c>
      <c r="C48" s="10">
        <v>1440</v>
      </c>
      <c r="D48" s="9">
        <v>1809</v>
      </c>
      <c r="E48" s="10">
        <v>40</v>
      </c>
      <c r="F48" s="10">
        <v>1</v>
      </c>
      <c r="G48" s="10">
        <f t="shared" si="0"/>
        <v>39</v>
      </c>
      <c r="H48" s="11" t="s">
        <v>42</v>
      </c>
    </row>
    <row r="49" spans="1:8" ht="16.5" thickTop="1" thickBot="1" x14ac:dyDescent="0.3">
      <c r="A49" s="23"/>
      <c r="B49" s="14" t="s">
        <v>12</v>
      </c>
      <c r="C49" s="14">
        <v>1440</v>
      </c>
      <c r="D49" s="13">
        <v>2133</v>
      </c>
      <c r="E49" s="14">
        <v>50</v>
      </c>
      <c r="F49" s="14">
        <v>1</v>
      </c>
      <c r="G49" s="14">
        <f t="shared" si="0"/>
        <v>49</v>
      </c>
      <c r="H49" s="11"/>
    </row>
    <row r="50" spans="1:8" ht="16.5" thickTop="1" thickBot="1" x14ac:dyDescent="0.3">
      <c r="A50" s="25"/>
      <c r="B50" s="20" t="s">
        <v>13</v>
      </c>
      <c r="C50" s="20">
        <v>288</v>
      </c>
      <c r="D50" s="19">
        <v>1809</v>
      </c>
      <c r="E50" s="20">
        <v>40</v>
      </c>
      <c r="F50" s="20">
        <v>1</v>
      </c>
      <c r="G50" s="20">
        <f t="shared" si="0"/>
        <v>39</v>
      </c>
      <c r="H50" s="11"/>
    </row>
    <row r="51" spans="1:8" ht="16.5" thickTop="1" thickBot="1" x14ac:dyDescent="0.3">
      <c r="A51" s="8" t="s">
        <v>43</v>
      </c>
      <c r="B51" s="10" t="s">
        <v>10</v>
      </c>
      <c r="C51" s="10">
        <v>1440</v>
      </c>
      <c r="D51" s="9">
        <v>2000</v>
      </c>
      <c r="E51" s="10">
        <v>3</v>
      </c>
      <c r="F51" s="10">
        <f>1+2</f>
        <v>3</v>
      </c>
      <c r="G51" s="10">
        <f t="shared" si="0"/>
        <v>0</v>
      </c>
      <c r="H51" s="11" t="s">
        <v>44</v>
      </c>
    </row>
    <row r="52" spans="1:8" ht="16.5" thickTop="1" thickBot="1" x14ac:dyDescent="0.3">
      <c r="A52" s="18"/>
      <c r="B52" s="20" t="s">
        <v>12</v>
      </c>
      <c r="C52" s="20">
        <v>1440</v>
      </c>
      <c r="D52" s="19">
        <v>2500</v>
      </c>
      <c r="E52" s="20">
        <v>3</v>
      </c>
      <c r="F52" s="20">
        <f>1+2</f>
        <v>3</v>
      </c>
      <c r="G52" s="20">
        <f t="shared" si="0"/>
        <v>0</v>
      </c>
      <c r="H52" s="11"/>
    </row>
    <row r="53" spans="1:8" ht="16.5" thickTop="1" thickBot="1" x14ac:dyDescent="0.3">
      <c r="A53" s="57" t="s">
        <v>45</v>
      </c>
      <c r="B53" s="10" t="s">
        <v>10</v>
      </c>
      <c r="C53" s="32">
        <v>1440</v>
      </c>
      <c r="D53" s="32">
        <v>968</v>
      </c>
      <c r="E53" s="32">
        <f>10+10</f>
        <v>20</v>
      </c>
      <c r="F53" s="58">
        <v>2</v>
      </c>
      <c r="G53" s="10">
        <f t="shared" si="0"/>
        <v>18</v>
      </c>
      <c r="H53" s="11"/>
    </row>
    <row r="54" spans="1:8" ht="16.5" thickTop="1" thickBot="1" x14ac:dyDescent="0.3">
      <c r="A54" s="59"/>
      <c r="B54" s="14" t="s">
        <v>12</v>
      </c>
      <c r="C54" s="33">
        <v>1440</v>
      </c>
      <c r="D54" s="33">
        <v>1540</v>
      </c>
      <c r="E54" s="33">
        <f>10+10</f>
        <v>20</v>
      </c>
      <c r="F54" s="60">
        <f>4+1</f>
        <v>5</v>
      </c>
      <c r="G54" s="14">
        <f t="shared" si="0"/>
        <v>15</v>
      </c>
      <c r="H54" s="11"/>
    </row>
    <row r="55" spans="1:8" ht="16.5" thickTop="1" thickBot="1" x14ac:dyDescent="0.3">
      <c r="A55" s="61"/>
      <c r="B55" s="20" t="s">
        <v>13</v>
      </c>
      <c r="C55" s="34">
        <v>288</v>
      </c>
      <c r="D55" s="34">
        <v>968</v>
      </c>
      <c r="E55" s="34">
        <f>10+9</f>
        <v>19</v>
      </c>
      <c r="F55" s="62">
        <v>5</v>
      </c>
      <c r="G55" s="20">
        <f t="shared" si="0"/>
        <v>14</v>
      </c>
      <c r="H55" s="11"/>
    </row>
    <row r="56" spans="1:8" ht="15.75" thickTop="1" x14ac:dyDescent="0.25">
      <c r="A56" s="5"/>
      <c r="B56" s="5"/>
      <c r="C56" s="5"/>
      <c r="D56" s="5"/>
      <c r="E56" s="5"/>
      <c r="F56" s="5"/>
      <c r="G56" s="5"/>
      <c r="H56" s="5"/>
    </row>
  </sheetData>
  <mergeCells count="36">
    <mergeCell ref="A48:A50"/>
    <mergeCell ref="H48:H50"/>
    <mergeCell ref="A51:A52"/>
    <mergeCell ref="H51:H52"/>
    <mergeCell ref="A53:A55"/>
    <mergeCell ref="H53:H55"/>
    <mergeCell ref="A39:A41"/>
    <mergeCell ref="H39:H41"/>
    <mergeCell ref="A42:A44"/>
    <mergeCell ref="H42:H44"/>
    <mergeCell ref="A45:A47"/>
    <mergeCell ref="H45:H47"/>
    <mergeCell ref="A30:A32"/>
    <mergeCell ref="H30:H32"/>
    <mergeCell ref="A33:A35"/>
    <mergeCell ref="H33:H35"/>
    <mergeCell ref="A36:A38"/>
    <mergeCell ref="H36:H38"/>
    <mergeCell ref="A21:A23"/>
    <mergeCell ref="H21:H23"/>
    <mergeCell ref="A24:A26"/>
    <mergeCell ref="H24:H26"/>
    <mergeCell ref="A27:A29"/>
    <mergeCell ref="H27:H29"/>
    <mergeCell ref="A12:A14"/>
    <mergeCell ref="H12:H14"/>
    <mergeCell ref="A15:A17"/>
    <mergeCell ref="H15:H17"/>
    <mergeCell ref="A18:A20"/>
    <mergeCell ref="H18:H20"/>
    <mergeCell ref="A3:A5"/>
    <mergeCell ref="H3:H5"/>
    <mergeCell ref="A6:A8"/>
    <mergeCell ref="H6:H8"/>
    <mergeCell ref="A9:A11"/>
    <mergeCell ref="H9:H11"/>
  </mergeCells>
  <pageMargins left="0.7" right="0.7" top="0.75" bottom="0.75" header="0.3" footer="0.3"/>
  <pageSetup paperSize="9" orientation="portrait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Листы</vt:lpstr>
      </vt:variant>
      <vt:variant>
        <vt:i4>1</vt:i4>
      </vt:variant>
    </vt:vector>
  </HeadingPairs>
  <TitlesOfParts>
    <vt:vector size="1" baseType="lpstr">
      <vt:lpstr>16 граней холод АВ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USER</dc:creator>
  <cp:lastModifiedBy>USER</cp:lastModifiedBy>
  <dcterms:created xsi:type="dcterms:W3CDTF">2026-07-01T11:21:40Z</dcterms:created>
  <dcterms:modified xsi:type="dcterms:W3CDTF">2026-07-01T11:21:55Z</dcterms:modified>
</cp:coreProperties>
</file>