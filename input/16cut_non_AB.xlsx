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8" activeTab="0" autoFilterDateGrouping="1"/>
  </bookViews>
  <sheets>
    <sheet name="16 граней холод АВ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р.&quot;"/>
  </numFmts>
  <fonts count="1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3"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6" fillId="0" borderId="0"/>
  </cellStyleXfs>
  <cellXfs count="4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7" applyAlignment="1" pivotButton="0" quotePrefix="0" xfId="12">
      <alignment horizontal="center" vertical="center"/>
    </xf>
    <xf numFmtId="0" fontId="4" fillId="0" borderId="1" applyAlignment="1" pivotButton="0" quotePrefix="0" xfId="12">
      <alignment horizontal="center" vertical="center"/>
    </xf>
    <xf numFmtId="0" fontId="4" fillId="0" borderId="6" applyAlignment="1" pivotButton="0" quotePrefix="0" xfId="12">
      <alignment horizontal="center" vertical="center"/>
    </xf>
    <xf numFmtId="0" fontId="4" fillId="0" borderId="6" applyAlignment="1" pivotButton="0" quotePrefix="0" xfId="19">
      <alignment horizontal="center" vertical="center"/>
    </xf>
    <xf numFmtId="0" fontId="4" fillId="0" borderId="4" applyAlignment="1" pivotButton="0" quotePrefix="0" xfId="20">
      <alignment horizontal="center" vertical="center"/>
    </xf>
    <xf numFmtId="0" fontId="4" fillId="0" borderId="2" applyAlignment="1" pivotButton="0" quotePrefix="0" xfId="20">
      <alignment horizontal="center" vertical="center"/>
    </xf>
    <xf numFmtId="0" fontId="4" fillId="0" borderId="5" applyAlignment="1" pivotButton="0" quotePrefix="0" xfId="22">
      <alignment horizontal="center" vertical="center"/>
    </xf>
    <xf numFmtId="0" fontId="4" fillId="0" borderId="2" applyAlignment="1" pivotButton="0" quotePrefix="0" xfId="22">
      <alignment horizontal="center" vertical="center"/>
    </xf>
    <xf numFmtId="0" fontId="4" fillId="0" borderId="4" applyAlignment="1" pivotButton="0" quotePrefix="0" xfId="35">
      <alignment horizontal="center" vertical="center"/>
    </xf>
    <xf numFmtId="0" fontId="4" fillId="0" borderId="2" applyAlignment="1" pivotButton="0" quotePrefix="0" xfId="35">
      <alignment horizontal="center" vertical="center"/>
    </xf>
    <xf numFmtId="0" fontId="4" fillId="0" borderId="5" applyAlignment="1" pivotButton="0" quotePrefix="0" xfId="26">
      <alignment horizontal="center" vertical="center"/>
    </xf>
    <xf numFmtId="0" fontId="4" fillId="0" borderId="6" applyAlignment="1" pivotButton="0" quotePrefix="0" xfId="26">
      <alignment horizontal="center" vertical="center"/>
    </xf>
    <xf numFmtId="0" fontId="4" fillId="0" borderId="4" applyAlignment="1" pivotButton="0" quotePrefix="0" xfId="27">
      <alignment horizontal="center" vertical="center"/>
    </xf>
    <xf numFmtId="0" fontId="4" fillId="0" borderId="2" applyAlignment="1" pivotButton="0" quotePrefix="0" xfId="29">
      <alignment horizontal="center" vertical="center"/>
    </xf>
    <xf numFmtId="0" fontId="4" fillId="0" borderId="6" applyAlignment="1" pivotButton="0" quotePrefix="0" xfId="34">
      <alignment horizontal="center" vertical="center"/>
    </xf>
    <xf numFmtId="0" fontId="4" fillId="0" borderId="4" applyAlignment="1" pivotButton="0" quotePrefix="0" xfId="16">
      <alignment horizontal="center" vertical="center"/>
    </xf>
    <xf numFmtId="0" fontId="4" fillId="2" borderId="6" applyAlignment="1" pivotButton="0" quotePrefix="0" xfId="15">
      <alignment horizontal="center" vertical="center"/>
    </xf>
    <xf numFmtId="0" fontId="4" fillId="0" borderId="4" applyAlignment="1" pivotButton="0" quotePrefix="0" xfId="30">
      <alignment horizontal="center" vertical="center"/>
    </xf>
    <xf numFmtId="0" fontId="4" fillId="0" borderId="5" applyAlignment="1" pivotButton="0" quotePrefix="0" xfId="29">
      <alignment horizontal="center" vertical="center"/>
    </xf>
    <xf numFmtId="0" fontId="4" fillId="0" borderId="6" applyAlignment="1" pivotButton="0" quotePrefix="0" xfId="29">
      <alignment horizontal="center" vertical="center"/>
    </xf>
    <xf numFmtId="0" fontId="4" fillId="0" borderId="6" applyAlignment="1" pivotButton="0" quotePrefix="0" xfId="41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3" fillId="0" borderId="6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3" fillId="0" borderId="1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12">
      <alignment horizontal="center" vertical="center"/>
    </xf>
    <xf numFmtId="0" fontId="4" fillId="0" borderId="2" applyAlignment="1" pivotButton="0" quotePrefix="0" xfId="41">
      <alignment horizontal="center" vertical="center"/>
    </xf>
    <xf numFmtId="0" fontId="0" fillId="0" borderId="1" applyAlignment="1" pivotButton="0" quotePrefix="0" xfId="0">
      <alignment wrapText="1"/>
    </xf>
    <xf numFmtId="0" fontId="3" fillId="0" borderId="4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29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7" fontId="3" fillId="0" borderId="1" applyAlignment="1" pivotButton="0" quotePrefix="0" xfId="0">
      <alignment horizontal="center" vertical="center"/>
    </xf>
    <xf numFmtId="0" fontId="4" fillId="0" borderId="5" applyAlignment="1" pivotButton="0" quotePrefix="0" xfId="9">
      <alignment horizontal="center" vertical="center"/>
    </xf>
    <xf numFmtId="0" fontId="4" fillId="0" borderId="1" applyAlignment="1" pivotButton="0" quotePrefix="0" xfId="10">
      <alignment horizontal="center" vertical="center"/>
    </xf>
    <xf numFmtId="0" fontId="4" fillId="0" borderId="1" applyAlignment="1" pivotButton="0" quotePrefix="0" xfId="9">
      <alignment horizontal="center" vertical="center"/>
    </xf>
    <xf numFmtId="0" fontId="4" fillId="0" borderId="1" applyAlignment="1" pivotButton="0" quotePrefix="0" xfId="13">
      <alignment horizontal="center" vertical="center"/>
    </xf>
    <xf numFmtId="0" fontId="4" fillId="0" borderId="2" applyAlignment="1" pivotButton="0" quotePrefix="0" xfId="9">
      <alignment horizontal="center" vertical="center"/>
    </xf>
    <xf numFmtId="0" fontId="4" fillId="0" borderId="7" applyAlignment="1" pivotButton="0" quotePrefix="0" xfId="8">
      <alignment horizontal="center" vertical="center" wrapText="1"/>
    </xf>
    <xf numFmtId="0" fontId="4" fillId="0" borderId="7" applyAlignment="1" pivotButton="0" quotePrefix="0" xfId="9">
      <alignment horizontal="center" vertical="center"/>
    </xf>
    <xf numFmtId="0" fontId="4" fillId="0" borderId="6" applyAlignment="1" pivotButton="0" quotePrefix="0" xfId="9">
      <alignment horizontal="center" vertical="center"/>
    </xf>
    <xf numFmtId="0" fontId="4" fillId="2" borderId="4" applyAlignment="1" pivotButton="0" quotePrefix="0" xfId="15">
      <alignment horizontal="center" vertical="center"/>
    </xf>
    <xf numFmtId="0" fontId="4" fillId="0" borderId="4" applyAlignment="1" pivotButton="0" quotePrefix="0" xfId="9">
      <alignment horizontal="center" vertical="center"/>
    </xf>
    <xf numFmtId="0" fontId="4" fillId="2" borderId="2" applyAlignment="1" pivotButton="0" quotePrefix="0" xfId="15">
      <alignment horizontal="center" vertical="center"/>
    </xf>
    <xf numFmtId="0" fontId="4" fillId="2" borderId="1" applyAlignment="1" pivotButton="0" quotePrefix="0" xfId="15">
      <alignment horizontal="center" vertical="center"/>
    </xf>
    <xf numFmtId="0" fontId="4" fillId="0" borderId="1" applyAlignment="1" pivotButton="0" quotePrefix="0" xfId="17">
      <alignment horizontal="center" vertical="center"/>
    </xf>
    <xf numFmtId="0" fontId="4" fillId="0" borderId="1" applyAlignment="1" pivotButton="0" quotePrefix="0" xfId="20">
      <alignment horizontal="center" vertical="center"/>
    </xf>
    <xf numFmtId="0" fontId="4" fillId="0" borderId="1" applyAlignment="1" pivotButton="0" quotePrefix="0" xfId="28">
      <alignment horizontal="center" vertical="center"/>
    </xf>
    <xf numFmtId="0" fontId="4" fillId="0" borderId="1" applyAlignment="1" pivotButton="0" quotePrefix="0" xfId="24">
      <alignment horizontal="center" vertical="center"/>
    </xf>
    <xf numFmtId="0" fontId="4" fillId="0" borderId="1" applyAlignment="1" pivotButton="0" quotePrefix="0" xfId="35">
      <alignment horizontal="center" vertical="center"/>
    </xf>
    <xf numFmtId="0" fontId="4" fillId="0" borderId="1" applyAlignment="1" pivotButton="0" quotePrefix="0" xfId="26">
      <alignment horizontal="center" vertical="center"/>
    </xf>
    <xf numFmtId="0" fontId="4" fillId="0" borderId="1" applyAlignment="1" pivotButton="0" quotePrefix="0" xfId="27">
      <alignment horizontal="center" vertical="center"/>
    </xf>
    <xf numFmtId="0" fontId="4" fillId="0" borderId="1" applyAlignment="1" pivotButton="0" quotePrefix="0" xfId="32">
      <alignment horizontal="center" vertical="center"/>
    </xf>
    <xf numFmtId="0" fontId="4" fillId="2" borderId="4" applyAlignment="1" pivotButton="0" quotePrefix="0" xfId="38">
      <alignment horizontal="center" vertical="center"/>
    </xf>
    <xf numFmtId="0" fontId="4" fillId="2" borderId="1" applyAlignment="1" pivotButton="0" quotePrefix="0" xfId="39">
      <alignment horizontal="center" vertical="center"/>
    </xf>
    <xf numFmtId="0" fontId="4" fillId="2" borderId="2" applyAlignment="1" pivotButton="0" quotePrefix="0" xfId="40">
      <alignment horizontal="center" vertical="center"/>
    </xf>
    <xf numFmtId="0" fontId="4" fillId="2" borderId="5" applyAlignment="1" pivotButton="0" quotePrefix="0" xfId="40">
      <alignment horizontal="center" vertical="center"/>
    </xf>
    <xf numFmtId="0" fontId="4" fillId="0" borderId="5" applyAlignment="1" pivotButton="0" quotePrefix="0" xfId="42">
      <alignment horizontal="center" vertical="center"/>
    </xf>
    <xf numFmtId="0" fontId="4" fillId="0" borderId="1" applyAlignment="1" pivotButton="0" quotePrefix="0" xfId="43">
      <alignment horizontal="center" vertical="center"/>
    </xf>
    <xf numFmtId="0" fontId="4" fillId="0" borderId="6" applyAlignment="1" pivotButton="0" quotePrefix="0" xfId="44">
      <alignment horizontal="center" vertical="center"/>
    </xf>
    <xf numFmtId="0" fontId="4" fillId="0" borderId="5" applyAlignment="1" pivotButton="0" quotePrefix="0" xfId="44">
      <alignment horizontal="center" vertical="center"/>
    </xf>
    <xf numFmtId="0" fontId="4" fillId="0" borderId="1" applyAlignment="1" pivotButton="0" quotePrefix="0" xfId="44">
      <alignment horizontal="center" vertical="center"/>
    </xf>
    <xf numFmtId="0" fontId="4" fillId="0" borderId="4" applyAlignment="1" pivotButton="0" quotePrefix="0" xfId="46">
      <alignment horizontal="center" vertical="center"/>
    </xf>
    <xf numFmtId="0" fontId="4" fillId="0" borderId="1" applyAlignment="1" pivotButton="0" quotePrefix="0" xfId="47">
      <alignment horizontal="center" vertical="center"/>
    </xf>
    <xf numFmtId="0" fontId="4" fillId="0" borderId="2" applyAlignment="1" pivotButton="0" quotePrefix="0" xfId="48">
      <alignment horizontal="center" vertical="center"/>
    </xf>
    <xf numFmtId="0" fontId="4" fillId="0" borderId="5" applyAlignment="1" pivotButton="0" quotePrefix="0" xfId="48">
      <alignment horizontal="center" vertical="center"/>
    </xf>
    <xf numFmtId="0" fontId="4" fillId="0" borderId="1" applyAlignment="1" pivotButton="0" quotePrefix="0" xfId="48">
      <alignment horizontal="center" vertical="center"/>
    </xf>
    <xf numFmtId="0" fontId="4" fillId="0" borderId="6" applyAlignment="1" pivotButton="0" quotePrefix="0" xfId="48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5" applyAlignment="1" pivotButton="0" quotePrefix="0" xfId="50">
      <alignment horizontal="center" vertical="center"/>
    </xf>
    <xf numFmtId="0" fontId="4" fillId="0" borderId="1" applyAlignment="1" pivotButton="0" quotePrefix="0" xfId="50">
      <alignment horizontal="center" vertical="center"/>
    </xf>
    <xf numFmtId="0" fontId="4" fillId="0" borderId="2" applyAlignment="1" pivotButton="0" quotePrefix="0" xfId="50">
      <alignment horizontal="center" vertical="center"/>
    </xf>
    <xf numFmtId="0" fontId="4" fillId="0" borderId="6" applyAlignment="1" pivotButton="0" quotePrefix="0" xfId="50">
      <alignment horizontal="center" vertical="center"/>
    </xf>
    <xf numFmtId="0" fontId="4" fillId="0" borderId="4" applyAlignment="1" pivotButton="0" quotePrefix="0" xfId="51">
      <alignment horizontal="center" vertical="center"/>
    </xf>
    <xf numFmtId="0" fontId="4" fillId="0" borderId="1" applyAlignment="1" pivotButton="0" quotePrefix="0" xfId="51">
      <alignment horizontal="center" vertical="center"/>
    </xf>
    <xf numFmtId="0" fontId="4" fillId="0" borderId="2" applyAlignment="1" pivotButton="0" quotePrefix="0" xfId="51">
      <alignment horizontal="center" vertical="center"/>
    </xf>
    <xf numFmtId="0" fontId="4" fillId="0" borderId="1" applyAlignment="1" pivotButton="0" quotePrefix="0" xfId="53">
      <alignment horizontal="center" vertical="center"/>
    </xf>
    <xf numFmtId="0" fontId="4" fillId="0" borderId="6" applyAlignment="1" pivotButton="0" quotePrefix="0" xfId="55">
      <alignment horizontal="center" vertical="center"/>
    </xf>
    <xf numFmtId="0" fontId="4" fillId="0" borderId="4" applyAlignment="1" pivotButton="0" quotePrefix="0" xfId="56">
      <alignment horizontal="center" vertical="center"/>
    </xf>
    <xf numFmtId="0" fontId="4" fillId="0" borderId="1" applyAlignment="1" pivotButton="0" quotePrefix="0" xfId="56">
      <alignment horizontal="center" vertical="center"/>
    </xf>
    <xf numFmtId="0" fontId="4" fillId="0" borderId="2" applyAlignment="1" pivotButton="0" quotePrefix="0" xfId="56">
      <alignment horizontal="center" vertical="center"/>
    </xf>
    <xf numFmtId="0" fontId="4" fillId="0" borderId="5" applyAlignment="1" pivotButton="0" quotePrefix="0" xfId="56">
      <alignment horizontal="center" vertical="center"/>
    </xf>
    <xf numFmtId="0" fontId="4" fillId="0" borderId="6" applyAlignment="1" pivotButton="0" quotePrefix="0" xfId="56">
      <alignment horizontal="center" vertical="center"/>
    </xf>
    <xf numFmtId="0" fontId="4" fillId="0" borderId="4" applyAlignment="1" pivotButton="0" quotePrefix="0" xfId="58">
      <alignment horizontal="center" vertical="center"/>
    </xf>
    <xf numFmtId="0" fontId="4" fillId="0" borderId="3" applyAlignment="1" pivotButton="0" quotePrefix="0" xfId="58">
      <alignment horizontal="center" vertical="center"/>
    </xf>
    <xf numFmtId="0" fontId="4" fillId="0" borderId="1" applyAlignment="1" pivotButton="0" quotePrefix="0" xfId="61">
      <alignment horizontal="center" vertical="center"/>
    </xf>
    <xf numFmtId="0" fontId="4" fillId="0" borderId="6" applyAlignment="1" pivotButton="0" quotePrefix="0" xfId="6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62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" fontId="3" fillId="0" borderId="5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" fontId="3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3" fillId="0" borderId="2" applyAlignment="1" pivotButton="0" quotePrefix="0" xfId="0">
      <alignment horizontal="center" vertical="center" wrapText="1"/>
    </xf>
    <xf numFmtId="1" fontId="3" fillId="0" borderId="10" applyAlignment="1" pivotButton="0" quotePrefix="0" xfId="0">
      <alignment horizontal="center" vertical="center"/>
    </xf>
    <xf numFmtId="0" fontId="4" fillId="0" borderId="4" applyAlignment="1" pivotButton="0" quotePrefix="0" xfId="50">
      <alignment horizontal="center" vertical="center"/>
    </xf>
    <xf numFmtId="0" fontId="4" fillId="0" borderId="3" applyAlignment="1" pivotButton="0" quotePrefix="0" xfId="5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4" fillId="0" borderId="4" applyAlignment="1" pivotButton="0" quotePrefix="0" xfId="52">
      <alignment horizontal="center" vertical="center"/>
    </xf>
    <xf numFmtId="0" fontId="4" fillId="0" borderId="4" applyAlignment="1" pivotButton="0" quotePrefix="0" xfId="61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5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1" applyAlignment="1" pivotButton="0" quotePrefix="0" xfId="0">
      <alignment vertical="center"/>
    </xf>
    <xf numFmtId="0" fontId="4" fillId="0" borderId="5" applyAlignment="1" pivotButton="0" quotePrefix="0" xfId="20">
      <alignment horizontal="center" vertical="center"/>
    </xf>
    <xf numFmtId="0" fontId="4" fillId="0" borderId="6" applyAlignment="1" pivotButton="0" quotePrefix="0" xfId="20">
      <alignment horizontal="center" vertical="center"/>
    </xf>
    <xf numFmtId="0" fontId="4" fillId="0" borderId="5" applyAlignment="1" pivotButton="0" quotePrefix="0" xfId="27">
      <alignment horizontal="center" vertical="center"/>
    </xf>
    <xf numFmtId="0" fontId="4" fillId="0" borderId="5" applyAlignment="1" pivotButton="0" quotePrefix="0" xfId="46">
      <alignment horizontal="center" vertical="center"/>
    </xf>
    <xf numFmtId="0" fontId="5" fillId="0" borderId="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10" fillId="0" borderId="11" applyAlignment="1" pivotButton="0" quotePrefix="0" xfId="0">
      <alignment vertical="center"/>
    </xf>
    <xf numFmtId="0" fontId="10" fillId="0" borderId="1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5" applyAlignment="1" pivotButton="0" quotePrefix="0" xfId="62">
      <alignment horizontal="center" vertical="center" wrapText="1"/>
    </xf>
    <xf numFmtId="0" fontId="4" fillId="0" borderId="4" applyAlignment="1" pivotButton="0" quotePrefix="0" xfId="62">
      <alignment horizontal="center" vertical="center" wrapText="1"/>
    </xf>
    <xf numFmtId="0" fontId="4" fillId="0" borderId="2" applyAlignment="1" pivotButton="0" quotePrefix="0" xfId="62">
      <alignment horizontal="center" vertical="center" wrapText="1"/>
    </xf>
    <xf numFmtId="0" fontId="4" fillId="0" borderId="6" applyAlignment="1" pivotButton="0" quotePrefix="0" xfId="62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18">
      <alignment horizontal="center" vertical="center"/>
    </xf>
    <xf numFmtId="164" fontId="4" fillId="0" borderId="5" applyAlignment="1" pivotButton="0" quotePrefix="0" xfId="22">
      <alignment horizontal="center" vertical="center"/>
    </xf>
    <xf numFmtId="0" fontId="3" fillId="0" borderId="5" applyAlignment="1" pivotButton="0" quotePrefix="0" xfId="19">
      <alignment horizontal="center" vertical="center"/>
    </xf>
    <xf numFmtId="0" fontId="3" fillId="0" borderId="1" applyAlignment="1" pivotButton="0" quotePrefix="0" xfId="18">
      <alignment horizontal="center" vertical="center"/>
    </xf>
    <xf numFmtId="164" fontId="4" fillId="0" borderId="1" applyAlignment="1" pivotButton="0" quotePrefix="0" xfId="22">
      <alignment horizontal="center" vertical="center"/>
    </xf>
    <xf numFmtId="0" fontId="3" fillId="0" borderId="1" applyAlignment="1" pivotButton="0" quotePrefix="0" xfId="19">
      <alignment horizontal="center" vertical="center"/>
    </xf>
    <xf numFmtId="0" fontId="3" fillId="0" borderId="6" applyAlignment="1" pivotButton="0" quotePrefix="0" xfId="18">
      <alignment horizontal="center" vertical="center"/>
    </xf>
    <xf numFmtId="164" fontId="4" fillId="0" borderId="6" applyAlignment="1" pivotButton="0" quotePrefix="0" xfId="22">
      <alignment horizontal="center" vertical="center"/>
    </xf>
    <xf numFmtId="0" fontId="3" fillId="0" borderId="6" applyAlignment="1" pivotButton="0" quotePrefix="0" xfId="19">
      <alignment horizontal="center" vertical="center"/>
    </xf>
    <xf numFmtId="0" fontId="3" fillId="0" borderId="4" applyAlignment="1" pivotButton="0" quotePrefix="0" xfId="23">
      <alignment horizontal="center" vertical="center"/>
    </xf>
    <xf numFmtId="164" fontId="3" fillId="0" borderId="4" applyAlignment="1" pivotButton="0" quotePrefix="0" xfId="25">
      <alignment horizontal="center" vertical="center"/>
    </xf>
    <xf numFmtId="0" fontId="3" fillId="0" borderId="1" applyAlignment="1" pivotButton="0" quotePrefix="0" xfId="23">
      <alignment horizontal="center" vertical="center"/>
    </xf>
    <xf numFmtId="164" fontId="3" fillId="0" borderId="1" applyAlignment="1" pivotButton="0" quotePrefix="0" xfId="25">
      <alignment horizontal="center" vertical="center"/>
    </xf>
    <xf numFmtId="0" fontId="3" fillId="0" borderId="2" applyAlignment="1" pivotButton="0" quotePrefix="0" xfId="23">
      <alignment horizontal="center" vertical="center"/>
    </xf>
    <xf numFmtId="164" fontId="3" fillId="0" borderId="2" applyAlignment="1" pivotButton="0" quotePrefix="0" xfId="25">
      <alignment horizontal="center" vertical="center"/>
    </xf>
    <xf numFmtId="0" fontId="3" fillId="0" borderId="5" applyAlignment="1" pivotButton="0" quotePrefix="0" xfId="30">
      <alignment horizontal="center" vertical="center"/>
    </xf>
    <xf numFmtId="164" fontId="3" fillId="0" borderId="5" applyAlignment="1" pivotButton="0" quotePrefix="0" xfId="33">
      <alignment horizontal="center" vertical="center"/>
    </xf>
    <xf numFmtId="0" fontId="3" fillId="0" borderId="1" applyAlignment="1" pivotButton="0" quotePrefix="0" xfId="30">
      <alignment horizontal="center" vertical="center"/>
    </xf>
    <xf numFmtId="164" fontId="3" fillId="0" borderId="1" applyAlignment="1" pivotButton="0" quotePrefix="0" xfId="33">
      <alignment horizontal="center" vertical="center"/>
    </xf>
    <xf numFmtId="0" fontId="3" fillId="0" borderId="6" applyAlignment="1" pivotButton="0" quotePrefix="0" xfId="30">
      <alignment horizontal="center" vertical="center"/>
    </xf>
    <xf numFmtId="164" fontId="3" fillId="0" borderId="6" applyAlignment="1" pivotButton="0" quotePrefix="0" xfId="33">
      <alignment horizontal="center" vertical="center"/>
    </xf>
    <xf numFmtId="0" fontId="3" fillId="0" borderId="5" applyAlignment="1" pivotButton="0" quotePrefix="0" xfId="36">
      <alignment horizontal="center" vertical="center"/>
    </xf>
    <xf numFmtId="164" fontId="3" fillId="0" borderId="5" applyAlignment="1" pivotButton="0" quotePrefix="0" xfId="37">
      <alignment horizontal="center" vertical="center"/>
    </xf>
    <xf numFmtId="0" fontId="3" fillId="0" borderId="1" applyAlignment="1" pivotButton="0" quotePrefix="0" xfId="36">
      <alignment horizontal="center" vertical="center"/>
    </xf>
    <xf numFmtId="164" fontId="3" fillId="0" borderId="1" applyAlignment="1" pivotButton="0" quotePrefix="0" xfId="37">
      <alignment horizontal="center" vertical="center"/>
    </xf>
    <xf numFmtId="0" fontId="3" fillId="0" borderId="6" applyAlignment="1" pivotButton="0" quotePrefix="0" xfId="36">
      <alignment horizontal="center" vertical="center"/>
    </xf>
    <xf numFmtId="164" fontId="3" fillId="0" borderId="6" applyAlignment="1" pivotButton="0" quotePrefix="0" xfId="37">
      <alignment horizontal="center" vertical="center"/>
    </xf>
    <xf numFmtId="0" fontId="3" fillId="0" borderId="4" applyAlignment="1" pivotButton="0" quotePrefix="0" xfId="36">
      <alignment horizontal="center" vertical="center"/>
    </xf>
    <xf numFmtId="164" fontId="3" fillId="0" borderId="4" applyAlignment="1" pivotButton="0" quotePrefix="0" xfId="37">
      <alignment horizontal="center" vertical="center"/>
    </xf>
    <xf numFmtId="0" fontId="3" fillId="0" borderId="2" applyAlignment="1" pivotButton="0" quotePrefix="0" xfId="36">
      <alignment horizontal="center" vertical="center"/>
    </xf>
    <xf numFmtId="164" fontId="3" fillId="0" borderId="2" applyAlignment="1" pivotButton="0" quotePrefix="0" xfId="37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12" pivotButton="0" quotePrefix="0" xfId="0"/>
    <xf numFmtId="0" fontId="4" fillId="0" borderId="1" applyAlignment="1" pivotButton="0" quotePrefix="0" xfId="19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3" fillId="0" borderId="7" applyAlignment="1" pivotButton="0" quotePrefix="0" xfId="36">
      <alignment horizontal="center" vertical="center"/>
    </xf>
    <xf numFmtId="164" fontId="3" fillId="0" borderId="7" applyAlignment="1" pivotButton="0" quotePrefix="0" xfId="37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49" fontId="3" fillId="0" borderId="25" applyAlignment="1" pivotButton="0" quotePrefix="0" xfId="0">
      <alignment horizontal="center" vertical="center"/>
    </xf>
    <xf numFmtId="49" fontId="3" fillId="0" borderId="2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19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4" fillId="0" borderId="16" applyAlignment="1" pivotButton="0" quotePrefix="0" xfId="9">
      <alignment horizontal="center" vertical="center"/>
    </xf>
    <xf numFmtId="0" fontId="4" fillId="0" borderId="19" applyAlignment="1" pivotButton="0" quotePrefix="0" xfId="9">
      <alignment horizontal="center" vertical="center"/>
    </xf>
    <xf numFmtId="0" fontId="4" fillId="0" borderId="18" applyAlignment="1" pivotButton="0" quotePrefix="0" xfId="9">
      <alignment horizontal="center" vertical="center"/>
    </xf>
    <xf numFmtId="0" fontId="4" fillId="0" borderId="15" applyAlignment="1" pivotButton="0" quotePrefix="0" xfId="9">
      <alignment horizontal="center" vertical="center"/>
    </xf>
    <xf numFmtId="0" fontId="4" fillId="0" borderId="20" applyAlignment="1" pivotButton="0" quotePrefix="0" xfId="9">
      <alignment horizontal="center" vertical="center"/>
    </xf>
    <xf numFmtId="0" fontId="4" fillId="0" borderId="21" applyAlignment="1" pivotButton="0" quotePrefix="0" xfId="9">
      <alignment horizontal="center" vertical="center"/>
    </xf>
    <xf numFmtId="0" fontId="0" fillId="0" borderId="45" pivotButton="0" quotePrefix="0" xfId="0"/>
    <xf numFmtId="0" fontId="0" fillId="0" borderId="44" pivotButton="0" quotePrefix="0" xfId="0"/>
    <xf numFmtId="0" fontId="0" fillId="0" borderId="34" pivotButton="0" quotePrefix="0" xfId="0"/>
    <xf numFmtId="0" fontId="3" fillId="0" borderId="4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2" pivotButton="0" quotePrefix="0" xfId="0"/>
    <xf numFmtId="0" fontId="0" fillId="0" borderId="34" applyAlignment="1" pivotButton="0" quotePrefix="0" xfId="0">
      <alignment horizontal="center"/>
    </xf>
    <xf numFmtId="0" fontId="0" fillId="0" borderId="4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 wrapText="1"/>
    </xf>
    <xf numFmtId="0" fontId="0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horizontal="right" vertical="center"/>
    </xf>
    <xf numFmtId="0" fontId="0" fillId="0" borderId="45" applyAlignment="1" pivotButton="0" quotePrefix="0" xfId="0">
      <alignment horizontal="right" vertical="center"/>
    </xf>
    <xf numFmtId="0" fontId="0" fillId="0" borderId="24" applyAlignment="1" pivotButton="0" quotePrefix="0" xfId="0">
      <alignment horizontal="right" vertical="center"/>
    </xf>
    <xf numFmtId="0" fontId="0" fillId="0" borderId="34" applyAlignment="1" pivotButton="0" quotePrefix="0" xfId="0">
      <alignment horizontal="right" vertical="center"/>
    </xf>
    <xf numFmtId="0" fontId="0" fillId="0" borderId="44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/>
    </xf>
    <xf numFmtId="0" fontId="0" fillId="0" borderId="23" applyAlignment="1" pivotButton="0" quotePrefix="0" xfId="0">
      <alignment horizontal="right"/>
    </xf>
    <xf numFmtId="0" fontId="0" fillId="0" borderId="45" applyAlignment="1" pivotButton="0" quotePrefix="0" xfId="0">
      <alignment horizontal="right"/>
    </xf>
    <xf numFmtId="0" fontId="0" fillId="0" borderId="42" applyAlignment="1" pivotButton="0" quotePrefix="0" xfId="0">
      <alignment horizontal="right"/>
    </xf>
    <xf numFmtId="0" fontId="0" fillId="0" borderId="24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/>
    </xf>
    <xf numFmtId="49" fontId="3" fillId="0" borderId="25" applyAlignment="1" pivotButton="0" quotePrefix="0" xfId="0">
      <alignment horizontal="center" vertical="center"/>
    </xf>
    <xf numFmtId="49" fontId="3" fillId="0" borderId="46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6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/>
    </xf>
    <xf numFmtId="0" fontId="4" fillId="0" borderId="3" applyAlignment="1" pivotButton="0" quotePrefix="0" xfId="8">
      <alignment horizontal="center" vertical="center"/>
    </xf>
    <xf numFmtId="0" fontId="4" fillId="0" borderId="8" applyAlignment="1" pivotButton="0" quotePrefix="0" xfId="8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 wrapText="1"/>
    </xf>
    <xf numFmtId="0" fontId="4" fillId="0" borderId="3" applyAlignment="1" pivotButton="0" quotePrefix="0" xfId="8">
      <alignment horizontal="center" vertical="center" wrapText="1"/>
    </xf>
    <xf numFmtId="0" fontId="4" fillId="0" borderId="8" applyAlignment="1" pivotButton="0" quotePrefix="0" xfId="8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23">
      <alignment horizontal="center" vertical="center"/>
    </xf>
    <xf numFmtId="0" fontId="4" fillId="0" borderId="1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4" applyAlignment="1" pivotButton="0" quotePrefix="0" xfId="23">
      <alignment horizontal="center" vertical="center"/>
    </xf>
    <xf numFmtId="0" fontId="4" fillId="0" borderId="2" applyAlignment="1" pivotButton="0" quotePrefix="0" xfId="23">
      <alignment horizontal="center" vertical="center"/>
    </xf>
    <xf numFmtId="0" fontId="4" fillId="0" borderId="10" applyAlignment="1" pivotButton="0" quotePrefix="0" xfId="36">
      <alignment horizontal="center" vertical="center"/>
    </xf>
    <xf numFmtId="0" fontId="4" fillId="0" borderId="3" applyAlignment="1" pivotButton="0" quotePrefix="0" xfId="36">
      <alignment horizontal="center" vertical="center"/>
    </xf>
    <xf numFmtId="0" fontId="4" fillId="0" borderId="8" applyAlignment="1" pivotButton="0" quotePrefix="0" xfId="36">
      <alignment horizontal="center" vertical="center"/>
    </xf>
    <xf numFmtId="0" fontId="4" fillId="0" borderId="5" applyAlignment="1" pivotButton="0" quotePrefix="0" xfId="25">
      <alignment horizontal="center" vertical="center"/>
    </xf>
    <xf numFmtId="0" fontId="4" fillId="0" borderId="1" applyAlignment="1" pivotButton="0" quotePrefix="0" xfId="25">
      <alignment horizontal="center" vertical="center"/>
    </xf>
    <xf numFmtId="0" fontId="4" fillId="0" borderId="6" applyAlignment="1" pivotButton="0" quotePrefix="0" xfId="25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57">
      <alignment horizontal="center" vertical="center"/>
    </xf>
    <xf numFmtId="0" fontId="4" fillId="0" borderId="10" applyAlignment="1" pivotButton="0" quotePrefix="0" xfId="56">
      <alignment horizontal="center" vertical="center"/>
    </xf>
    <xf numFmtId="0" fontId="4" fillId="0" borderId="3" applyAlignment="1" pivotButton="0" quotePrefix="0" xfId="56">
      <alignment horizontal="center" vertical="center"/>
    </xf>
    <xf numFmtId="0" fontId="4" fillId="0" borderId="8" applyAlignment="1" pivotButton="0" quotePrefix="0" xfId="56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49" fontId="3" fillId="0" borderId="3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49" fontId="3" fillId="0" borderId="27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49" fontId="3" fillId="0" borderId="36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49" fontId="3" fillId="0" borderId="40" applyAlignment="1" pivotButton="0" quotePrefix="0" xfId="0">
      <alignment horizontal="center" vertical="center"/>
    </xf>
    <xf numFmtId="49" fontId="3" fillId="0" borderId="38" applyAlignment="1" pivotButton="0" quotePrefix="0" xfId="0">
      <alignment horizontal="center" vertical="center"/>
    </xf>
    <xf numFmtId="49" fontId="3" fillId="0" borderId="39" applyAlignment="1" pivotButton="0" quotePrefix="0" xfId="0">
      <alignment horizontal="center" vertical="center"/>
    </xf>
    <xf numFmtId="49" fontId="3" fillId="0" borderId="4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49" fontId="3" fillId="0" borderId="45" applyAlignment="1" pivotButton="0" quotePrefix="0" xfId="0">
      <alignment horizontal="center" vertical="center"/>
    </xf>
    <xf numFmtId="49" fontId="3" fillId="0" borderId="43" applyAlignment="1" pivotButton="0" quotePrefix="0" xfId="0">
      <alignment horizontal="center" vertical="center"/>
    </xf>
    <xf numFmtId="49" fontId="3" fillId="0" borderId="4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39">
      <alignment horizontal="center" vertical="center"/>
    </xf>
    <xf numFmtId="0" fontId="4" fillId="0" borderId="1" applyAlignment="1" pivotButton="0" quotePrefix="0" xfId="39">
      <alignment horizontal="center" vertical="center"/>
    </xf>
    <xf numFmtId="0" fontId="4" fillId="0" borderId="6" applyAlignment="1" pivotButton="0" quotePrefix="0" xfId="39">
      <alignment horizontal="center" vertical="center"/>
    </xf>
    <xf numFmtId="0" fontId="4" fillId="0" borderId="4" applyAlignment="1" pivotButton="0" quotePrefix="0" xfId="40">
      <alignment horizontal="center" vertical="center"/>
    </xf>
    <xf numFmtId="0" fontId="4" fillId="0" borderId="1" applyAlignment="1" pivotButton="0" quotePrefix="0" xfId="40">
      <alignment horizontal="center" vertical="center"/>
    </xf>
    <xf numFmtId="0" fontId="4" fillId="0" borderId="2" applyAlignment="1" pivotButton="0" quotePrefix="0" xfId="40">
      <alignment horizontal="center" vertical="center"/>
    </xf>
    <xf numFmtId="0" fontId="4" fillId="0" borderId="10" applyAlignment="1" pivotButton="0" quotePrefix="0" xfId="40">
      <alignment horizontal="center" vertical="center"/>
    </xf>
    <xf numFmtId="0" fontId="4" fillId="0" borderId="3" applyAlignment="1" pivotButton="0" quotePrefix="0" xfId="40">
      <alignment horizontal="center" vertical="center"/>
    </xf>
    <xf numFmtId="0" fontId="4" fillId="0" borderId="8" applyAlignment="1" pivotButton="0" quotePrefix="0" xfId="40">
      <alignment horizontal="center" vertical="center"/>
    </xf>
    <xf numFmtId="0" fontId="4" fillId="0" borderId="4" applyAlignment="1" pivotButton="0" quotePrefix="0" xfId="39">
      <alignment horizontal="center" vertical="center"/>
    </xf>
    <xf numFmtId="0" fontId="4" fillId="0" borderId="2" applyAlignment="1" pivotButton="0" quotePrefix="0" xfId="39">
      <alignment horizontal="center" vertical="center"/>
    </xf>
    <xf numFmtId="0" fontId="4" fillId="0" borderId="5" applyAlignment="1" pivotButton="0" quotePrefix="0" xfId="40">
      <alignment horizontal="center" vertical="center"/>
    </xf>
    <xf numFmtId="0" fontId="4" fillId="0" borderId="6" applyAlignment="1" pivotButton="0" quotePrefix="0" xfId="40">
      <alignment horizontal="center" vertical="center"/>
    </xf>
    <xf numFmtId="0" fontId="5" fillId="0" borderId="0" applyAlignment="1" pivotButton="0" quotePrefix="0" xfId="0">
      <alignment horizontal="center"/>
    </xf>
    <xf numFmtId="0" fontId="3" fillId="0" borderId="5" applyAlignment="1" pivotButton="0" quotePrefix="0" xfId="36">
      <alignment horizontal="center" vertical="center"/>
    </xf>
    <xf numFmtId="0" fontId="3" fillId="0" borderId="1" applyAlignment="1" pivotButton="0" quotePrefix="0" xfId="36">
      <alignment horizontal="center" vertical="center"/>
    </xf>
    <xf numFmtId="0" fontId="3" fillId="0" borderId="5" applyAlignment="1" pivotButton="0" quotePrefix="0" xfId="30">
      <alignment horizontal="center" vertical="center"/>
    </xf>
    <xf numFmtId="0" fontId="3" fillId="0" borderId="1" applyAlignment="1" pivotButton="0" quotePrefix="0" xfId="30">
      <alignment horizontal="center" vertical="center"/>
    </xf>
    <xf numFmtId="0" fontId="3" fillId="0" borderId="1" applyAlignment="1" pivotButton="0" quotePrefix="0" xfId="18">
      <alignment horizontal="center" vertical="center"/>
    </xf>
    <xf numFmtId="0" fontId="3" fillId="0" borderId="6" applyAlignment="1" pivotButton="0" quotePrefix="0" xfId="18">
      <alignment horizontal="center" vertical="center"/>
    </xf>
    <xf numFmtId="0" fontId="3" fillId="0" borderId="4" applyAlignment="1" pivotButton="0" quotePrefix="0" xfId="23">
      <alignment horizontal="center" vertical="center"/>
    </xf>
    <xf numFmtId="0" fontId="3" fillId="0" borderId="1" applyAlignment="1" pivotButton="0" quotePrefix="0" xfId="23">
      <alignment horizontal="center" vertical="center"/>
    </xf>
    <xf numFmtId="0" fontId="3" fillId="0" borderId="6" applyAlignment="1" pivotButton="0" quotePrefix="0" xfId="36">
      <alignment horizontal="center" vertical="center"/>
    </xf>
    <xf numFmtId="0" fontId="3" fillId="0" borderId="6" applyAlignment="1" pivotButton="0" quotePrefix="0" xfId="30">
      <alignment horizontal="center" vertical="center"/>
    </xf>
    <xf numFmtId="0" fontId="3" fillId="0" borderId="5" applyAlignment="1" pivotButton="0" quotePrefix="0" xfId="18">
      <alignment horizontal="center" vertical="center"/>
    </xf>
    <xf numFmtId="0" fontId="3" fillId="0" borderId="2" applyAlignment="1" pivotButton="0" quotePrefix="0" xfId="23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8" pivotButton="0" quotePrefix="0" xfId="0"/>
    <xf numFmtId="0" fontId="0" fillId="0" borderId="4" pivotButton="0" quotePrefix="0" xfId="0"/>
    <xf numFmtId="0" fontId="4" fillId="0" borderId="7" applyAlignment="1" pivotButton="0" quotePrefix="0" xfId="56">
      <alignment horizontal="center" vertical="center"/>
    </xf>
  </cellXfs>
  <cellStyles count="63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  <cellStyle name="Обычный 10" xfId="9"/>
    <cellStyle name="Обычный 11" xfId="10"/>
    <cellStyle name="Обычный 12" xfId="11"/>
    <cellStyle name="Обычный 13" xfId="12"/>
    <cellStyle name="Обычный 14" xfId="13"/>
    <cellStyle name="Обычный 15" xfId="14"/>
    <cellStyle name="Обычный 16" xfId="15"/>
    <cellStyle name="Обычный 17" xfId="16"/>
    <cellStyle name="Обычный 18" xfId="17"/>
    <cellStyle name="Обычный 19" xfId="18"/>
    <cellStyle name="Обычный 20" xfId="19"/>
    <cellStyle name="Обычный 21" xfId="20"/>
    <cellStyle name="Обычный 22" xfId="21"/>
    <cellStyle name="Обычный 23" xfId="22"/>
    <cellStyle name="Обычный 24" xfId="23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0" xfId="59"/>
    <cellStyle name="Обычный 61" xfId="60"/>
    <cellStyle name="Обычный 62" xfId="61"/>
    <cellStyle name="Обычный 63" xfId="6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J27" sqref="J27"/>
    </sheetView>
  </sheetViews>
  <sheetFormatPr baseColWidth="8" defaultRowHeight="15"/>
  <cols>
    <col width="23.140625" customWidth="1" min="1" max="1"/>
    <col width="40.42578125" bestFit="1" customWidth="1" style="1" min="8" max="8"/>
  </cols>
  <sheetData>
    <row r="1" ht="15.75" customHeight="1">
      <c r="A1" s="169" t="inlineStr">
        <is>
          <t>16 граней холодная фиксация с эффектом АВ</t>
        </is>
      </c>
      <c r="B1" s="168" t="n"/>
      <c r="C1" s="169" t="n"/>
      <c r="D1" s="170" t="n"/>
      <c r="E1" s="162" t="n"/>
      <c r="F1" s="162" t="n"/>
      <c r="G1" s="162" t="n"/>
      <c r="I1" s="161" t="n"/>
    </row>
    <row r="2" ht="43.5" customHeight="1" thickBot="1">
      <c r="A2" s="25" t="inlineStr">
        <is>
          <t>цвет</t>
        </is>
      </c>
      <c r="B2" s="25" t="inlineStr">
        <is>
          <t>размер</t>
        </is>
      </c>
      <c r="C2" s="25" t="inlineStr">
        <is>
          <t>штук в пачке</t>
        </is>
      </c>
      <c r="D2" s="25" t="inlineStr">
        <is>
          <t>цена продажи в руб</t>
        </is>
      </c>
      <c r="E2" s="25" t="inlineStr">
        <is>
          <t>всего шт пришло</t>
        </is>
      </c>
      <c r="F2" s="25" t="inlineStr">
        <is>
          <t>продано</t>
        </is>
      </c>
      <c r="G2" s="25" t="inlineStr">
        <is>
          <t>остаток на складе</t>
        </is>
      </c>
      <c r="H2" s="25" t="inlineStr">
        <is>
          <t>артикул</t>
        </is>
      </c>
      <c r="I2" s="146" t="inlineStr">
        <is>
          <t>код цвета</t>
        </is>
      </c>
    </row>
    <row r="3" ht="16.5" customHeight="1" thickBot="1" thickTop="1">
      <c r="A3" s="304" t="inlineStr">
        <is>
          <t>JET BLACK AB</t>
        </is>
      </c>
      <c r="B3" s="85" t="inlineStr">
        <is>
          <t>SS16</t>
        </is>
      </c>
      <c r="C3" s="85" t="n">
        <v>1440</v>
      </c>
      <c r="D3" s="85" t="n">
        <v>1485</v>
      </c>
      <c r="E3" s="310" t="n">
        <v>40</v>
      </c>
      <c r="F3" s="310" t="n"/>
      <c r="G3" s="243">
        <f>E3-F3</f>
        <v/>
      </c>
      <c r="H3" s="258" t="inlineStr">
        <is>
          <t>16cut/Jet Black AB/SS16/Non/002+</t>
        </is>
      </c>
      <c r="I3" s="348" t="inlineStr">
        <is>
          <t>002+</t>
        </is>
      </c>
    </row>
    <row r="4" ht="16.5" customHeight="1" thickBot="1" thickTop="1">
      <c r="A4" s="427" t="n"/>
      <c r="B4" s="86" t="inlineStr">
        <is>
          <t>SS20</t>
        </is>
      </c>
      <c r="C4" s="86" t="n">
        <v>1440</v>
      </c>
      <c r="D4" s="86" t="n">
        <v>1972</v>
      </c>
      <c r="E4" s="311" t="n">
        <v>49</v>
      </c>
      <c r="F4" s="311" t="n"/>
      <c r="G4" s="245">
        <f>E4-F4</f>
        <v/>
      </c>
      <c r="H4" s="280" t="inlineStr">
        <is>
          <t>16cut/Jet Black AB/SS20/Non/002+</t>
        </is>
      </c>
      <c r="I4" s="428" t="n"/>
    </row>
    <row r="5" ht="16.5" customHeight="1" thickBot="1" thickTop="1">
      <c r="A5" s="427" t="n"/>
      <c r="B5" s="87" t="inlineStr">
        <is>
          <t>SS30</t>
        </is>
      </c>
      <c r="C5" s="87" t="n">
        <v>288</v>
      </c>
      <c r="D5" s="87" t="n">
        <v>1485</v>
      </c>
      <c r="E5" s="320" t="n">
        <v>39</v>
      </c>
      <c r="F5" s="320" t="n"/>
      <c r="G5" s="247">
        <f>E5-F5</f>
        <v/>
      </c>
      <c r="H5" s="281" t="inlineStr">
        <is>
          <t>16cut/Jet Black AB/SS30/Non/002+</t>
        </is>
      </c>
      <c r="I5" s="429" t="n"/>
    </row>
    <row r="6" ht="16.5" customHeight="1" thickBot="1" thickTop="1">
      <c r="A6" s="31" t="inlineStr">
        <is>
          <t>TOPAZ AB</t>
        </is>
      </c>
      <c r="B6" s="85" t="inlineStr">
        <is>
          <t>SS16</t>
        </is>
      </c>
      <c r="C6" s="85" t="n">
        <v>1440</v>
      </c>
      <c r="D6" s="85" t="n">
        <v>1647</v>
      </c>
      <c r="E6" s="310" t="n">
        <v>50</v>
      </c>
      <c r="F6" s="310">
        <f>1+1+2+1</f>
        <v/>
      </c>
      <c r="G6" s="276">
        <f>E6-F6</f>
        <v/>
      </c>
      <c r="H6" s="258" t="inlineStr">
        <is>
          <t>16cut/Topaz AB/SS16/Non/008+</t>
        </is>
      </c>
      <c r="I6" s="348" t="inlineStr">
        <is>
          <t>008+</t>
        </is>
      </c>
    </row>
    <row r="7" ht="16.5" customHeight="1" thickBot="1" thickTop="1">
      <c r="A7" s="427" t="n"/>
      <c r="B7" s="87" t="inlineStr">
        <is>
          <t>SS20</t>
        </is>
      </c>
      <c r="C7" s="87" t="n">
        <v>1440</v>
      </c>
      <c r="D7" s="87" t="n">
        <v>2133</v>
      </c>
      <c r="E7" s="320" t="n">
        <v>80</v>
      </c>
      <c r="F7" s="311">
        <f>6+2+2+3+2</f>
        <v/>
      </c>
      <c r="G7" s="247">
        <f>E7-F7</f>
        <v/>
      </c>
      <c r="H7" s="259" t="inlineStr">
        <is>
          <t>16cut/Topaz AB/SS20/Non/008+</t>
        </is>
      </c>
      <c r="I7" s="428" t="n"/>
    </row>
    <row r="8" ht="16.5" customHeight="1" thickBot="1" thickTop="1">
      <c r="A8" s="430" t="n"/>
      <c r="B8" s="88" t="inlineStr">
        <is>
          <t>SS30</t>
        </is>
      </c>
      <c r="C8" s="88" t="n">
        <v>288</v>
      </c>
      <c r="D8" s="88" t="n">
        <v>1647</v>
      </c>
      <c r="E8" s="312" t="n">
        <v>50</v>
      </c>
      <c r="F8" s="312">
        <f>1+1+2+1</f>
        <v/>
      </c>
      <c r="G8" s="246">
        <f>E8-F8</f>
        <v/>
      </c>
      <c r="H8" s="281" t="inlineStr">
        <is>
          <t>16cut/Topaz AB/SS30/Non/008+</t>
        </is>
      </c>
      <c r="I8" s="429" t="n"/>
    </row>
    <row r="9" ht="16.5" customHeight="1" thickBot="1" thickTop="1">
      <c r="A9" s="310" t="inlineStr">
        <is>
          <t>Lt. Colorado Topaz AB</t>
        </is>
      </c>
      <c r="B9" s="310" t="inlineStr">
        <is>
          <t>SS16</t>
        </is>
      </c>
      <c r="C9" s="310" t="n">
        <v>1440</v>
      </c>
      <c r="D9" s="85" t="n">
        <v>1647</v>
      </c>
      <c r="E9" s="329" t="n">
        <v>52</v>
      </c>
      <c r="F9" s="310" t="n"/>
      <c r="G9" s="243">
        <f>E9-F9</f>
        <v/>
      </c>
      <c r="H9" s="258" t="inlineStr">
        <is>
          <t>16cut/Lt.Colorado Topaz AB/SS16/Non/010+</t>
        </is>
      </c>
      <c r="I9" s="348" t="inlineStr">
        <is>
          <t>010+</t>
        </is>
      </c>
    </row>
    <row r="10" ht="16.5" customHeight="1" thickBot="1" thickTop="1">
      <c r="A10" s="427" t="n"/>
      <c r="B10" s="311" t="inlineStr">
        <is>
          <t>SS20</t>
        </is>
      </c>
      <c r="C10" s="311" t="n">
        <v>1440</v>
      </c>
      <c r="D10" s="86" t="n">
        <v>2133</v>
      </c>
      <c r="E10" s="330" t="n">
        <v>79</v>
      </c>
      <c r="F10" s="311" t="n"/>
      <c r="G10" s="245">
        <f>E10-F10</f>
        <v/>
      </c>
      <c r="H10" s="259" t="inlineStr">
        <is>
          <t>16cut/Lt.Colorado Topaz AB/SS20/Non/010+</t>
        </is>
      </c>
      <c r="I10" s="428" t="n"/>
    </row>
    <row r="11" ht="16.5" customHeight="1" thickBot="1" thickTop="1">
      <c r="A11" s="431" t="n"/>
      <c r="B11" s="312" t="inlineStr">
        <is>
          <t>SS30</t>
        </is>
      </c>
      <c r="C11" s="312" t="n">
        <v>288</v>
      </c>
      <c r="D11" s="88" t="n">
        <v>1647</v>
      </c>
      <c r="E11" s="331" t="n">
        <v>50</v>
      </c>
      <c r="F11" s="312" t="n"/>
      <c r="G11" s="246">
        <f>E11-F11</f>
        <v/>
      </c>
      <c r="H11" s="281" t="inlineStr">
        <is>
          <t>16cut/Lt.Colorado Topaz AB/SS30/Non/010+</t>
        </is>
      </c>
      <c r="I11" s="429" t="n"/>
    </row>
    <row r="12" ht="16.5" customHeight="1" thickBot="1" thickTop="1">
      <c r="A12" s="304" t="inlineStr">
        <is>
          <t>Lt. Sapphire AB</t>
        </is>
      </c>
      <c r="B12" s="89" t="inlineStr">
        <is>
          <t>SS16</t>
        </is>
      </c>
      <c r="C12" s="89" t="n">
        <v>1440</v>
      </c>
      <c r="D12" s="140" t="n">
        <v>1647</v>
      </c>
      <c r="E12" s="319" t="n">
        <v>50</v>
      </c>
      <c r="F12" s="319">
        <f>1+2+1</f>
        <v/>
      </c>
      <c r="G12" s="244">
        <f>E12-F12</f>
        <v/>
      </c>
      <c r="H12" s="258" t="inlineStr">
        <is>
          <t>16cut/Lt.Sapphire AB/SS16/Non/011+</t>
        </is>
      </c>
      <c r="I12" s="348" t="inlineStr">
        <is>
          <t>011+</t>
        </is>
      </c>
    </row>
    <row r="13" ht="16.5" customHeight="1" thickBot="1" thickTop="1">
      <c r="A13" s="427" t="n"/>
      <c r="B13" s="90" t="inlineStr">
        <is>
          <t>SS20</t>
        </is>
      </c>
      <c r="C13" s="90" t="n">
        <v>1440</v>
      </c>
      <c r="D13" s="86" t="n">
        <v>2133</v>
      </c>
      <c r="E13" s="311" t="n">
        <v>73</v>
      </c>
      <c r="F13" s="311">
        <f>4+2+1+1</f>
        <v/>
      </c>
      <c r="G13" s="245">
        <f>E13-F13</f>
        <v/>
      </c>
      <c r="H13" s="259" t="inlineStr">
        <is>
          <t>16cut/Lt.Sapphire AB/SS20/Non/011+</t>
        </is>
      </c>
      <c r="I13" s="428" t="n"/>
    </row>
    <row r="14" ht="16.5" customHeight="1" thickBot="1" thickTop="1">
      <c r="A14" s="427" t="n"/>
      <c r="B14" s="91" t="inlineStr">
        <is>
          <t>SS30</t>
        </is>
      </c>
      <c r="C14" s="91" t="n">
        <v>288</v>
      </c>
      <c r="D14" s="87" t="n">
        <v>1647</v>
      </c>
      <c r="E14" s="320" t="n">
        <v>10</v>
      </c>
      <c r="F14" s="320" t="n">
        <v>1</v>
      </c>
      <c r="G14" s="247">
        <f>E14-F14</f>
        <v/>
      </c>
      <c r="H14" s="281" t="inlineStr">
        <is>
          <t>16cut/Lt.Sapphire AB/SS30/Non/011+</t>
        </is>
      </c>
      <c r="I14" s="429" t="n"/>
    </row>
    <row r="15" ht="16.5" customHeight="1" thickBot="1" thickTop="1">
      <c r="A15" s="310" t="inlineStr">
        <is>
          <t>SAPPHIRE AB</t>
        </is>
      </c>
      <c r="B15" s="310" t="inlineStr">
        <is>
          <t>SS16</t>
        </is>
      </c>
      <c r="C15" s="313" t="n">
        <v>1440</v>
      </c>
      <c r="D15" s="313" t="n">
        <v>1647</v>
      </c>
      <c r="E15" s="313">
        <f>2*25</f>
        <v/>
      </c>
      <c r="F15" s="310" t="n"/>
      <c r="G15" s="243">
        <f>E15-F15</f>
        <v/>
      </c>
      <c r="H15" s="258" t="inlineStr">
        <is>
          <t>16cut/Sapphire AB/SS16/Non/013+</t>
        </is>
      </c>
      <c r="I15" s="348" t="inlineStr">
        <is>
          <t>013+</t>
        </is>
      </c>
    </row>
    <row r="16" ht="16.5" customHeight="1" thickBot="1" thickTop="1">
      <c r="A16" s="427" t="n"/>
      <c r="B16" s="311" t="inlineStr">
        <is>
          <t>SS20</t>
        </is>
      </c>
      <c r="C16" s="314" t="n">
        <v>1440</v>
      </c>
      <c r="D16" s="314" t="n">
        <v>2133</v>
      </c>
      <c r="E16" s="314">
        <f>3*15</f>
        <v/>
      </c>
      <c r="F16" s="311" t="n"/>
      <c r="G16" s="245">
        <f>E16-F16</f>
        <v/>
      </c>
      <c r="H16" s="259" t="inlineStr">
        <is>
          <t>16cut/Sapphire AB/SS20/Non/013+</t>
        </is>
      </c>
      <c r="I16" s="428" t="n"/>
    </row>
    <row r="17" ht="16.5" customHeight="1" thickBot="1" thickTop="1">
      <c r="A17" s="431" t="n"/>
      <c r="B17" s="312" t="inlineStr">
        <is>
          <t>SS30</t>
        </is>
      </c>
      <c r="C17" s="315" t="n">
        <v>288</v>
      </c>
      <c r="D17" s="315" t="n">
        <v>1647</v>
      </c>
      <c r="E17" s="315" t="n">
        <v>46</v>
      </c>
      <c r="F17" s="312" t="n"/>
      <c r="G17" s="246">
        <f>E17-F17</f>
        <v/>
      </c>
      <c r="H17" s="281" t="inlineStr">
        <is>
          <t>16cut/Sapphire AB/SS30/Non/013+</t>
        </is>
      </c>
      <c r="I17" s="429" t="n"/>
    </row>
    <row r="18" ht="16.5" customHeight="1" thickBot="1" thickTop="1">
      <c r="A18" s="306" t="inlineStr">
        <is>
          <t>CAPRI BLUE AB</t>
        </is>
      </c>
      <c r="B18" s="143" t="inlineStr">
        <is>
          <t>SS16</t>
        </is>
      </c>
      <c r="C18" s="143" t="n">
        <v>1440</v>
      </c>
      <c r="D18" s="140" t="n">
        <v>1647</v>
      </c>
      <c r="E18" s="319" t="n">
        <v>50</v>
      </c>
      <c r="F18" s="319" t="n">
        <v>1</v>
      </c>
      <c r="G18" s="244">
        <f>E18-F18</f>
        <v/>
      </c>
      <c r="H18" s="258" t="inlineStr">
        <is>
          <t>16cut/Capri Blue AB/SS16/Non/017+</t>
        </is>
      </c>
      <c r="I18" s="348" t="inlineStr">
        <is>
          <t>017+</t>
        </is>
      </c>
    </row>
    <row r="19" ht="16.5" customHeight="1" thickBot="1" thickTop="1">
      <c r="A19" s="427" t="n"/>
      <c r="B19" s="92" t="inlineStr">
        <is>
          <t>SS20</t>
        </is>
      </c>
      <c r="C19" s="92" t="n">
        <v>1440</v>
      </c>
      <c r="D19" s="86" t="n">
        <v>2133</v>
      </c>
      <c r="E19" s="311" t="n">
        <v>76</v>
      </c>
      <c r="F19" s="311" t="n">
        <v>1</v>
      </c>
      <c r="G19" s="245">
        <f>E19-F19</f>
        <v/>
      </c>
      <c r="H19" s="259" t="inlineStr">
        <is>
          <t>16cut/Capri Blue AB/SS20/Non/017+</t>
        </is>
      </c>
      <c r="I19" s="428" t="n"/>
    </row>
    <row r="20" ht="16.5" customHeight="1" thickBot="1" thickTop="1">
      <c r="A20" s="430" t="n"/>
      <c r="B20" s="93" t="inlineStr">
        <is>
          <t>SS30</t>
        </is>
      </c>
      <c r="C20" s="93" t="n">
        <v>288</v>
      </c>
      <c r="D20" s="88" t="n">
        <v>1647</v>
      </c>
      <c r="E20" s="312" t="n">
        <v>50</v>
      </c>
      <c r="F20" s="320" t="n">
        <v>1</v>
      </c>
      <c r="G20" s="246">
        <f>E20-F20</f>
        <v/>
      </c>
      <c r="H20" s="281" t="inlineStr">
        <is>
          <t>16cut/Capri Blue AB/SS30/Non/017+</t>
        </is>
      </c>
      <c r="I20" s="429" t="n"/>
    </row>
    <row r="21" ht="16.5" customHeight="1" thickBot="1" thickTop="1">
      <c r="A21" s="432" t="inlineStr">
        <is>
          <t>INDICOLITE AB</t>
        </is>
      </c>
      <c r="B21" s="94" t="inlineStr">
        <is>
          <t>SS16</t>
        </is>
      </c>
      <c r="C21" s="94" t="n">
        <v>1440</v>
      </c>
      <c r="D21" s="140" t="n">
        <v>1647</v>
      </c>
      <c r="E21" s="319" t="n">
        <v>50</v>
      </c>
      <c r="F21" s="310" t="n">
        <v>1</v>
      </c>
      <c r="G21" s="243">
        <f>E21-F21</f>
        <v/>
      </c>
      <c r="H21" s="258" t="inlineStr">
        <is>
          <t>16cut/Indicolite AB/SS16/Non/014+</t>
        </is>
      </c>
      <c r="I21" s="348" t="inlineStr">
        <is>
          <t>014+</t>
        </is>
      </c>
    </row>
    <row r="22" ht="16.5" customHeight="1" thickBot="1" thickTop="1">
      <c r="A22" s="427" t="n"/>
      <c r="B22" s="95" t="inlineStr">
        <is>
          <t>SS20</t>
        </is>
      </c>
      <c r="C22" s="95" t="n">
        <v>1440</v>
      </c>
      <c r="D22" s="86" t="n">
        <v>2133</v>
      </c>
      <c r="E22" s="311" t="n">
        <v>78</v>
      </c>
      <c r="F22" s="311" t="n">
        <v>1</v>
      </c>
      <c r="G22" s="245">
        <f>E22-F22</f>
        <v/>
      </c>
      <c r="H22" s="259" t="inlineStr">
        <is>
          <t>16cut/Indicolite AB/SS20/Non/014+</t>
        </is>
      </c>
      <c r="I22" s="428" t="n"/>
    </row>
    <row r="23" ht="16.5" customHeight="1" thickBot="1" thickTop="1">
      <c r="A23" s="430" t="n"/>
      <c r="B23" s="96" t="inlineStr">
        <is>
          <t>SS30</t>
        </is>
      </c>
      <c r="C23" s="96" t="n">
        <v>288</v>
      </c>
      <c r="D23" s="87" t="n">
        <v>1647</v>
      </c>
      <c r="E23" s="320" t="n">
        <v>50</v>
      </c>
      <c r="F23" s="320" t="n">
        <v>1</v>
      </c>
      <c r="G23" s="247">
        <f>E23-F23</f>
        <v/>
      </c>
      <c r="H23" s="281" t="inlineStr">
        <is>
          <t>16cut/Indicolite AB/SS30/Non/014+</t>
        </is>
      </c>
      <c r="I23" s="429" t="n"/>
    </row>
    <row r="24" ht="16.5" customHeight="1" thickBot="1" thickTop="1">
      <c r="A24" s="310" t="inlineStr">
        <is>
          <t>BLUE ZIRCON AB</t>
        </is>
      </c>
      <c r="B24" s="310" t="inlineStr">
        <is>
          <t>SS16</t>
        </is>
      </c>
      <c r="C24" s="310" t="n">
        <v>1440</v>
      </c>
      <c r="D24" s="85" t="n">
        <v>1647</v>
      </c>
      <c r="E24" s="310" t="n">
        <v>50</v>
      </c>
      <c r="F24" s="310" t="n"/>
      <c r="G24" s="243">
        <f>E24-F24</f>
        <v/>
      </c>
      <c r="H24" s="258" t="inlineStr">
        <is>
          <t>16cut/Blue Zircon/SS16/Non/015+</t>
        </is>
      </c>
      <c r="I24" s="348" t="inlineStr">
        <is>
          <t>015+</t>
        </is>
      </c>
    </row>
    <row r="25" ht="16.5" customHeight="1" thickBot="1" thickTop="1">
      <c r="A25" s="427" t="n"/>
      <c r="B25" s="311" t="inlineStr">
        <is>
          <t>SS20</t>
        </is>
      </c>
      <c r="C25" s="311" t="n">
        <v>1440</v>
      </c>
      <c r="D25" s="86" t="n">
        <v>2133</v>
      </c>
      <c r="E25" s="311" t="n">
        <v>76</v>
      </c>
      <c r="F25" s="311">
        <f>2+4</f>
        <v/>
      </c>
      <c r="G25" s="245">
        <f>E25-F25</f>
        <v/>
      </c>
      <c r="H25" s="259" t="inlineStr">
        <is>
          <t>16cut/Blue Zircon/SS20/Non/015+</t>
        </is>
      </c>
      <c r="I25" s="428" t="n"/>
    </row>
    <row r="26" ht="16.5" customHeight="1" thickBot="1" thickTop="1">
      <c r="A26" s="431" t="n"/>
      <c r="B26" s="312" t="inlineStr">
        <is>
          <t>SS30</t>
        </is>
      </c>
      <c r="C26" s="312" t="n">
        <v>288</v>
      </c>
      <c r="D26" s="88" t="n">
        <v>1647</v>
      </c>
      <c r="E26" s="312" t="n">
        <v>50</v>
      </c>
      <c r="F26" s="312" t="n"/>
      <c r="G26" s="246">
        <f>E26-F26</f>
        <v/>
      </c>
      <c r="H26" s="281" t="inlineStr">
        <is>
          <t>16cut/Blue Zircon/SS30/Non/015+</t>
        </is>
      </c>
      <c r="I26" s="429" t="n"/>
    </row>
    <row r="27" ht="16.5" customHeight="1" thickBot="1" thickTop="1">
      <c r="A27" s="432" t="inlineStr">
        <is>
          <t>AQUAMARINE AB</t>
        </is>
      </c>
      <c r="B27" s="97" t="inlineStr">
        <is>
          <t>SS16</t>
        </is>
      </c>
      <c r="C27" s="97" t="n">
        <v>1440</v>
      </c>
      <c r="D27" s="85" t="n">
        <v>1252</v>
      </c>
      <c r="E27" s="310" t="n">
        <v>49</v>
      </c>
      <c r="F27" s="310">
        <f>1+1+3+1</f>
        <v/>
      </c>
      <c r="G27" s="243">
        <f>E27-F27</f>
        <v/>
      </c>
      <c r="H27" s="258" t="inlineStr">
        <is>
          <t>16cut/Aquamarine AB/SS16/Non/016+</t>
        </is>
      </c>
      <c r="I27" s="348" t="inlineStr">
        <is>
          <t>016+</t>
        </is>
      </c>
    </row>
    <row r="28" ht="16.5" customHeight="1" thickBot="1" thickTop="1">
      <c r="A28" s="427" t="n"/>
      <c r="B28" s="95" t="inlineStr">
        <is>
          <t>SS20</t>
        </is>
      </c>
      <c r="C28" s="95" t="n">
        <v>1440</v>
      </c>
      <c r="D28" s="86" t="n">
        <v>1858</v>
      </c>
      <c r="E28" s="311" t="n">
        <v>77</v>
      </c>
      <c r="F28" s="311">
        <f>8+2+5</f>
        <v/>
      </c>
      <c r="G28" s="245">
        <f>E28-F28</f>
        <v/>
      </c>
      <c r="H28" s="259" t="inlineStr">
        <is>
          <t>16cut/Aquamarine AB/SS20/Non/016+</t>
        </is>
      </c>
      <c r="I28" s="428" t="n"/>
    </row>
    <row r="29" ht="16.5" customHeight="1" thickBot="1" thickTop="1">
      <c r="A29" s="430" t="n"/>
      <c r="B29" s="98" t="inlineStr">
        <is>
          <t>SS30</t>
        </is>
      </c>
      <c r="C29" s="98" t="n">
        <v>288</v>
      </c>
      <c r="D29" s="88" t="n">
        <v>1252</v>
      </c>
      <c r="E29" s="312" t="n">
        <v>50</v>
      </c>
      <c r="F29" s="312" t="n">
        <v>3</v>
      </c>
      <c r="G29" s="246">
        <f>E29-F29</f>
        <v/>
      </c>
      <c r="H29" s="281" t="inlineStr">
        <is>
          <t>16cut/Aquamarine AB/SS30/Non/016+</t>
        </is>
      </c>
      <c r="I29" s="429" t="n"/>
    </row>
    <row r="30" ht="16.5" customHeight="1" thickBot="1" thickTop="1">
      <c r="A30" s="432" t="inlineStr">
        <is>
          <t>Lt. Peridot AB</t>
        </is>
      </c>
      <c r="B30" s="97" t="inlineStr">
        <is>
          <t>SS16</t>
        </is>
      </c>
      <c r="C30" s="97" t="n">
        <v>1440</v>
      </c>
      <c r="D30" s="85" t="n">
        <v>1647</v>
      </c>
      <c r="E30" s="310" t="n">
        <v>49</v>
      </c>
      <c r="F30" s="310" t="n"/>
      <c r="G30" s="243">
        <f>E30-F30</f>
        <v/>
      </c>
      <c r="H30" s="258" t="inlineStr">
        <is>
          <t>16cut/Lt. Peridot AB/SS16/Non/024+</t>
        </is>
      </c>
      <c r="I30" s="348" t="inlineStr">
        <is>
          <t>024+</t>
        </is>
      </c>
    </row>
    <row r="31" ht="16.5" customHeight="1" thickBot="1" thickTop="1">
      <c r="A31" s="427" t="n"/>
      <c r="B31" s="95" t="inlineStr">
        <is>
          <t>SS20</t>
        </is>
      </c>
      <c r="C31" s="95" t="n">
        <v>1440</v>
      </c>
      <c r="D31" s="86" t="n">
        <v>2133</v>
      </c>
      <c r="E31" s="311" t="n">
        <v>79</v>
      </c>
      <c r="F31" s="311">
        <f>2+1</f>
        <v/>
      </c>
      <c r="G31" s="245">
        <f>E31-F31</f>
        <v/>
      </c>
      <c r="H31" s="259" t="inlineStr">
        <is>
          <t>16cut/Lt. Peridot AB/SS20/Non/024+</t>
        </is>
      </c>
      <c r="I31" s="428" t="n"/>
    </row>
    <row r="32" ht="16.5" customHeight="1" thickBot="1" thickTop="1">
      <c r="A32" s="430" t="n"/>
      <c r="B32" s="98" t="inlineStr">
        <is>
          <t>SS30</t>
        </is>
      </c>
      <c r="C32" s="98" t="n">
        <v>288</v>
      </c>
      <c r="D32" s="88" t="n">
        <v>1647</v>
      </c>
      <c r="E32" s="312" t="n">
        <v>50</v>
      </c>
      <c r="F32" s="312" t="n">
        <v>2</v>
      </c>
      <c r="G32" s="246">
        <f>E32-F32</f>
        <v/>
      </c>
      <c r="H32" s="281" t="inlineStr">
        <is>
          <t>16cut/Lt. Peridot AB/SS30/Non/024+</t>
        </is>
      </c>
      <c r="I32" s="429" t="n"/>
    </row>
    <row r="33" ht="16.5" customHeight="1" thickBot="1" thickTop="1">
      <c r="A33" s="313" t="inlineStr">
        <is>
          <t>EMERALD AB</t>
        </is>
      </c>
      <c r="B33" s="310" t="inlineStr">
        <is>
          <t>SS16</t>
        </is>
      </c>
      <c r="C33" s="313" t="n">
        <v>1440</v>
      </c>
      <c r="D33" s="313" t="n">
        <v>1647</v>
      </c>
      <c r="E33" s="313">
        <f>2*25</f>
        <v/>
      </c>
      <c r="F33" s="310" t="n"/>
      <c r="G33" s="243">
        <f>E33-F33</f>
        <v/>
      </c>
      <c r="H33" s="258" t="inlineStr">
        <is>
          <t>16cut/Emerald AB/SS16/Non/026+</t>
        </is>
      </c>
      <c r="I33" s="348" t="inlineStr">
        <is>
          <t>026+</t>
        </is>
      </c>
    </row>
    <row r="34" ht="16.5" customHeight="1" thickBot="1" thickTop="1">
      <c r="A34" s="427" t="n"/>
      <c r="B34" s="311" t="inlineStr">
        <is>
          <t>SS20</t>
        </is>
      </c>
      <c r="C34" s="314" t="n">
        <v>1440</v>
      </c>
      <c r="D34" s="314" t="n">
        <v>2133</v>
      </c>
      <c r="E34" s="314">
        <f>3*15</f>
        <v/>
      </c>
      <c r="F34" s="311" t="n">
        <v>1</v>
      </c>
      <c r="G34" s="245">
        <f>E34-F34</f>
        <v/>
      </c>
      <c r="H34" s="259" t="inlineStr">
        <is>
          <t>16cut/Emerald AB/SS20/Non/026+</t>
        </is>
      </c>
      <c r="I34" s="428" t="n"/>
    </row>
    <row r="35" ht="16.5" customHeight="1" thickBot="1" thickTop="1">
      <c r="A35" s="431" t="n"/>
      <c r="B35" s="312" t="inlineStr">
        <is>
          <t>SS30</t>
        </is>
      </c>
      <c r="C35" s="315" t="n">
        <v>288</v>
      </c>
      <c r="D35" s="315" t="n">
        <v>1647</v>
      </c>
      <c r="E35" s="315">
        <f>25+25</f>
        <v/>
      </c>
      <c r="F35" s="312" t="n"/>
      <c r="G35" s="246">
        <f>E35-F35</f>
        <v/>
      </c>
      <c r="H35" s="281" t="inlineStr">
        <is>
          <t>16cut/Emerald AB/SS30/Non/026+</t>
        </is>
      </c>
      <c r="I35" s="429" t="n"/>
    </row>
    <row r="36" ht="16.5" customHeight="1" thickBot="1" thickTop="1">
      <c r="A36" s="352" t="inlineStr">
        <is>
          <t>OLIVINE AB</t>
        </is>
      </c>
      <c r="B36" s="99" t="inlineStr">
        <is>
          <t>SS16</t>
        </is>
      </c>
      <c r="C36" s="99" t="n">
        <v>1440</v>
      </c>
      <c r="D36" s="140" t="n">
        <v>1647</v>
      </c>
      <c r="E36" s="319" t="n">
        <v>49</v>
      </c>
      <c r="F36" s="319" t="n"/>
      <c r="G36" s="244">
        <f>E36-F36</f>
        <v/>
      </c>
      <c r="H36" s="258" t="inlineStr">
        <is>
          <t>16cut/Olivine AB/SS16/Non/027+</t>
        </is>
      </c>
      <c r="I36" s="348" t="inlineStr">
        <is>
          <t>027+</t>
        </is>
      </c>
    </row>
    <row r="37" ht="16.5" customHeight="1" thickBot="1" thickTop="1">
      <c r="A37" s="427" t="n"/>
      <c r="B37" s="100" t="inlineStr">
        <is>
          <t>SS20</t>
        </is>
      </c>
      <c r="C37" s="100" t="n">
        <v>1440</v>
      </c>
      <c r="D37" s="141" t="n">
        <v>2133</v>
      </c>
      <c r="E37" s="305" t="n">
        <v>79</v>
      </c>
      <c r="F37" s="305" t="n"/>
      <c r="G37" s="244">
        <f>E37-F37</f>
        <v/>
      </c>
      <c r="H37" s="259" t="inlineStr">
        <is>
          <t>16cut/Olivine AB/SS20/Non/027+</t>
        </is>
      </c>
      <c r="I37" s="428" t="n"/>
    </row>
    <row r="38" ht="16.5" customHeight="1" thickBot="1" thickTop="1">
      <c r="A38" s="427" t="n"/>
      <c r="B38" s="96" t="inlineStr">
        <is>
          <t>SS30</t>
        </is>
      </c>
      <c r="C38" s="96" t="n">
        <v>288</v>
      </c>
      <c r="D38" s="87" t="n">
        <v>1647</v>
      </c>
      <c r="E38" s="320" t="n">
        <v>50</v>
      </c>
      <c r="F38" s="320" t="n"/>
      <c r="G38" s="242">
        <f>E38-F38</f>
        <v/>
      </c>
      <c r="H38" s="281" t="inlineStr">
        <is>
          <t>16cut/Olivine AB/SS30/Non/027+</t>
        </is>
      </c>
      <c r="I38" s="429" t="n"/>
    </row>
    <row r="39" ht="16.5" customHeight="1" thickBot="1" thickTop="1">
      <c r="A39" s="313" t="inlineStr">
        <is>
          <t>SIAM AB</t>
        </is>
      </c>
      <c r="B39" s="310" t="inlineStr">
        <is>
          <t>SS16</t>
        </is>
      </c>
      <c r="C39" s="313" t="n">
        <v>1440</v>
      </c>
      <c r="D39" s="313" t="n">
        <v>1679</v>
      </c>
      <c r="E39" s="313">
        <f>2*25</f>
        <v/>
      </c>
      <c r="F39" s="310" t="n"/>
      <c r="G39" s="243">
        <f>E39-F39</f>
        <v/>
      </c>
      <c r="H39" s="258" t="inlineStr">
        <is>
          <t>16cut/Siam AB/SS16/Non/032+</t>
        </is>
      </c>
      <c r="I39" s="348" t="inlineStr">
        <is>
          <t>032+</t>
        </is>
      </c>
    </row>
    <row r="40" ht="16.5" customHeight="1" thickBot="1" thickTop="1">
      <c r="A40" s="427" t="n"/>
      <c r="B40" s="311" t="inlineStr">
        <is>
          <t>SS20</t>
        </is>
      </c>
      <c r="C40" s="314" t="n">
        <v>1440</v>
      </c>
      <c r="D40" s="314" t="n">
        <v>2166</v>
      </c>
      <c r="E40" s="314">
        <f>3*15</f>
        <v/>
      </c>
      <c r="F40" s="311" t="n"/>
      <c r="G40" s="245">
        <f>E40-F40</f>
        <v/>
      </c>
      <c r="H40" s="259" t="inlineStr">
        <is>
          <t>16cut/Siam AB/SS20/Non/032+</t>
        </is>
      </c>
      <c r="I40" s="428" t="n"/>
    </row>
    <row r="41" ht="16.5" customHeight="1" thickBot="1" thickTop="1">
      <c r="A41" s="431" t="n"/>
      <c r="B41" s="312" t="inlineStr">
        <is>
          <t>SS30</t>
        </is>
      </c>
      <c r="C41" s="315" t="n">
        <v>288</v>
      </c>
      <c r="D41" s="315" t="n">
        <v>1679</v>
      </c>
      <c r="E41" s="315">
        <f>2*25</f>
        <v/>
      </c>
      <c r="F41" s="312" t="n"/>
      <c r="G41" s="246">
        <f>E41-F41</f>
        <v/>
      </c>
      <c r="H41" s="281" t="inlineStr">
        <is>
          <t>16cut/Siam AB/SS30/Non/032+</t>
        </is>
      </c>
      <c r="I41" s="429" t="n"/>
    </row>
    <row r="42" ht="16.5" customHeight="1" thickBot="1" thickTop="1">
      <c r="A42" s="310" t="inlineStr">
        <is>
          <t>GARNET AB</t>
        </is>
      </c>
      <c r="B42" s="310" t="inlineStr">
        <is>
          <t>SS16</t>
        </is>
      </c>
      <c r="C42" s="310" t="n">
        <v>1440</v>
      </c>
      <c r="D42" s="310" t="n">
        <v>1679</v>
      </c>
      <c r="E42" s="310">
        <f>2*25</f>
        <v/>
      </c>
      <c r="F42" s="310" t="n"/>
      <c r="G42" s="243">
        <f>E42-F42</f>
        <v/>
      </c>
      <c r="H42" s="258" t="inlineStr">
        <is>
          <t>16cut/Garnet AB/SS16/Non/034+</t>
        </is>
      </c>
      <c r="I42" s="348" t="inlineStr">
        <is>
          <t>034+</t>
        </is>
      </c>
    </row>
    <row r="43" ht="16.5" customHeight="1" thickBot="1" thickTop="1">
      <c r="A43" s="427" t="n"/>
      <c r="B43" s="311" t="inlineStr">
        <is>
          <t>SS20</t>
        </is>
      </c>
      <c r="C43" s="311" t="n">
        <v>1440</v>
      </c>
      <c r="D43" s="311" t="n">
        <v>2166</v>
      </c>
      <c r="E43" s="311">
        <f>3*15</f>
        <v/>
      </c>
      <c r="F43" s="311" t="n"/>
      <c r="G43" s="245">
        <f>E43-F43</f>
        <v/>
      </c>
      <c r="H43" s="259" t="inlineStr">
        <is>
          <t>16cut/Garnet AB/SS20/Non/034+</t>
        </is>
      </c>
      <c r="I43" s="428" t="n"/>
    </row>
    <row r="44" ht="16.5" customHeight="1" thickBot="1" thickTop="1">
      <c r="A44" s="431" t="n"/>
      <c r="B44" s="312" t="inlineStr">
        <is>
          <t>SS30</t>
        </is>
      </c>
      <c r="C44" s="312" t="n">
        <v>288</v>
      </c>
      <c r="D44" s="312" t="n">
        <v>1679</v>
      </c>
      <c r="E44" s="312">
        <f>2*25</f>
        <v/>
      </c>
      <c r="F44" s="312" t="n"/>
      <c r="G44" s="246">
        <f>E44-F44</f>
        <v/>
      </c>
      <c r="H44" s="281" t="inlineStr">
        <is>
          <t>16cut/Garnet AB/SS30/Non/034+</t>
        </is>
      </c>
      <c r="I44" s="429" t="n"/>
    </row>
    <row r="45" ht="16.5" customHeight="1" thickBot="1" thickTop="1">
      <c r="A45" s="306" t="inlineStr">
        <is>
          <t>Hyacinth AB</t>
        </is>
      </c>
      <c r="B45" s="144" t="inlineStr">
        <is>
          <t>SS16</t>
        </is>
      </c>
      <c r="C45" s="144" t="n">
        <v>1440</v>
      </c>
      <c r="D45" s="140" t="n">
        <v>1679</v>
      </c>
      <c r="E45" s="319" t="n">
        <v>49</v>
      </c>
      <c r="F45" s="319">
        <f>1+1+1</f>
        <v/>
      </c>
      <c r="G45" s="244">
        <f>E45-F45</f>
        <v/>
      </c>
      <c r="H45" s="258" t="inlineStr">
        <is>
          <t>16cut/Hyacinth AB/SS16/Non/031+</t>
        </is>
      </c>
      <c r="I45" s="348" t="inlineStr">
        <is>
          <t>031+</t>
        </is>
      </c>
    </row>
    <row r="46" ht="16.5" customHeight="1" thickBot="1" thickTop="1">
      <c r="A46" s="427" t="n"/>
      <c r="B46" s="101" t="inlineStr">
        <is>
          <t>SS20</t>
        </is>
      </c>
      <c r="C46" s="101" t="n">
        <v>1440</v>
      </c>
      <c r="D46" s="86" t="n">
        <v>2166</v>
      </c>
      <c r="E46" s="311" t="n">
        <v>78</v>
      </c>
      <c r="F46" s="311">
        <f>1+1+1+1</f>
        <v/>
      </c>
      <c r="G46" s="245">
        <f>E46-F46</f>
        <v/>
      </c>
      <c r="H46" s="259" t="inlineStr">
        <is>
          <t>16cut/Hyacinth AB/SS20/Non/031+</t>
        </is>
      </c>
      <c r="I46" s="428" t="n"/>
    </row>
    <row r="47" ht="16.5" customHeight="1" thickBot="1" thickTop="1">
      <c r="A47" s="430" t="n"/>
      <c r="B47" s="102" t="inlineStr">
        <is>
          <t>SS30</t>
        </is>
      </c>
      <c r="C47" s="102" t="n">
        <v>288</v>
      </c>
      <c r="D47" s="88" t="n">
        <v>1679</v>
      </c>
      <c r="E47" s="312" t="n">
        <v>90</v>
      </c>
      <c r="F47" s="312">
        <f>1+1+1</f>
        <v/>
      </c>
      <c r="G47" s="246">
        <f>E47-F47</f>
        <v/>
      </c>
      <c r="H47" s="281" t="inlineStr">
        <is>
          <t>16cut/Hyacinth AB/SS30/Non/031+</t>
        </is>
      </c>
      <c r="I47" s="429" t="n"/>
    </row>
    <row r="48" ht="16.5" customHeight="1" thickBot="1" thickTop="1">
      <c r="A48" s="310" t="inlineStr">
        <is>
          <t>CITRINE AB</t>
        </is>
      </c>
      <c r="B48" s="310" t="inlineStr">
        <is>
          <t>SS16</t>
        </is>
      </c>
      <c r="C48" s="310" t="n">
        <v>1440</v>
      </c>
      <c r="D48" s="85" t="n">
        <v>1809</v>
      </c>
      <c r="E48" s="310" t="n">
        <v>40</v>
      </c>
      <c r="F48" s="310" t="n">
        <v>1</v>
      </c>
      <c r="G48" s="243">
        <f>E48-F48</f>
        <v/>
      </c>
      <c r="H48" s="258" t="inlineStr">
        <is>
          <t>16cut/Citrine AB/SS16/Non/035+</t>
        </is>
      </c>
      <c r="I48" s="348" t="inlineStr">
        <is>
          <t>035+</t>
        </is>
      </c>
    </row>
    <row r="49" ht="16.5" customHeight="1" thickBot="1" thickTop="1">
      <c r="A49" s="427" t="n"/>
      <c r="B49" s="311" t="inlineStr">
        <is>
          <t>SS20</t>
        </is>
      </c>
      <c r="C49" s="311" t="n">
        <v>1440</v>
      </c>
      <c r="D49" s="86" t="n">
        <v>2133</v>
      </c>
      <c r="E49" s="311" t="n">
        <v>50</v>
      </c>
      <c r="F49" s="311" t="n">
        <v>1</v>
      </c>
      <c r="G49" s="245">
        <f>E49-F49</f>
        <v/>
      </c>
      <c r="H49" s="259" t="inlineStr">
        <is>
          <t>16cut/Citrine AB/SS20/Non/035+</t>
        </is>
      </c>
      <c r="I49" s="428" t="n"/>
    </row>
    <row r="50" ht="16.5" customHeight="1" thickBot="1" thickTop="1">
      <c r="A50" s="431" t="n"/>
      <c r="B50" s="312" t="inlineStr">
        <is>
          <t>SS30</t>
        </is>
      </c>
      <c r="C50" s="312" t="n">
        <v>288</v>
      </c>
      <c r="D50" s="88" t="n">
        <v>1809</v>
      </c>
      <c r="E50" s="312" t="n">
        <v>40</v>
      </c>
      <c r="F50" s="312" t="n">
        <v>1</v>
      </c>
      <c r="G50" s="246">
        <f>E50-F50</f>
        <v/>
      </c>
      <c r="H50" s="281" t="inlineStr">
        <is>
          <t>16cut/Citrine AB/SS30/Non/035+</t>
        </is>
      </c>
      <c r="I50" s="429" t="n"/>
    </row>
    <row r="51" ht="16.5" customHeight="1" thickBot="1" thickTop="1">
      <c r="A51" s="31" t="inlineStr">
        <is>
          <t xml:space="preserve">Lt. Rose AB </t>
        </is>
      </c>
      <c r="B51" s="310" t="inlineStr">
        <is>
          <t>SS16</t>
        </is>
      </c>
      <c r="C51" s="310" t="n">
        <v>1440</v>
      </c>
      <c r="D51" s="85" t="n">
        <v>2000</v>
      </c>
      <c r="E51" s="310" t="n">
        <v>3</v>
      </c>
      <c r="F51" s="310">
        <f>1+2</f>
        <v/>
      </c>
      <c r="G51" s="243">
        <f>E51-F51</f>
        <v/>
      </c>
      <c r="H51" s="258" t="inlineStr">
        <is>
          <t>16cut/Lt.Rose AB/SS16/Non/038+</t>
        </is>
      </c>
      <c r="I51" s="348" t="inlineStr">
        <is>
          <t>038+</t>
        </is>
      </c>
    </row>
    <row r="52" ht="16.5" customHeight="1" thickBot="1" thickTop="1">
      <c r="A52" s="430" t="n"/>
      <c r="B52" s="312" t="inlineStr">
        <is>
          <t>SS20</t>
        </is>
      </c>
      <c r="C52" s="312" t="n">
        <v>1440</v>
      </c>
      <c r="D52" s="88" t="n">
        <v>2500</v>
      </c>
      <c r="E52" s="312" t="n">
        <v>3</v>
      </c>
      <c r="F52" s="312">
        <f>1+2</f>
        <v/>
      </c>
      <c r="G52" s="246">
        <f>E52-F52</f>
        <v/>
      </c>
      <c r="H52" s="281" t="inlineStr">
        <is>
          <t>16cut/Lt.Rose AB/SS20/Non/038+</t>
        </is>
      </c>
      <c r="I52" s="429" t="n"/>
    </row>
    <row r="53" ht="16.5" customHeight="1" thickBot="1" thickTop="1">
      <c r="A53" s="349" t="inlineStr">
        <is>
          <t>AQUA SILVER</t>
        </is>
      </c>
      <c r="B53" s="310" t="inlineStr">
        <is>
          <t>SS16</t>
        </is>
      </c>
      <c r="C53" s="313" t="n">
        <v>1440</v>
      </c>
      <c r="D53" s="313" t="n">
        <v>968</v>
      </c>
      <c r="E53" s="313">
        <f>10+10</f>
        <v/>
      </c>
      <c r="F53" s="32" t="n">
        <v>2</v>
      </c>
      <c r="G53" s="243">
        <f>E53-F53</f>
        <v/>
      </c>
      <c r="H53" s="258" t="inlineStr">
        <is>
          <t>16cut/Aqua Silver/SS16/Non/201+</t>
        </is>
      </c>
      <c r="I53" s="348" t="inlineStr">
        <is>
          <t>201+</t>
        </is>
      </c>
    </row>
    <row r="54" ht="16.5" customHeight="1" thickBot="1" thickTop="1">
      <c r="A54" s="427" t="n"/>
      <c r="B54" s="311" t="inlineStr">
        <is>
          <t>SS20</t>
        </is>
      </c>
      <c r="C54" s="314" t="n">
        <v>1440</v>
      </c>
      <c r="D54" s="314" t="n">
        <v>1540</v>
      </c>
      <c r="E54" s="314">
        <f>10+10</f>
        <v/>
      </c>
      <c r="F54" s="34">
        <f>4+1</f>
        <v/>
      </c>
      <c r="G54" s="245">
        <f>E54-F54</f>
        <v/>
      </c>
      <c r="H54" s="259" t="inlineStr">
        <is>
          <t>16cut/Aqua Silver/SS20/Non/201+</t>
        </is>
      </c>
      <c r="I54" s="428" t="n"/>
    </row>
    <row r="55" ht="16.5" customHeight="1" thickBot="1" thickTop="1">
      <c r="A55" s="431" t="n"/>
      <c r="B55" s="312" t="inlineStr">
        <is>
          <t>SS30</t>
        </is>
      </c>
      <c r="C55" s="315" t="n">
        <v>288</v>
      </c>
      <c r="D55" s="315" t="n">
        <v>968</v>
      </c>
      <c r="E55" s="315">
        <f>10+9</f>
        <v/>
      </c>
      <c r="F55" s="33" t="n">
        <v>5</v>
      </c>
      <c r="G55" s="246">
        <f>E55-F55</f>
        <v/>
      </c>
      <c r="H55" s="281" t="inlineStr">
        <is>
          <t>16cut/Aqua Silver/SS30/Non/201+</t>
        </is>
      </c>
      <c r="I55" s="429" t="n"/>
    </row>
    <row r="56" ht="15.75" customHeight="1" thickTop="1">
      <c r="A56" s="161" t="n"/>
      <c r="B56" s="161" t="n"/>
      <c r="C56" s="161" t="n"/>
      <c r="D56" s="161" t="n"/>
      <c r="E56" s="161" t="n"/>
      <c r="F56" s="161" t="n"/>
      <c r="G56" s="161" t="n"/>
      <c r="I56" s="161" t="n"/>
    </row>
  </sheetData>
  <mergeCells count="36">
    <mergeCell ref="A21:A23"/>
    <mergeCell ref="I18:I20"/>
    <mergeCell ref="A12:A14"/>
    <mergeCell ref="I48:I50"/>
    <mergeCell ref="I39:I41"/>
    <mergeCell ref="A51:A52"/>
    <mergeCell ref="A33:A35"/>
    <mergeCell ref="I6:I8"/>
    <mergeCell ref="A53:A55"/>
    <mergeCell ref="A15:A17"/>
    <mergeCell ref="A24:A26"/>
    <mergeCell ref="I15:I17"/>
    <mergeCell ref="I9:I11"/>
    <mergeCell ref="A42:A44"/>
    <mergeCell ref="A9:A11"/>
    <mergeCell ref="I27:I29"/>
    <mergeCell ref="A36:A38"/>
    <mergeCell ref="A30:A32"/>
    <mergeCell ref="A39:A41"/>
    <mergeCell ref="A45:A47"/>
    <mergeCell ref="I36:I38"/>
    <mergeCell ref="I30:I32"/>
    <mergeCell ref="A48:A50"/>
    <mergeCell ref="I45:I47"/>
    <mergeCell ref="I51:I52"/>
    <mergeCell ref="I3:I5"/>
    <mergeCell ref="A6:A8"/>
    <mergeCell ref="I53:I55"/>
    <mergeCell ref="A3:A5"/>
    <mergeCell ref="I12:I14"/>
    <mergeCell ref="A27:A29"/>
    <mergeCell ref="I21:I23"/>
    <mergeCell ref="I33:I35"/>
    <mergeCell ref="A18:A20"/>
    <mergeCell ref="I24:I26"/>
    <mergeCell ref="I42:I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Lenok</dc:creator>
  <dcterms:created xsi:type="dcterms:W3CDTF">2026-01-31T06:38:18Z</dcterms:created>
  <dcterms:modified xsi:type="dcterms:W3CDTF">2026-07-07T03:45:46Z</dcterms:modified>
  <cp:lastModifiedBy>Alexandr</cp:lastModifiedBy>
  <cp:lastPrinted>2026-04-22T12:43:34Z</cp:lastPrinted>
</cp:coreProperties>
</file>